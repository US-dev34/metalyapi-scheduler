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mutSeçkin\Documents\"/>
    </mc:Choice>
  </mc:AlternateContent>
  <xr:revisionPtr revIDLastSave="0" documentId="13_ncr:1_{07E991ED-38D4-4CFA-9F6B-CCBB8D1DA04C}" xr6:coauthVersionLast="47" xr6:coauthVersionMax="47" xr10:uidLastSave="{00000000-0000-0000-0000-000000000000}"/>
  <bookViews>
    <workbookView xWindow="-28920" yWindow="-30" windowWidth="29040" windowHeight="15720" activeTab="4" xr2:uid="{33854CF0-46D5-45AD-8860-7CD4854E952B}"/>
  </bookViews>
  <sheets>
    <sheet name="E2NS" sheetId="3" r:id="rId1"/>
    <sheet name="D1D2" sheetId="4" r:id="rId2"/>
    <sheet name="Claude Log" sheetId="5" r:id="rId3"/>
    <sheet name="Weekly Follow-Up" sheetId="6" r:id="rId4"/>
    <sheet name="Weekly Detailed Follow-Up" sheetId="7" r:id="rId5"/>
  </sheets>
  <definedNames>
    <definedName name="_xlnm._FilterDatabase" localSheetId="1" hidden="1">D1D2!$E$1:$E$54</definedName>
    <definedName name="_xlnm._FilterDatabase" localSheetId="0" hidden="1">E2NS!$E$1:$E$163</definedName>
    <definedName name="_xlnm.Print_Area" localSheetId="0">E2NS!$A$1:$F$77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7" l="1"/>
  <c r="F77" i="7"/>
  <c r="F159" i="7"/>
  <c r="F149" i="7"/>
  <c r="F119" i="7"/>
  <c r="F105" i="7"/>
  <c r="F26" i="7"/>
  <c r="F59" i="7"/>
  <c r="F127" i="7"/>
  <c r="F89" i="7"/>
  <c r="F6" i="7"/>
  <c r="F71" i="6"/>
  <c r="F64" i="6"/>
  <c r="F31" i="6"/>
  <c r="F13" i="6"/>
  <c r="F91" i="6"/>
  <c r="F55" i="6"/>
  <c r="F47" i="6"/>
  <c r="F83" i="6"/>
  <c r="F22" i="6"/>
  <c r="F6" i="6"/>
  <c r="F40" i="6"/>
  <c r="AC3" i="3" l="1"/>
  <c r="AC5" i="3" s="1"/>
  <c r="AB3" i="3"/>
  <c r="AA3" i="3"/>
  <c r="AA5" i="3" s="1"/>
  <c r="Z3" i="3"/>
  <c r="Y3" i="3"/>
  <c r="Y5" i="3" s="1"/>
  <c r="X3" i="3"/>
  <c r="W3" i="3"/>
  <c r="W5" i="3" s="1"/>
  <c r="V3" i="3"/>
  <c r="U3" i="3"/>
  <c r="U5" i="3" s="1"/>
  <c r="T3" i="3"/>
  <c r="S3" i="3"/>
  <c r="S5" i="3" s="1"/>
  <c r="R3" i="3"/>
  <c r="Q3" i="3"/>
  <c r="Q5" i="3" s="1"/>
  <c r="P3" i="3"/>
  <c r="O3" i="3"/>
  <c r="O5" i="3" s="1"/>
  <c r="N3" i="3"/>
  <c r="M3" i="3"/>
  <c r="M5" i="3" s="1"/>
  <c r="L3" i="3"/>
  <c r="K3" i="3"/>
  <c r="K5" i="3" s="1"/>
  <c r="J3" i="3"/>
  <c r="I3" i="3"/>
  <c r="I5" i="3" s="1"/>
  <c r="F74" i="3"/>
  <c r="F66" i="3"/>
  <c r="F28" i="4" l="1"/>
  <c r="F47" i="3"/>
  <c r="F16" i="4" l="1"/>
  <c r="F24" i="4"/>
  <c r="F21" i="3" l="1"/>
  <c r="F43" i="3"/>
</calcChain>
</file>

<file path=xl/sharedStrings.xml><?xml version="1.0" encoding="utf-8"?>
<sst xmlns="http://schemas.openxmlformats.org/spreadsheetml/2006/main" count="718" uniqueCount="276">
  <si>
    <t>Already Executed  -Progress since April 2024</t>
  </si>
  <si>
    <t>E2N</t>
  </si>
  <si>
    <t>Türen E2N</t>
  </si>
  <si>
    <t>Main Entrance Canopy_E2N Novotel</t>
  </si>
  <si>
    <t>Lamellenfassade FT18_E2N</t>
  </si>
  <si>
    <t>Final Façade Cleaning</t>
  </si>
  <si>
    <t>E2S</t>
  </si>
  <si>
    <t>Türen E2S</t>
  </si>
  <si>
    <t>Lamellenfassade FT18_E2S</t>
  </si>
  <si>
    <t xml:space="preserve">Main Entrance Canopy_E2S Pullmann </t>
  </si>
  <si>
    <t>D1D2</t>
  </si>
  <si>
    <t>Glass replacement</t>
  </si>
  <si>
    <t>Doors Defects</t>
  </si>
  <si>
    <t xml:space="preserve">Staircase Design Revision </t>
  </si>
  <si>
    <t>Logo Anchorage Installation with Abseilers</t>
  </si>
  <si>
    <t>Status</t>
  </si>
  <si>
    <t>DONE</t>
  </si>
  <si>
    <t>Total</t>
  </si>
  <si>
    <t xml:space="preserve">Target Completion </t>
  </si>
  <si>
    <t>E2S- Additional Works</t>
  </si>
  <si>
    <t>E2N -Additional Works</t>
  </si>
  <si>
    <t>D1D2 - Additional Works</t>
  </si>
  <si>
    <t>Lochfenster-WT04</t>
  </si>
  <si>
    <t>Interior Façade Defects removal _D2-12 Floors</t>
  </si>
  <si>
    <t>Interior Façade Defects removal _D1-12 Floors</t>
  </si>
  <si>
    <t>Exterior Facade Defects removal</t>
  </si>
  <si>
    <t>Electrical bird deterrence system_D2-12 Floors</t>
  </si>
  <si>
    <t>Electrical bird deterrence system_D1-12Floors</t>
  </si>
  <si>
    <t xml:space="preserve">4.OG Additional Vent _MOS </t>
  </si>
  <si>
    <t>_E2N</t>
  </si>
  <si>
    <t>_E2S</t>
  </si>
  <si>
    <t>Acoustic Panel_MOS</t>
  </si>
  <si>
    <t>Acoustic Panels Subframe_MOS</t>
  </si>
  <si>
    <t>FT07/FT08/FT11/FT15 East</t>
  </si>
  <si>
    <t>Acoustic Panels Installation _ Cat Walk (NTA047)</t>
  </si>
  <si>
    <t>Lochfenster - WT01.5 / WT01.6 / WT01.7</t>
  </si>
  <si>
    <t>FT16 Additional Steel Structure (NTA061)</t>
  </si>
  <si>
    <t>Attikaabdeckungen_E2N&amp;E2S</t>
  </si>
  <si>
    <t>Lochfenster-E2N&amp;E2S</t>
  </si>
  <si>
    <t>Aluminium Soffit_FT17</t>
  </si>
  <si>
    <t>Alu Cladding Shafts_FT16</t>
  </si>
  <si>
    <t>Final Façade Cleaning E2N&amp;E2S</t>
  </si>
  <si>
    <t>Sheet WT01 (NTA050) / Sheet OG3 North (NTA051)</t>
  </si>
  <si>
    <t>Stabgeländer E2N&amp;E2S + NTA053</t>
  </si>
  <si>
    <t>PR-Fassade - FT05/FT06/FT09 / Interkom Glass (NTA063)</t>
  </si>
  <si>
    <t>NTA: 058 (FT14 Spandrel) / 059 (E2S West_Louvers)
052 (Attika) / 065 (Cty Water Tap)</t>
  </si>
  <si>
    <t>Justifications NTA: 048,049,54,55,56,57,62</t>
  </si>
  <si>
    <t>3.OG Attika Rectification (NTA054)</t>
  </si>
  <si>
    <t>FT15:  E2N (NW) / E2S (ESW) / NTA60 (Terminal C. Tray)</t>
  </si>
  <si>
    <t>PR-Fassade - FT02/FT03/FT10/FT14</t>
  </si>
  <si>
    <t>01.10</t>
  </si>
  <si>
    <t>02.10</t>
  </si>
  <si>
    <t>02.11</t>
  </si>
  <si>
    <t>02.12</t>
  </si>
  <si>
    <t>02.13</t>
  </si>
  <si>
    <t>02.14</t>
  </si>
  <si>
    <t>02.15</t>
  </si>
  <si>
    <t>02.16</t>
  </si>
  <si>
    <t>02.17</t>
  </si>
  <si>
    <t>02.18</t>
  </si>
  <si>
    <t>02.19</t>
  </si>
  <si>
    <t>02.20</t>
  </si>
  <si>
    <t>02.21</t>
  </si>
  <si>
    <t>02.22</t>
  </si>
  <si>
    <t>03.10</t>
  </si>
  <si>
    <t>03.11</t>
  </si>
  <si>
    <t>04.10</t>
  </si>
  <si>
    <t>04.11</t>
  </si>
  <si>
    <t>04.12</t>
  </si>
  <si>
    <t>04.13</t>
  </si>
  <si>
    <t>04.14</t>
  </si>
  <si>
    <t>04.15</t>
  </si>
  <si>
    <t>04.16</t>
  </si>
  <si>
    <t>04.17</t>
  </si>
  <si>
    <t>04.18</t>
  </si>
  <si>
    <t>04.19</t>
  </si>
  <si>
    <t>05.10</t>
  </si>
  <si>
    <t>05.11</t>
  </si>
  <si>
    <t>05.12</t>
  </si>
  <si>
    <t>05.13</t>
  </si>
  <si>
    <t>05.14</t>
  </si>
  <si>
    <t>4.OG Additional Vent _Installation (NTA041)</t>
  </si>
  <si>
    <t>Staircases: Completion , NTA040 included</t>
  </si>
  <si>
    <t>Staircases: Material on site, NTA040 included</t>
  </si>
  <si>
    <t>Justifications NTA: 042, 043, 044, 045, 046</t>
  </si>
  <si>
    <t>01.11</t>
  </si>
  <si>
    <t>01.12</t>
  </si>
  <si>
    <t>01.13</t>
  </si>
  <si>
    <t>01.14</t>
  </si>
  <si>
    <t>01.15</t>
  </si>
  <si>
    <t>01.16</t>
  </si>
  <si>
    <t>01.17</t>
  </si>
  <si>
    <t>01.18</t>
  </si>
  <si>
    <t>01.19</t>
  </si>
  <si>
    <t>01.20</t>
  </si>
  <si>
    <t xml:space="preserve">Final Milestone </t>
  </si>
  <si>
    <t>Due on completion of all final snags &amp; submission of documentation</t>
  </si>
  <si>
    <t>KW23</t>
  </si>
  <si>
    <t>January 25</t>
  </si>
  <si>
    <t>February 25</t>
  </si>
  <si>
    <t>March 25</t>
  </si>
  <si>
    <t>April 25</t>
  </si>
  <si>
    <t>May 25</t>
  </si>
  <si>
    <t>June 25</t>
  </si>
  <si>
    <t>Cyrille</t>
  </si>
  <si>
    <t>Umut</t>
  </si>
  <si>
    <t>Interior Façade Defects removal _D2-6 Floors</t>
  </si>
  <si>
    <t>Interior Façade Defects removal _D1-6 Floors</t>
  </si>
  <si>
    <t>01.21</t>
  </si>
  <si>
    <t>01.22</t>
  </si>
  <si>
    <t>Turn #</t>
  </si>
  <si>
    <t>Date</t>
  </si>
  <si>
    <t>User Request</t>
  </si>
  <si>
    <t>Action Taken</t>
  </si>
  <si>
    <t>Details</t>
  </si>
  <si>
    <t>Outcome</t>
  </si>
  <si>
    <t>Highlight rows A:F on E2NS sheet by payment week (column E). Use a gradient color scheme from nearest (week 3) to farthest (week 23), with each week getting a distinct color.</t>
  </si>
  <si>
    <t>Applied background colors to 46 rows across columns A:F based on their payment week value.</t>
  </si>
  <si>
    <t>11 unique weeks (3,5,7,9,11,13,15,17,19,21,23) mapped to a green→yellow→orange→red gradient. Week 3=#AAEDAA (green/nearest), Week 13=#EDEDAA (yellow/middle), Week 23=#EDAAAA (red/farthest). Used Office.js to apply fill colors efficiently.</t>
  </si>
  <si>
    <t>All 46 data rows in E2NS!A:F are now color-coded by payment week. Green = nearest, red = farthest.</t>
  </si>
  <si>
    <t>CW 17</t>
  </si>
  <si>
    <t>Code</t>
  </si>
  <si>
    <t>Activity Description</t>
  </si>
  <si>
    <t>Area</t>
  </si>
  <si>
    <t>Week</t>
  </si>
  <si>
    <t>Total (€)</t>
  </si>
  <si>
    <t>Subtotal:</t>
  </si>
  <si>
    <t>CW 5</t>
  </si>
  <si>
    <t>CW 15</t>
  </si>
  <si>
    <t>Activities by Payment Week - Follow-Up Tracker</t>
  </si>
  <si>
    <t>FT15: E2N (NW) / E2S (ESW) / NTA60 (Terminal C. Tray)</t>
  </si>
  <si>
    <t>CW 3</t>
  </si>
  <si>
    <t>Staircases: Completion, NTA040 included</t>
  </si>
  <si>
    <t>CW 11</t>
  </si>
  <si>
    <t>Main Entrance Canopy_E2S Pullmann</t>
  </si>
  <si>
    <t>CW 7</t>
  </si>
  <si>
    <t>CW 23</t>
  </si>
  <si>
    <t>CW 13</t>
  </si>
  <si>
    <t>Acoustic Panels Installation / Cat Walk (NTA047)</t>
  </si>
  <si>
    <t>Already Executed - Progress since April 2024</t>
  </si>
  <si>
    <t>4.OG Additional Vent _MOS</t>
  </si>
  <si>
    <t>NTA: 058 (FT14 Spandrel) / 059 (E2S West_Louvers) / 052 (Attika) / 065 (Cty Water Tap)</t>
  </si>
  <si>
    <t>Final Milestone - E2NS: Due on completion of all final snags &amp; submission of documentation</t>
  </si>
  <si>
    <t>Final Milestone - D1D2: Due on completion of all final snags &amp; submission of documentation</t>
  </si>
  <si>
    <t>Staircase Design Revision</t>
  </si>
  <si>
    <t>Create a new sheet listing all activities grouped by payment week, with a separate table for each week (CW 3 through CW 23) for follow-up tracking.</t>
  </si>
  <si>
    <t>Created 'Weekly Follow-Up' sheet with 11 separate tables, one per calendar week.</t>
  </si>
  <si>
    <t>Each table has: week header (darker shade), column headers (Code, Activity Description, Area, Status, Week, Total €), data rows, and a SUM subtotal row. Same green→red gradient colors as E2NS sheet. 46 activities across CW 3,5,7,9,11,13,15,17,19,21,23. Fixed 4 subtotal rows that were overwritten during parallel writes.</t>
  </si>
  <si>
    <t>New sheet 'Weekly Follow-Up' complete with all 11 weekly tables and working subtotals. All activities from E2NS (E2N, E2S, D1D2 sections) are included.</t>
  </si>
  <si>
    <t>CW 19</t>
  </si>
  <si>
    <t>CW 9</t>
  </si>
  <si>
    <t>1.1.5</t>
  </si>
  <si>
    <t xml:space="preserve">  ↳ FT15/West+North</t>
  </si>
  <si>
    <t>2.1.7</t>
  </si>
  <si>
    <t xml:space="preserve">  ↳ FT15 / OST</t>
  </si>
  <si>
    <t>2.1.8</t>
  </si>
  <si>
    <t xml:space="preserve">  ↳ FT15 / South</t>
  </si>
  <si>
    <t>2.1.9</t>
  </si>
  <si>
    <t xml:space="preserve">  ↳ FT15 / West</t>
  </si>
  <si>
    <t>NTA060</t>
  </si>
  <si>
    <t xml:space="preserve">  ↳ Terminal Cable Canals</t>
  </si>
  <si>
    <t>3.1.1</t>
  </si>
  <si>
    <t xml:space="preserve">  ↳ D2-12 Floors (Interior Defects)</t>
  </si>
  <si>
    <t>Activities by Payment Week - Detailed Follow-Up Tracker</t>
  </si>
  <si>
    <t>NTA048</t>
  </si>
  <si>
    <t xml:space="preserve">  ↳ Attika Removal + Substructure on East</t>
  </si>
  <si>
    <t>NTA049</t>
  </si>
  <si>
    <t xml:space="preserve">  ↳ Steel Construction for Masonry on E2S West</t>
  </si>
  <si>
    <t>NTA054</t>
  </si>
  <si>
    <t xml:space="preserve">  ↳ 3.OG Attika Rectification</t>
  </si>
  <si>
    <t>NTA055</t>
  </si>
  <si>
    <t xml:space="preserve">  ↳ 3.OG Balustrade + Machinery</t>
  </si>
  <si>
    <t>NTA056</t>
  </si>
  <si>
    <t xml:space="preserve">  ↳ FT18 Late + Tough Installation</t>
  </si>
  <si>
    <t>NTA057</t>
  </si>
  <si>
    <t xml:space="preserve">  ↳ Design Revision of Glass Balustrade</t>
  </si>
  <si>
    <t>NTA062</t>
  </si>
  <si>
    <t xml:space="preserve">  ↳ FT12 Canopy Drainage Pipe</t>
  </si>
  <si>
    <t>NTA040</t>
  </si>
  <si>
    <t xml:space="preserve">  ↳ Staircase Design Revision</t>
  </si>
  <si>
    <t>2.3.1</t>
  </si>
  <si>
    <t xml:space="preserve">  ↳ WT04</t>
  </si>
  <si>
    <t>3.4.2</t>
  </si>
  <si>
    <t xml:space="preserve">  ↳ Al. Cladding | Installation</t>
  </si>
  <si>
    <t>3.4.4</t>
  </si>
  <si>
    <t xml:space="preserve">  ↳ Balustrade | Installation</t>
  </si>
  <si>
    <t>3.6.1</t>
  </si>
  <si>
    <t xml:space="preserve">  ↳ D2-12 Floors (Bird Deterrence)</t>
  </si>
  <si>
    <t>1.9.3</t>
  </si>
  <si>
    <t xml:space="preserve">  ↳ Installation Completed</t>
  </si>
  <si>
    <t>NTA047</t>
  </si>
  <si>
    <t xml:space="preserve">  ↳ Cat Walk on Acoustic Roof</t>
  </si>
  <si>
    <t>2.1.2</t>
  </si>
  <si>
    <t xml:space="preserve">  ↳ FT05</t>
  </si>
  <si>
    <t>2.1.3</t>
  </si>
  <si>
    <t xml:space="preserve">  ↳ FT06</t>
  </si>
  <si>
    <t>2.1.4</t>
  </si>
  <si>
    <t xml:space="preserve">  ↳ FT09</t>
  </si>
  <si>
    <t>NTA063</t>
  </si>
  <si>
    <t xml:space="preserve">  ↳ Interkom Glasses</t>
  </si>
  <si>
    <t>NTA061</t>
  </si>
  <si>
    <t xml:space="preserve">  ↳ FT16 Additional Steel Structure</t>
  </si>
  <si>
    <t>CW 21</t>
  </si>
  <si>
    <t>1.7.0</t>
  </si>
  <si>
    <t xml:space="preserve">  ↳ Edelstahl-Stabgeländer E2N</t>
  </si>
  <si>
    <t>2.6.0</t>
  </si>
  <si>
    <t xml:space="preserve">  ↳ Glas- und Stabgeländer E2S</t>
  </si>
  <si>
    <t>NTA053</t>
  </si>
  <si>
    <t xml:space="preserve">  ↳ Additional Steel Balustrade</t>
  </si>
  <si>
    <t>1.8.0</t>
  </si>
  <si>
    <t xml:space="preserve">  ↳ Attikaabdeckungen_E2N</t>
  </si>
  <si>
    <t>2.9.0</t>
  </si>
  <si>
    <t xml:space="preserve">  ↳ Attikaabdeckungen</t>
  </si>
  <si>
    <t>3.1.2</t>
  </si>
  <si>
    <t xml:space="preserve">  ↳ D1-12 Floors (Interior Defects)</t>
  </si>
  <si>
    <t>3.4.1</t>
  </si>
  <si>
    <t xml:space="preserve">  ↳ Al. Cladding - Anchorage + Substructure | MOS</t>
  </si>
  <si>
    <t>3.4.3</t>
  </si>
  <si>
    <t xml:space="preserve">  ↳ Balustrade | MOS</t>
  </si>
  <si>
    <t>1.1.1</t>
  </si>
  <si>
    <t xml:space="preserve">  ↳ FT07</t>
  </si>
  <si>
    <t>1.1.2</t>
  </si>
  <si>
    <t xml:space="preserve">  ↳ FT08</t>
  </si>
  <si>
    <t>1.1.3</t>
  </si>
  <si>
    <t xml:space="preserve">  ↳ FT11</t>
  </si>
  <si>
    <t>1.1.4</t>
  </si>
  <si>
    <t xml:space="preserve">  ↳ FT15/OST</t>
  </si>
  <si>
    <t>NTA050</t>
  </si>
  <si>
    <t>NTA042</t>
  </si>
  <si>
    <t xml:space="preserve">  ↳ 1.OG Perforated Sheets</t>
  </si>
  <si>
    <t>NTA043</t>
  </si>
  <si>
    <t xml:space="preserve">  ↳ Additional Gal. Sheet on Roof</t>
  </si>
  <si>
    <t>NTA044</t>
  </si>
  <si>
    <t xml:space="preserve">  ↳ Boon Edam Commissioning</t>
  </si>
  <si>
    <t>NTA045</t>
  </si>
  <si>
    <t xml:space="preserve">  ↳ Pesca Water Ingress x 4 Times</t>
  </si>
  <si>
    <t>NTA046</t>
  </si>
  <si>
    <t xml:space="preserve">  ↳ Logo Anchorage Installation with Abseilers</t>
  </si>
  <si>
    <t>3.6.2</t>
  </si>
  <si>
    <t xml:space="preserve">  ↳ D1-12 Floors (Bird Deterrence)</t>
  </si>
  <si>
    <t>2.3.2</t>
  </si>
  <si>
    <t xml:space="preserve">  ↳ WT01.5+WT01.7</t>
  </si>
  <si>
    <t>2.3.3</t>
  </si>
  <si>
    <t xml:space="preserve">  ↳ WT01.6</t>
  </si>
  <si>
    <t>2.8.1</t>
  </si>
  <si>
    <t xml:space="preserve">  ↳ FT16</t>
  </si>
  <si>
    <t>NTA058</t>
  </si>
  <si>
    <t xml:space="preserve">  ↳ FT14 Additional Spandrel Panel</t>
  </si>
  <si>
    <t>NTA059</t>
  </si>
  <si>
    <t xml:space="preserve">  ↳ E2S West Vent behind louvers</t>
  </si>
  <si>
    <t>NTA052</t>
  </si>
  <si>
    <t xml:space="preserve">  ↳ 1141 Partial Additional Attika</t>
  </si>
  <si>
    <t>NTA065</t>
  </si>
  <si>
    <t xml:space="preserve">  ↳ E2N Courtyard Water Tap</t>
  </si>
  <si>
    <t>2.1.10</t>
  </si>
  <si>
    <t xml:space="preserve">  ↳ FT02</t>
  </si>
  <si>
    <t>2.1.1</t>
  </si>
  <si>
    <t xml:space="preserve">  ↳ FT03</t>
  </si>
  <si>
    <t>2.1.5</t>
  </si>
  <si>
    <t xml:space="preserve">  ↳ FT10</t>
  </si>
  <si>
    <t>2.1.6</t>
  </si>
  <si>
    <t xml:space="preserve">  ↳ FT14</t>
  </si>
  <si>
    <t>2.8.2</t>
  </si>
  <si>
    <t xml:space="preserve">  ↳ FT17</t>
  </si>
  <si>
    <t>1.10.0</t>
  </si>
  <si>
    <t xml:space="preserve">  ↳ Final Façade Cleaning</t>
  </si>
  <si>
    <t>2.10.0</t>
  </si>
  <si>
    <t xml:space="preserve">  ↳ Bottom Sheet Reinforcement on WT01</t>
  </si>
  <si>
    <t>NTA051</t>
  </si>
  <si>
    <t xml:space="preserve">  ↳ Cutting Bottom Sheet on 3.OG North Face</t>
  </si>
  <si>
    <t>NTA041</t>
  </si>
  <si>
    <t xml:space="preserve">  ↳ 4.OG Additional Vent</t>
  </si>
  <si>
    <t>Duplicate Weekly Follow-Up and add detailed sub-activities from the uploaded MYA Proposal Excel file. Expand grouped items (e.g. 'Justifications NTA: 048,049,54...') into individual NTA/FT lines with codes and descriptions.</t>
  </si>
  <si>
    <t>Created 'Weekly Detailed Follow-Up' sheet with 46 parent activities + 68 sub-detail rows from MYA Proposal file.</t>
  </si>
  <si>
    <t>Parsed uploaded file '260206_Copy of 260114_E2NS_D1D2_MYA Rest to Spend_Sample.xlsx' (sheets: Cyrille Sample, MYA Proposal). Extracted activity codes (col E) and descriptions (col F). Mapped 30 parent activities to their sub-items (NTAs, FTs, WTs). Sub-rows shown in italic gray with ↳ prefix, indented under bold parent rows. Parent rows have week-color background; sub-rows are white. Subtotals SUM only parent rows.</t>
  </si>
  <si>
    <t>New sheet 'Weekly Detailed Follow-Up' complete with 160 rows. All 11 weekly tables expanded with sub-activity details from MYA Proposal.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</si>
</sst>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_ * #,##0.00_)\ [$€-1]_ ;_ * \(#,##0.00\)\ [$€-1]_ ;_ * &quot;-&quot;??_)\ [$€-1]_ ;_ @_ "/>
    <numFmt numFmtId="165" formatCode="&quot;$&quot;#,##0.00"/>
    <numFmt numFmtId="166" formatCode="_-* #,##0\ [$€-1]_-;\-* #,##0\ [$€-1]_-;_-* &quot;-&quot;??\ [$€-1]_-;_-@_-"/>
    <numFmt numFmtId="167" formatCode="\K\W00"/>
    <numFmt numFmtId="168" formatCode="&quot;$&quot;#,##0"/>
    <numFmt numFmtId="169" formatCode="0.0000"/>
    <numFmt numFmtId="170" formatCode="#,##0.00\ &quot;€&quot;"/>
  </numFmts>
  <fonts count="20" x14ac:knownFonts="1">
    <font>
      <sz val="11"/>
      <color theme="1"/>
      <name val="Aptos Narrow"/>
      <family val="2"/>
      <scheme val="minor"/>
    </font>
    <font>
      <sz val="12"/>
      <color rgb="FF000000"/>
      <name val="Bahnschrift Condensed"/>
      <family val="2"/>
    </font>
    <font>
      <sz val="12"/>
      <color rgb="FF0000FF"/>
      <name val="Bahnschrift Condensed"/>
      <family val="2"/>
    </font>
    <font>
      <b/>
      <sz val="12"/>
      <color rgb="FF000000"/>
      <name val="Bahnschrift Condensed"/>
      <family val="2"/>
    </font>
    <font>
      <b/>
      <sz val="12"/>
      <color rgb="FF0000FF"/>
      <name val="Bahnschrift Condensed"/>
      <family val="2"/>
    </font>
    <font>
      <sz val="12"/>
      <color rgb="FF00B050"/>
      <name val="Bahnschrift Condensed"/>
      <family val="2"/>
    </font>
    <font>
      <sz val="12"/>
      <color theme="7" tint="-0.249977111117893"/>
      <name val="Bahnschrift Condensed"/>
      <family val="2"/>
    </font>
    <font>
      <sz val="8"/>
      <name val="Aptos Narrow"/>
      <family val="2"/>
      <scheme val="minor"/>
    </font>
    <font>
      <sz val="12"/>
      <color rgb="FFFF0000"/>
      <name val="Bahnschrift Condensed"/>
      <family val="2"/>
    </font>
    <font>
      <b/>
      <sz val="11"/>
      <color rgb="FFFFFFFF"/>
      <name val="Calibri"/>
    </font>
    <font>
      <b/>
      <sz val="13"/>
      <color rgb="FF000000"/>
      <name val="Bahnschrift Condensed"/>
    </font>
    <font>
      <sz val="11"/>
      <color rgb="FF000000"/>
      <name val="Bahnschrift Condensed"/>
    </font>
    <font>
      <b/>
      <sz val="11"/>
      <color rgb="FF000000"/>
      <name val="Bahnschrift Condensed"/>
    </font>
    <font>
      <sz val="11"/>
      <color theme="1"/>
      <name val="Bahnschrift Condensed"/>
    </font>
    <font>
      <b/>
      <sz val="11"/>
      <color theme="1"/>
      <name val="Bahnschrift Condensed"/>
    </font>
    <font>
      <b/>
      <sz val="14"/>
      <color rgb="FFFFFFFF"/>
      <name val="Bahnschrift Condensed"/>
    </font>
    <font>
      <sz val="11"/>
      <color rgb="FF00B050"/>
      <name val="Bahnschrift Condensed"/>
    </font>
    <font>
      <sz val="10"/>
      <color rgb="FF777777"/>
      <name val="Bahnschrift Condensed"/>
    </font>
    <font>
      <i/>
      <sz val="10"/>
      <color rgb="FF777777"/>
      <name val="Bahnschrift Condensed"/>
    </font>
    <font>
      <b/>
      <sz val="11"/>
      <color rgb="FF00B050"/>
      <name val="Bahnschrift Condensed"/>
    </font>
  </fonts>
  <fills count="2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EDAA"/>
        <bgColor indexed="64"/>
      </patternFill>
    </fill>
    <fill>
      <patternFill patternType="solid">
        <fgColor rgb="FFDFEDAA"/>
        <bgColor indexed="64"/>
      </patternFill>
    </fill>
    <fill>
      <patternFill patternType="solid">
        <fgColor rgb="FFD2EDAA"/>
        <bgColor indexed="64"/>
      </patternFill>
    </fill>
    <fill>
      <patternFill patternType="solid">
        <fgColor rgb="FFEDB8AA"/>
        <bgColor indexed="64"/>
      </patternFill>
    </fill>
    <fill>
      <patternFill patternType="solid">
        <fgColor rgb="FFEDAAAA"/>
        <bgColor indexed="64"/>
      </patternFill>
    </fill>
    <fill>
      <patternFill patternType="solid">
        <fgColor rgb="FFEDDFAA"/>
        <bgColor indexed="64"/>
      </patternFill>
    </fill>
    <fill>
      <patternFill patternType="solid">
        <fgColor rgb="FFEDEDAA"/>
        <bgColor indexed="64"/>
      </patternFill>
    </fill>
    <fill>
      <patternFill patternType="solid">
        <fgColor rgb="FFEDC5AA"/>
        <bgColor indexed="64"/>
      </patternFill>
    </fill>
    <fill>
      <patternFill patternType="solid">
        <fgColor rgb="FFEDD2AA"/>
        <bgColor indexed="64"/>
      </patternFill>
    </fill>
    <fill>
      <patternFill patternType="solid">
        <fgColor rgb="FFB8EDAA"/>
        <bgColor indexed="64"/>
      </patternFill>
    </fill>
    <fill>
      <patternFill patternType="solid">
        <fgColor rgb="FFC5EDA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1966E"/>
        <bgColor indexed="64"/>
      </patternFill>
    </fill>
    <fill>
      <patternFill patternType="solid">
        <fgColor rgb="FF7CB16E"/>
        <bgColor indexed="64"/>
      </patternFill>
    </fill>
    <fill>
      <patternFill patternType="solid">
        <fgColor rgb="FFB1A36E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6EB16E"/>
        <bgColor indexed="64"/>
      </patternFill>
    </fill>
    <fill>
      <patternFill patternType="solid">
        <fgColor rgb="FFA3B16E"/>
        <bgColor indexed="64"/>
      </patternFill>
    </fill>
    <fill>
      <patternFill patternType="solid">
        <fgColor rgb="FF89B16E"/>
        <bgColor indexed="64"/>
      </patternFill>
    </fill>
    <fill>
      <patternFill patternType="solid">
        <fgColor rgb="FFB16E6E"/>
        <bgColor indexed="64"/>
      </patternFill>
    </fill>
    <fill>
      <patternFill patternType="solid">
        <fgColor rgb="FFB1B16E"/>
        <bgColor indexed="64"/>
      </patternFill>
    </fill>
    <fill>
      <patternFill patternType="solid">
        <fgColor rgb="FF96B16E"/>
        <bgColor indexed="64"/>
      </patternFill>
    </fill>
    <fill>
      <patternFill patternType="solid">
        <fgColor rgb="FFB1896E"/>
        <bgColor indexed="64"/>
      </patternFill>
    </fill>
    <fill>
      <patternFill patternType="solid">
        <fgColor rgb="FFB17C6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333333"/>
      </bottom>
      <diagonal/>
    </border>
    <border>
      <left/>
      <right/>
      <top style="thin">
        <color rgb="FF000000"/>
      </top>
      <bottom style="medium">
        <color rgb="FF333333"/>
      </bottom>
      <diagonal/>
    </border>
  </borders>
  <cellStyleXfs count="1">
    <xf numFmtId="0" fontId="0" fillId="0" borderId="0"/>
  </cellStyleXfs>
  <cellXfs count="43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5" fontId="1" fillId="0" borderId="5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/>
    <xf numFmtId="167" fontId="1" fillId="0" borderId="0" xfId="0" applyNumberFormat="1" applyFont="1" applyAlignment="1">
      <alignment horizontal="center" vertical="center"/>
    </xf>
    <xf numFmtId="165" fontId="1" fillId="0" borderId="0" xfId="0" applyNumberFormat="1" applyFont="1"/>
    <xf numFmtId="49" fontId="1" fillId="0" borderId="0" xfId="0" applyNumberFormat="1" applyFont="1" applyAlignment="1">
      <alignment horizontal="center"/>
    </xf>
    <xf numFmtId="168" fontId="4" fillId="0" borderId="0" xfId="0" applyNumberFormat="1" applyFont="1"/>
    <xf numFmtId="0" fontId="1" fillId="2" borderId="1" xfId="0" applyFont="1" applyFill="1" applyBorder="1" applyAlignment="1">
      <alignment horizontal="right"/>
    </xf>
    <xf numFmtId="49" fontId="1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right" vertical="center"/>
    </xf>
    <xf numFmtId="49" fontId="1" fillId="0" borderId="8" xfId="0" applyNumberFormat="1" applyFont="1" applyBorder="1"/>
    <xf numFmtId="165" fontId="1" fillId="2" borderId="8" xfId="0" applyNumberFormat="1" applyFont="1" applyFill="1" applyBorder="1"/>
    <xf numFmtId="167" fontId="1" fillId="0" borderId="8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/>
    </xf>
    <xf numFmtId="167" fontId="1" fillId="0" borderId="9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49" fontId="1" fillId="0" borderId="8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0" fontId="0" fillId="0" borderId="8" xfId="0" applyBorder="1"/>
    <xf numFmtId="49" fontId="6" fillId="0" borderId="8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6" fontId="0" fillId="0" borderId="0" xfId="0" applyNumberFormat="1"/>
    <xf numFmtId="49" fontId="3" fillId="2" borderId="1" xfId="0" applyNumberFormat="1" applyFont="1" applyFill="1" applyBorder="1" applyAlignment="1">
      <alignment horizontal="left" vertical="center"/>
    </xf>
    <xf numFmtId="164" fontId="5" fillId="0" borderId="10" xfId="0" applyNumberFormat="1" applyFont="1" applyBorder="1" applyAlignment="1">
      <alignment horizontal="center" vertical="center"/>
    </xf>
    <xf numFmtId="165" fontId="1" fillId="0" borderId="1" xfId="0" applyNumberFormat="1" applyFont="1" applyBorder="1"/>
    <xf numFmtId="165" fontId="1" fillId="0" borderId="8" xfId="0" applyNumberFormat="1" applyFont="1" applyBorder="1" applyAlignment="1">
      <alignment horizontal="center"/>
    </xf>
    <xf numFmtId="165" fontId="4" fillId="0" borderId="8" xfId="0" applyNumberFormat="1" applyFont="1" applyBorder="1"/>
    <xf numFmtId="164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49" fontId="4" fillId="0" borderId="8" xfId="0" applyNumberFormat="1" applyFont="1" applyBorder="1"/>
    <xf numFmtId="168" fontId="0" fillId="0" borderId="0" xfId="0" applyNumberFormat="1"/>
    <xf numFmtId="49" fontId="3" fillId="2" borderId="0" xfId="0" applyNumberFormat="1" applyFont="1" applyFill="1" applyAlignment="1">
      <alignment horizontal="left" vertical="center"/>
    </xf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3" fillId="2" borderId="6" xfId="0" applyNumberFormat="1" applyFont="1" applyFill="1" applyBorder="1" applyAlignment="1">
      <alignment horizontal="left" vertical="center"/>
    </xf>
    <xf numFmtId="2" fontId="1" fillId="2" borderId="1" xfId="0" quotePrefix="1" applyNumberFormat="1" applyFont="1" applyFill="1" applyBorder="1" applyAlignment="1">
      <alignment horizontal="right"/>
    </xf>
    <xf numFmtId="2" fontId="1" fillId="0" borderId="0" xfId="0" quotePrefix="1" applyNumberFormat="1" applyFont="1" applyAlignment="1">
      <alignment horizontal="right"/>
    </xf>
    <xf numFmtId="0" fontId="1" fillId="0" borderId="7" xfId="0" quotePrefix="1" applyFont="1" applyBorder="1" applyAlignment="1">
      <alignment horizontal="right"/>
    </xf>
    <xf numFmtId="164" fontId="5" fillId="0" borderId="0" xfId="0" applyNumberFormat="1" applyFont="1" applyAlignment="1">
      <alignment horizontal="center"/>
    </xf>
    <xf numFmtId="164" fontId="1" fillId="2" borderId="9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5" fontId="1" fillId="2" borderId="9" xfId="0" applyNumberFormat="1" applyFont="1" applyFill="1" applyBorder="1"/>
    <xf numFmtId="165" fontId="1" fillId="2" borderId="1" xfId="0" applyNumberFormat="1" applyFont="1" applyFill="1" applyBorder="1"/>
    <xf numFmtId="167" fontId="1" fillId="0" borderId="1" xfId="0" applyNumberFormat="1" applyFont="1" applyBorder="1" applyAlignment="1">
      <alignment horizontal="center" vertical="center"/>
    </xf>
    <xf numFmtId="168" fontId="1" fillId="0" borderId="3" xfId="0" applyNumberFormat="1" applyFont="1" applyBorder="1"/>
    <xf numFmtId="168" fontId="2" fillId="0" borderId="3" xfId="0" applyNumberFormat="1" applyFont="1" applyBorder="1"/>
    <xf numFmtId="2" fontId="1" fillId="0" borderId="1" xfId="0" quotePrefix="1" applyNumberFormat="1" applyFont="1" applyBorder="1" applyAlignment="1">
      <alignment horizontal="right"/>
    </xf>
    <xf numFmtId="164" fontId="5" fillId="0" borderId="10" xfId="0" applyNumberFormat="1" applyFont="1" applyBorder="1" applyAlignment="1">
      <alignment horizontal="center"/>
    </xf>
    <xf numFmtId="167" fontId="1" fillId="0" borderId="10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167" fontId="1" fillId="0" borderId="14" xfId="0" applyNumberFormat="1" applyFont="1" applyBorder="1" applyAlignment="1">
      <alignment horizontal="center" vertical="center"/>
    </xf>
    <xf numFmtId="44" fontId="0" fillId="0" borderId="0" xfId="0" applyNumberFormat="1"/>
    <xf numFmtId="44" fontId="0" fillId="3" borderId="0" xfId="0" applyNumberFormat="1" applyFill="1"/>
    <xf numFmtId="169" fontId="1" fillId="4" borderId="1" xfId="0" quotePrefix="1" applyNumberFormat="1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center"/>
    </xf>
    <xf numFmtId="167" fontId="1" fillId="4" borderId="9" xfId="0" applyNumberFormat="1" applyFont="1" applyFill="1" applyBorder="1" applyAlignment="1">
      <alignment horizontal="center" vertical="center"/>
    </xf>
    <xf numFmtId="2" fontId="1" fillId="5" borderId="0" xfId="0" quotePrefix="1" applyNumberFormat="1" applyFont="1" applyFill="1" applyAlignment="1">
      <alignment horizontal="right"/>
    </xf>
    <xf numFmtId="0" fontId="1" fillId="5" borderId="0" xfId="0" applyFont="1" applyFill="1" applyAlignment="1">
      <alignment horizontal="right" vertical="center"/>
    </xf>
    <xf numFmtId="0" fontId="1" fillId="5" borderId="0" xfId="0" applyFont="1" applyFill="1" applyAlignment="1">
      <alignment horizontal="left" vertical="center"/>
    </xf>
    <xf numFmtId="0" fontId="1" fillId="5" borderId="3" xfId="0" applyFont="1" applyFill="1" applyBorder="1" applyAlignment="1">
      <alignment horizontal="center"/>
    </xf>
    <xf numFmtId="167" fontId="1" fillId="5" borderId="8" xfId="0" applyNumberFormat="1" applyFont="1" applyFill="1" applyBorder="1" applyAlignment="1">
      <alignment horizontal="center" vertical="center"/>
    </xf>
    <xf numFmtId="2" fontId="1" fillId="6" borderId="0" xfId="0" quotePrefix="1" applyNumberFormat="1" applyFont="1" applyFill="1" applyAlignment="1">
      <alignment horizontal="right"/>
    </xf>
    <xf numFmtId="0" fontId="1" fillId="6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left" vertical="center"/>
    </xf>
    <xf numFmtId="0" fontId="1" fillId="6" borderId="3" xfId="0" applyFont="1" applyFill="1" applyBorder="1" applyAlignment="1">
      <alignment horizontal="center"/>
    </xf>
    <xf numFmtId="167" fontId="1" fillId="6" borderId="8" xfId="0" applyNumberFormat="1" applyFont="1" applyFill="1" applyBorder="1" applyAlignment="1">
      <alignment horizontal="center" vertical="center"/>
    </xf>
    <xf numFmtId="2" fontId="1" fillId="7" borderId="0" xfId="0" quotePrefix="1" applyNumberFormat="1" applyFont="1" applyFill="1" applyAlignment="1">
      <alignment horizontal="right"/>
    </xf>
    <xf numFmtId="49" fontId="1" fillId="7" borderId="0" xfId="0" applyNumberFormat="1" applyFont="1" applyFill="1" applyAlignment="1">
      <alignment horizontal="right" vertical="center"/>
    </xf>
    <xf numFmtId="0" fontId="1" fillId="7" borderId="0" xfId="0" applyFont="1" applyFill="1" applyAlignment="1">
      <alignment horizontal="left" vertical="center"/>
    </xf>
    <xf numFmtId="49" fontId="1" fillId="7" borderId="3" xfId="0" applyNumberFormat="1" applyFont="1" applyFill="1" applyBorder="1" applyAlignment="1">
      <alignment horizontal="center"/>
    </xf>
    <xf numFmtId="167" fontId="1" fillId="7" borderId="8" xfId="0" applyNumberFormat="1" applyFont="1" applyFill="1" applyBorder="1" applyAlignment="1">
      <alignment horizontal="center" vertical="center"/>
    </xf>
    <xf numFmtId="2" fontId="1" fillId="8" borderId="0" xfId="0" quotePrefix="1" applyNumberFormat="1" applyFont="1" applyFill="1" applyAlignment="1">
      <alignment horizontal="right"/>
    </xf>
    <xf numFmtId="0" fontId="1" fillId="8" borderId="0" xfId="0" applyFont="1" applyFill="1" applyAlignment="1">
      <alignment horizontal="right" vertical="center"/>
    </xf>
    <xf numFmtId="0" fontId="1" fillId="8" borderId="0" xfId="0" applyFont="1" applyFill="1" applyAlignment="1">
      <alignment horizontal="left" vertical="center"/>
    </xf>
    <xf numFmtId="49" fontId="1" fillId="8" borderId="3" xfId="0" applyNumberFormat="1" applyFont="1" applyFill="1" applyBorder="1" applyAlignment="1">
      <alignment horizontal="center"/>
    </xf>
    <xf numFmtId="167" fontId="1" fillId="8" borderId="8" xfId="0" applyNumberFormat="1" applyFont="1" applyFill="1" applyBorder="1" applyAlignment="1">
      <alignment horizontal="center" vertical="center"/>
    </xf>
    <xf numFmtId="2" fontId="1" fillId="9" borderId="0" xfId="0" quotePrefix="1" applyNumberFormat="1" applyFont="1" applyFill="1" applyAlignment="1">
      <alignment horizontal="right"/>
    </xf>
    <xf numFmtId="0" fontId="1" fillId="9" borderId="0" xfId="0" applyFont="1" applyFill="1" applyAlignment="1">
      <alignment horizontal="right" vertical="center"/>
    </xf>
    <xf numFmtId="0" fontId="1" fillId="9" borderId="0" xfId="0" applyFont="1" applyFill="1" applyAlignment="1">
      <alignment horizontal="left" vertical="center"/>
    </xf>
    <xf numFmtId="0" fontId="1" fillId="9" borderId="3" xfId="0" applyFont="1" applyFill="1" applyBorder="1" applyAlignment="1">
      <alignment horizontal="center"/>
    </xf>
    <xf numFmtId="167" fontId="1" fillId="9" borderId="8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right" vertical="center"/>
    </xf>
    <xf numFmtId="0" fontId="1" fillId="7" borderId="3" xfId="0" applyFont="1" applyFill="1" applyBorder="1" applyAlignment="1">
      <alignment horizontal="center"/>
    </xf>
    <xf numFmtId="49" fontId="1" fillId="6" borderId="0" xfId="0" applyNumberFormat="1" applyFont="1" applyFill="1" applyAlignment="1">
      <alignment horizontal="right"/>
    </xf>
    <xf numFmtId="49" fontId="1" fillId="5" borderId="0" xfId="0" applyNumberFormat="1" applyFont="1" applyFill="1" applyAlignment="1">
      <alignment horizontal="right"/>
    </xf>
    <xf numFmtId="49" fontId="1" fillId="9" borderId="0" xfId="0" applyNumberFormat="1" applyFont="1" applyFill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5" borderId="1" xfId="0" quotePrefix="1" applyFont="1" applyFill="1" applyBorder="1" applyAlignment="1">
      <alignment horizontal="right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49" fontId="1" fillId="5" borderId="2" xfId="0" applyNumberFormat="1" applyFont="1" applyFill="1" applyBorder="1" applyAlignment="1">
      <alignment horizontal="center" vertical="center"/>
    </xf>
    <xf numFmtId="167" fontId="1" fillId="5" borderId="9" xfId="0" applyNumberFormat="1" applyFont="1" applyFill="1" applyBorder="1" applyAlignment="1">
      <alignment horizontal="center" vertical="center"/>
    </xf>
    <xf numFmtId="0" fontId="1" fillId="7" borderId="0" xfId="0" quotePrefix="1" applyFont="1" applyFill="1" applyAlignment="1">
      <alignment horizontal="right"/>
    </xf>
    <xf numFmtId="0" fontId="1" fillId="7" borderId="8" xfId="0" applyFont="1" applyFill="1" applyBorder="1" applyAlignment="1">
      <alignment horizontal="center"/>
    </xf>
    <xf numFmtId="167" fontId="1" fillId="7" borderId="0" xfId="0" applyNumberFormat="1" applyFont="1" applyFill="1" applyAlignment="1">
      <alignment horizontal="center" vertical="center"/>
    </xf>
    <xf numFmtId="0" fontId="1" fillId="9" borderId="0" xfId="0" quotePrefix="1" applyFont="1" applyFill="1" applyAlignment="1">
      <alignment horizontal="right"/>
    </xf>
    <xf numFmtId="0" fontId="1" fillId="9" borderId="8" xfId="0" applyFont="1" applyFill="1" applyBorder="1" applyAlignment="1">
      <alignment horizontal="center"/>
    </xf>
    <xf numFmtId="167" fontId="1" fillId="9" borderId="0" xfId="0" applyNumberFormat="1" applyFont="1" applyFill="1" applyAlignment="1">
      <alignment horizontal="center" vertical="center"/>
    </xf>
    <xf numFmtId="0" fontId="1" fillId="10" borderId="0" xfId="0" quotePrefix="1" applyFont="1" applyFill="1" applyAlignment="1">
      <alignment horizontal="right"/>
    </xf>
    <xf numFmtId="49" fontId="1" fillId="10" borderId="0" xfId="0" applyNumberFormat="1" applyFont="1" applyFill="1" applyAlignment="1">
      <alignment horizontal="right"/>
    </xf>
    <xf numFmtId="0" fontId="1" fillId="10" borderId="0" xfId="0" applyFont="1" applyFill="1" applyAlignment="1">
      <alignment horizontal="left" vertical="center"/>
    </xf>
    <xf numFmtId="0" fontId="1" fillId="10" borderId="8" xfId="0" applyFont="1" applyFill="1" applyBorder="1" applyAlignment="1">
      <alignment horizontal="center"/>
    </xf>
    <xf numFmtId="167" fontId="1" fillId="10" borderId="0" xfId="0" applyNumberFormat="1" applyFont="1" applyFill="1" applyAlignment="1">
      <alignment horizontal="center" vertical="center"/>
    </xf>
    <xf numFmtId="49" fontId="1" fillId="7" borderId="0" xfId="0" applyNumberFormat="1" applyFont="1" applyFill="1" applyAlignment="1">
      <alignment horizontal="right"/>
    </xf>
    <xf numFmtId="0" fontId="1" fillId="11" borderId="0" xfId="0" quotePrefix="1" applyFont="1" applyFill="1" applyAlignment="1">
      <alignment horizontal="right"/>
    </xf>
    <xf numFmtId="0" fontId="1" fillId="11" borderId="0" xfId="0" applyFont="1" applyFill="1" applyAlignment="1">
      <alignment horizontal="right" vertical="center"/>
    </xf>
    <xf numFmtId="0" fontId="1" fillId="11" borderId="0" xfId="0" applyFont="1" applyFill="1" applyAlignment="1">
      <alignment horizontal="left" vertical="center"/>
    </xf>
    <xf numFmtId="0" fontId="1" fillId="11" borderId="8" xfId="0" applyFont="1" applyFill="1" applyBorder="1" applyAlignment="1">
      <alignment horizontal="center"/>
    </xf>
    <xf numFmtId="167" fontId="1" fillId="11" borderId="0" xfId="0" applyNumberFormat="1" applyFont="1" applyFill="1" applyAlignment="1">
      <alignment horizontal="center" vertical="center"/>
    </xf>
    <xf numFmtId="49" fontId="1" fillId="11" borderId="0" xfId="0" applyNumberFormat="1" applyFont="1" applyFill="1" applyAlignment="1">
      <alignment horizontal="right" vertical="center"/>
    </xf>
    <xf numFmtId="0" fontId="1" fillId="12" borderId="0" xfId="0" quotePrefix="1" applyFont="1" applyFill="1" applyAlignment="1">
      <alignment horizontal="right"/>
    </xf>
    <xf numFmtId="0" fontId="1" fillId="12" borderId="0" xfId="0" applyFont="1" applyFill="1" applyAlignment="1">
      <alignment horizontal="right" vertical="center"/>
    </xf>
    <xf numFmtId="0" fontId="1" fillId="12" borderId="0" xfId="0" applyFont="1" applyFill="1" applyAlignment="1">
      <alignment horizontal="left" vertical="center"/>
    </xf>
    <xf numFmtId="49" fontId="1" fillId="12" borderId="8" xfId="0" applyNumberFormat="1" applyFont="1" applyFill="1" applyBorder="1" applyAlignment="1">
      <alignment horizontal="center" vertical="center"/>
    </xf>
    <xf numFmtId="167" fontId="1" fillId="12" borderId="0" xfId="0" applyNumberFormat="1" applyFont="1" applyFill="1" applyAlignment="1">
      <alignment horizontal="center" vertical="center"/>
    </xf>
    <xf numFmtId="164" fontId="5" fillId="7" borderId="8" xfId="0" applyNumberFormat="1" applyFont="1" applyFill="1" applyBorder="1" applyAlignment="1">
      <alignment horizontal="center"/>
    </xf>
    <xf numFmtId="0" fontId="1" fillId="13" borderId="7" xfId="0" quotePrefix="1" applyFont="1" applyFill="1" applyBorder="1" applyAlignment="1">
      <alignment horizontal="right"/>
    </xf>
    <xf numFmtId="0" fontId="1" fillId="13" borderId="7" xfId="0" applyFont="1" applyFill="1" applyBorder="1" applyAlignment="1">
      <alignment horizontal="right" vertical="center"/>
    </xf>
    <xf numFmtId="0" fontId="1" fillId="13" borderId="4" xfId="0" applyFont="1" applyFill="1" applyBorder="1" applyAlignment="1">
      <alignment horizontal="right"/>
    </xf>
    <xf numFmtId="164" fontId="5" fillId="13" borderId="10" xfId="0" applyNumberFormat="1" applyFont="1" applyFill="1" applyBorder="1" applyAlignment="1">
      <alignment horizontal="center" vertical="center"/>
    </xf>
    <xf numFmtId="167" fontId="1" fillId="13" borderId="0" xfId="0" applyNumberFormat="1" applyFont="1" applyFill="1" applyAlignment="1">
      <alignment horizontal="center" vertical="center"/>
    </xf>
    <xf numFmtId="0" fontId="1" fillId="14" borderId="0" xfId="0" quotePrefix="1" applyFont="1" applyFill="1" applyAlignment="1">
      <alignment horizontal="right"/>
    </xf>
    <xf numFmtId="0" fontId="1" fillId="14" borderId="0" xfId="0" applyFont="1" applyFill="1" applyAlignment="1">
      <alignment horizontal="right" vertical="center"/>
    </xf>
    <xf numFmtId="0" fontId="1" fillId="14" borderId="0" xfId="0" applyFont="1" applyFill="1" applyAlignment="1">
      <alignment horizontal="left" vertical="center"/>
    </xf>
    <xf numFmtId="49" fontId="1" fillId="14" borderId="8" xfId="0" applyNumberFormat="1" applyFont="1" applyFill="1" applyBorder="1" applyAlignment="1">
      <alignment horizontal="center" vertical="center"/>
    </xf>
    <xf numFmtId="167" fontId="1" fillId="14" borderId="0" xfId="0" applyNumberFormat="1" applyFont="1" applyFill="1" applyAlignment="1">
      <alignment horizontal="center" vertical="center"/>
    </xf>
    <xf numFmtId="0" fontId="1" fillId="12" borderId="0" xfId="0" applyFont="1" applyFill="1" applyAlignment="1">
      <alignment horizontal="right" vertical="center" wrapText="1"/>
    </xf>
    <xf numFmtId="49" fontId="1" fillId="11" borderId="8" xfId="0" applyNumberFormat="1" applyFont="1" applyFill="1" applyBorder="1" applyAlignment="1">
      <alignment horizontal="center" vertical="center"/>
    </xf>
    <xf numFmtId="0" fontId="1" fillId="8" borderId="7" xfId="0" quotePrefix="1" applyFont="1" applyFill="1" applyBorder="1" applyAlignment="1">
      <alignment horizontal="right"/>
    </xf>
    <xf numFmtId="0" fontId="8" fillId="8" borderId="7" xfId="0" applyFont="1" applyFill="1" applyBorder="1" applyAlignment="1">
      <alignment horizontal="right" vertical="center"/>
    </xf>
    <xf numFmtId="0" fontId="8" fillId="8" borderId="4" xfId="0" applyFont="1" applyFill="1" applyBorder="1" applyAlignment="1">
      <alignment horizontal="right"/>
    </xf>
    <xf numFmtId="164" fontId="8" fillId="8" borderId="10" xfId="0" applyNumberFormat="1" applyFont="1" applyFill="1" applyBorder="1" applyAlignment="1">
      <alignment horizontal="center" vertical="center"/>
    </xf>
    <xf numFmtId="167" fontId="8" fillId="8" borderId="0" xfId="0" applyNumberFormat="1" applyFont="1" applyFill="1" applyAlignment="1">
      <alignment horizontal="center" vertical="center"/>
    </xf>
    <xf numFmtId="2" fontId="1" fillId="14" borderId="0" xfId="0" quotePrefix="1" applyNumberFormat="1" applyFont="1" applyFill="1" applyAlignment="1">
      <alignment horizontal="right"/>
    </xf>
    <xf numFmtId="0" fontId="1" fillId="14" borderId="0" xfId="0" applyFont="1" applyFill="1" applyAlignment="1">
      <alignment horizontal="right"/>
    </xf>
    <xf numFmtId="49" fontId="1" fillId="14" borderId="8" xfId="0" applyNumberFormat="1" applyFont="1" applyFill="1" applyBorder="1" applyAlignment="1">
      <alignment horizontal="center"/>
    </xf>
    <xf numFmtId="167" fontId="1" fillId="14" borderId="8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right"/>
    </xf>
    <xf numFmtId="49" fontId="1" fillId="6" borderId="8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right"/>
    </xf>
    <xf numFmtId="49" fontId="1" fillId="5" borderId="8" xfId="0" applyNumberFormat="1" applyFont="1" applyFill="1" applyBorder="1" applyAlignment="1">
      <alignment horizontal="center"/>
    </xf>
    <xf numFmtId="2" fontId="1" fillId="12" borderId="0" xfId="0" quotePrefix="1" applyNumberFormat="1" applyFont="1" applyFill="1" applyAlignment="1">
      <alignment horizontal="right"/>
    </xf>
    <xf numFmtId="0" fontId="1" fillId="12" borderId="0" xfId="0" applyFont="1" applyFill="1" applyAlignment="1">
      <alignment horizontal="right"/>
    </xf>
    <xf numFmtId="49" fontId="1" fillId="12" borderId="0" xfId="0" applyNumberFormat="1" applyFont="1" applyFill="1" applyAlignment="1">
      <alignment horizontal="right" vertical="center"/>
    </xf>
    <xf numFmtId="164" fontId="1" fillId="12" borderId="8" xfId="0" applyNumberFormat="1" applyFont="1" applyFill="1" applyBorder="1" applyAlignment="1">
      <alignment horizontal="center"/>
    </xf>
    <xf numFmtId="167" fontId="1" fillId="12" borderId="8" xfId="0" applyNumberFormat="1" applyFont="1" applyFill="1" applyBorder="1" applyAlignment="1">
      <alignment horizontal="center" vertical="center"/>
    </xf>
    <xf numFmtId="2" fontId="1" fillId="10" borderId="0" xfId="0" quotePrefix="1" applyNumberFormat="1" applyFont="1" applyFill="1" applyAlignment="1">
      <alignment horizontal="right"/>
    </xf>
    <xf numFmtId="0" fontId="1" fillId="10" borderId="0" xfId="0" applyFont="1" applyFill="1" applyAlignment="1">
      <alignment horizontal="right"/>
    </xf>
    <xf numFmtId="0" fontId="1" fillId="10" borderId="0" xfId="0" applyFont="1" applyFill="1" applyAlignment="1">
      <alignment horizontal="right" vertical="center"/>
    </xf>
    <xf numFmtId="49" fontId="1" fillId="10" borderId="8" xfId="0" applyNumberFormat="1" applyFont="1" applyFill="1" applyBorder="1" applyAlignment="1">
      <alignment horizontal="center"/>
    </xf>
    <xf numFmtId="167" fontId="1" fillId="10" borderId="8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right"/>
    </xf>
    <xf numFmtId="164" fontId="1" fillId="7" borderId="8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right"/>
    </xf>
    <xf numFmtId="0" fontId="1" fillId="12" borderId="1" xfId="0" applyFont="1" applyFill="1" applyBorder="1" applyAlignment="1">
      <alignment horizontal="right" vertical="center"/>
    </xf>
    <xf numFmtId="164" fontId="1" fillId="12" borderId="9" xfId="0" applyNumberFormat="1" applyFont="1" applyFill="1" applyBorder="1" applyAlignment="1">
      <alignment horizontal="center"/>
    </xf>
    <xf numFmtId="167" fontId="1" fillId="12" borderId="9" xfId="0" applyNumberFormat="1" applyFont="1" applyFill="1" applyBorder="1" applyAlignment="1">
      <alignment horizontal="center" vertical="center"/>
    </xf>
    <xf numFmtId="2" fontId="1" fillId="13" borderId="0" xfId="0" quotePrefix="1" applyNumberFormat="1" applyFont="1" applyFill="1" applyAlignment="1">
      <alignment horizontal="right"/>
    </xf>
    <xf numFmtId="0" fontId="1" fillId="13" borderId="0" xfId="0" applyFont="1" applyFill="1" applyAlignment="1">
      <alignment horizontal="right"/>
    </xf>
    <xf numFmtId="0" fontId="1" fillId="13" borderId="5" xfId="0" applyFont="1" applyFill="1" applyBorder="1" applyAlignment="1">
      <alignment horizontal="right" vertical="center"/>
    </xf>
    <xf numFmtId="49" fontId="1" fillId="13" borderId="8" xfId="0" applyNumberFormat="1" applyFont="1" applyFill="1" applyBorder="1" applyAlignment="1">
      <alignment horizontal="center"/>
    </xf>
    <xf numFmtId="167" fontId="1" fillId="13" borderId="8" xfId="0" applyNumberFormat="1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right" vertical="center"/>
    </xf>
    <xf numFmtId="49" fontId="6" fillId="14" borderId="8" xfId="0" applyNumberFormat="1" applyFont="1" applyFill="1" applyBorder="1" applyAlignment="1">
      <alignment horizontal="center"/>
    </xf>
    <xf numFmtId="0" fontId="1" fillId="5" borderId="5" xfId="0" applyFont="1" applyFill="1" applyBorder="1" applyAlignment="1">
      <alignment horizontal="right" vertical="center"/>
    </xf>
    <xf numFmtId="49" fontId="6" fillId="5" borderId="8" xfId="0" applyNumberFormat="1" applyFont="1" applyFill="1" applyBorder="1" applyAlignment="1">
      <alignment horizontal="center"/>
    </xf>
    <xf numFmtId="164" fontId="5" fillId="13" borderId="8" xfId="0" applyNumberFormat="1" applyFont="1" applyFill="1" applyBorder="1" applyAlignment="1">
      <alignment horizontal="center"/>
    </xf>
    <xf numFmtId="2" fontId="1" fillId="14" borderId="1" xfId="0" quotePrefix="1" applyNumberFormat="1" applyFont="1" applyFill="1" applyBorder="1" applyAlignment="1">
      <alignment horizontal="right"/>
    </xf>
    <xf numFmtId="0" fontId="1" fillId="14" borderId="1" xfId="0" applyFont="1" applyFill="1" applyBorder="1" applyAlignment="1">
      <alignment horizontal="right"/>
    </xf>
    <xf numFmtId="0" fontId="1" fillId="14" borderId="6" xfId="0" applyFont="1" applyFill="1" applyBorder="1" applyAlignment="1">
      <alignment horizontal="right" vertical="center"/>
    </xf>
    <xf numFmtId="49" fontId="6" fillId="14" borderId="9" xfId="0" applyNumberFormat="1" applyFont="1" applyFill="1" applyBorder="1" applyAlignment="1">
      <alignment horizontal="center"/>
    </xf>
    <xf numFmtId="167" fontId="1" fillId="14" borderId="9" xfId="0" applyNumberFormat="1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left" vertical="center"/>
    </xf>
    <xf numFmtId="0" fontId="9" fillId="15" borderId="0" xfId="0" applyFont="1" applyFill="1"/>
    <xf numFmtId="14" fontId="0" fillId="0" borderId="0" xfId="0" applyNumberFormat="1"/>
    <xf numFmtId="170" fontId="2" fillId="4" borderId="1" xfId="0" applyNumberFormat="1" applyFont="1" applyFill="1" applyBorder="1"/>
    <xf numFmtId="170" fontId="1" fillId="0" borderId="0" xfId="0" applyNumberFormat="1" applyFont="1"/>
    <xf numFmtId="170" fontId="1" fillId="5" borderId="0" xfId="0" applyNumberFormat="1" applyFont="1" applyFill="1"/>
    <xf numFmtId="170" fontId="1" fillId="6" borderId="0" xfId="0" applyNumberFormat="1" applyFont="1" applyFill="1"/>
    <xf numFmtId="170" fontId="1" fillId="7" borderId="0" xfId="0" applyNumberFormat="1" applyFont="1" applyFill="1"/>
    <xf numFmtId="170" fontId="1" fillId="8" borderId="0" xfId="0" applyNumberFormat="1" applyFont="1" applyFill="1"/>
    <xf numFmtId="170" fontId="1" fillId="9" borderId="0" xfId="0" applyNumberFormat="1" applyFont="1" applyFill="1"/>
    <xf numFmtId="170" fontId="1" fillId="5" borderId="1" xfId="0" applyNumberFormat="1" applyFont="1" applyFill="1" applyBorder="1"/>
    <xf numFmtId="170" fontId="2" fillId="0" borderId="0" xfId="0" applyNumberFormat="1" applyFont="1"/>
    <xf numFmtId="170" fontId="1" fillId="0" borderId="2" xfId="0" applyNumberFormat="1" applyFont="1" applyBorder="1" applyAlignment="1">
      <alignment horizontal="center"/>
    </xf>
    <xf numFmtId="170" fontId="1" fillId="0" borderId="3" xfId="0" applyNumberFormat="1" applyFont="1" applyBorder="1"/>
    <xf numFmtId="170" fontId="1" fillId="7" borderId="3" xfId="0" applyNumberFormat="1" applyFont="1" applyFill="1" applyBorder="1"/>
    <xf numFmtId="170" fontId="1" fillId="9" borderId="3" xfId="0" applyNumberFormat="1" applyFont="1" applyFill="1" applyBorder="1"/>
    <xf numFmtId="170" fontId="1" fillId="10" borderId="3" xfId="0" applyNumberFormat="1" applyFont="1" applyFill="1" applyBorder="1"/>
    <xf numFmtId="170" fontId="1" fillId="11" borderId="3" xfId="0" applyNumberFormat="1" applyFont="1" applyFill="1" applyBorder="1"/>
    <xf numFmtId="170" fontId="1" fillId="12" borderId="3" xfId="0" applyNumberFormat="1" applyFont="1" applyFill="1" applyBorder="1"/>
    <xf numFmtId="170" fontId="0" fillId="0" borderId="3" xfId="0" applyNumberFormat="1" applyBorder="1"/>
    <xf numFmtId="170" fontId="1" fillId="13" borderId="3" xfId="0" applyNumberFormat="1" applyFont="1" applyFill="1" applyBorder="1"/>
    <xf numFmtId="170" fontId="1" fillId="14" borderId="3" xfId="0" applyNumberFormat="1" applyFont="1" applyFill="1" applyBorder="1"/>
    <xf numFmtId="170" fontId="1" fillId="0" borderId="2" xfId="0" applyNumberFormat="1" applyFont="1" applyBorder="1"/>
    <xf numFmtId="170" fontId="2" fillId="0" borderId="3" xfId="0" applyNumberFormat="1" applyFont="1" applyBorder="1"/>
    <xf numFmtId="170" fontId="0" fillId="0" borderId="0" xfId="0" applyNumberFormat="1"/>
    <xf numFmtId="170" fontId="8" fillId="8" borderId="3" xfId="0" applyNumberFormat="1" applyFont="1" applyFill="1" applyBorder="1"/>
    <xf numFmtId="170" fontId="1" fillId="0" borderId="1" xfId="0" applyNumberFormat="1" applyFont="1" applyBorder="1" applyAlignment="1">
      <alignment horizontal="center"/>
    </xf>
    <xf numFmtId="170" fontId="1" fillId="0" borderId="0" xfId="0" applyNumberFormat="1" applyFont="1" applyAlignment="1">
      <alignment horizontal="center"/>
    </xf>
    <xf numFmtId="170" fontId="1" fillId="14" borderId="0" xfId="0" applyNumberFormat="1" applyFont="1" applyFill="1"/>
    <xf numFmtId="170" fontId="1" fillId="12" borderId="0" xfId="0" applyNumberFormat="1" applyFont="1" applyFill="1"/>
    <xf numFmtId="170" fontId="1" fillId="10" borderId="0" xfId="0" applyNumberFormat="1" applyFont="1" applyFill="1"/>
    <xf numFmtId="170" fontId="1" fillId="12" borderId="1" xfId="0" applyNumberFormat="1" applyFont="1" applyFill="1" applyBorder="1"/>
    <xf numFmtId="170" fontId="4" fillId="0" borderId="0" xfId="0" applyNumberFormat="1" applyFont="1"/>
    <xf numFmtId="170" fontId="1" fillId="13" borderId="0" xfId="0" applyNumberFormat="1" applyFont="1" applyFill="1"/>
    <xf numFmtId="170" fontId="1" fillId="14" borderId="1" xfId="0" applyNumberFormat="1" applyFont="1" applyFill="1" applyBorder="1"/>
    <xf numFmtId="0" fontId="10" fillId="16" borderId="0" xfId="0" applyFont="1" applyFill="1"/>
    <xf numFmtId="0" fontId="0" fillId="16" borderId="0" xfId="0" applyFill="1"/>
    <xf numFmtId="0" fontId="12" fillId="4" borderId="0" xfId="0" applyFont="1" applyFill="1"/>
    <xf numFmtId="0" fontId="12" fillId="4" borderId="0" xfId="0" applyFont="1" applyFill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12" fillId="4" borderId="16" xfId="0" applyFont="1" applyFill="1" applyBorder="1"/>
    <xf numFmtId="0" fontId="12" fillId="4" borderId="16" xfId="0" applyFont="1" applyFill="1" applyBorder="1" applyAlignment="1">
      <alignment horizontal="right"/>
    </xf>
    <xf numFmtId="0" fontId="0" fillId="5" borderId="0" xfId="0" applyFill="1"/>
    <xf numFmtId="0" fontId="13" fillId="0" borderId="0" xfId="0" applyFont="1"/>
    <xf numFmtId="0" fontId="14" fillId="5" borderId="15" xfId="0" applyFont="1" applyFill="1" applyBorder="1" applyAlignment="1">
      <alignment horizontal="right"/>
    </xf>
    <xf numFmtId="4" fontId="14" fillId="5" borderId="15" xfId="0" applyNumberFormat="1" applyFont="1" applyFill="1" applyBorder="1" applyAlignment="1">
      <alignment horizontal="right"/>
    </xf>
    <xf numFmtId="0" fontId="10" fillId="17" borderId="0" xfId="0" applyFont="1" applyFill="1"/>
    <xf numFmtId="0" fontId="0" fillId="17" borderId="0" xfId="0" applyFill="1"/>
    <xf numFmtId="0" fontId="0" fillId="4" borderId="0" xfId="0" applyFill="1"/>
    <xf numFmtId="0" fontId="14" fillId="4" borderId="15" xfId="0" applyFont="1" applyFill="1" applyBorder="1" applyAlignment="1">
      <alignment horizontal="right"/>
    </xf>
    <xf numFmtId="4" fontId="14" fillId="4" borderId="15" xfId="0" applyNumberFormat="1" applyFont="1" applyFill="1" applyBorder="1" applyAlignment="1">
      <alignment horizontal="right"/>
    </xf>
    <xf numFmtId="0" fontId="0" fillId="14" borderId="0" xfId="0" applyFill="1"/>
    <xf numFmtId="0" fontId="14" fillId="14" borderId="15" xfId="0" applyFont="1" applyFill="1" applyBorder="1" applyAlignment="1">
      <alignment horizontal="right"/>
    </xf>
    <xf numFmtId="4" fontId="14" fillId="14" borderId="15" xfId="0" applyNumberFormat="1" applyFont="1" applyFill="1" applyBorder="1" applyAlignment="1">
      <alignment horizontal="right"/>
    </xf>
    <xf numFmtId="0" fontId="0" fillId="7" borderId="0" xfId="0" applyFill="1"/>
    <xf numFmtId="0" fontId="14" fillId="7" borderId="15" xfId="0" applyFont="1" applyFill="1" applyBorder="1" applyAlignment="1">
      <alignment horizontal="right"/>
    </xf>
    <xf numFmtId="4" fontId="14" fillId="7" borderId="15" xfId="0" applyNumberFormat="1" applyFont="1" applyFill="1" applyBorder="1" applyAlignment="1">
      <alignment horizontal="right"/>
    </xf>
    <xf numFmtId="0" fontId="10" fillId="18" borderId="0" xfId="0" applyFont="1" applyFill="1"/>
    <xf numFmtId="0" fontId="0" fillId="18" borderId="0" xfId="0" applyFill="1"/>
    <xf numFmtId="0" fontId="15" fillId="19" borderId="0" xfId="0" applyFont="1" applyFill="1"/>
    <xf numFmtId="0" fontId="0" fillId="19" borderId="0" xfId="0" applyFill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" fontId="13" fillId="0" borderId="0" xfId="0" applyNumberFormat="1" applyFont="1" applyAlignment="1">
      <alignment horizontal="right"/>
    </xf>
    <xf numFmtId="0" fontId="12" fillId="6" borderId="0" xfId="0" applyFont="1" applyFill="1"/>
    <xf numFmtId="0" fontId="12" fillId="6" borderId="0" xfId="0" applyFont="1" applyFill="1" applyAlignment="1">
      <alignment horizontal="center"/>
    </xf>
    <xf numFmtId="0" fontId="12" fillId="6" borderId="16" xfId="0" applyFont="1" applyFill="1" applyBorder="1" applyAlignment="1">
      <alignment horizontal="center"/>
    </xf>
    <xf numFmtId="0" fontId="12" fillId="6" borderId="16" xfId="0" applyFont="1" applyFill="1" applyBorder="1"/>
    <xf numFmtId="0" fontId="12" fillId="6" borderId="16" xfId="0" applyFont="1" applyFill="1" applyBorder="1" applyAlignment="1">
      <alignment horizontal="right"/>
    </xf>
    <xf numFmtId="0" fontId="10" fillId="20" borderId="0" xfId="0" applyFont="1" applyFill="1"/>
    <xf numFmtId="0" fontId="0" fillId="20" borderId="0" xfId="0" applyFill="1"/>
    <xf numFmtId="0" fontId="12" fillId="13" borderId="0" xfId="0" applyFont="1" applyFill="1"/>
    <xf numFmtId="0" fontId="12" fillId="13" borderId="0" xfId="0" applyFont="1" applyFill="1" applyAlignment="1">
      <alignment horizontal="center"/>
    </xf>
    <xf numFmtId="0" fontId="12" fillId="13" borderId="16" xfId="0" applyFont="1" applyFill="1" applyBorder="1" applyAlignment="1">
      <alignment horizontal="center"/>
    </xf>
    <xf numFmtId="0" fontId="12" fillId="13" borderId="16" xfId="0" applyFont="1" applyFill="1" applyBorder="1"/>
    <xf numFmtId="0" fontId="12" fillId="13" borderId="16" xfId="0" applyFont="1" applyFill="1" applyBorder="1" applyAlignment="1">
      <alignment horizontal="right"/>
    </xf>
    <xf numFmtId="0" fontId="10" fillId="21" borderId="0" xfId="0" applyFont="1" applyFill="1"/>
    <xf numFmtId="0" fontId="0" fillId="21" borderId="0" xfId="0" applyFill="1"/>
    <xf numFmtId="0" fontId="12" fillId="7" borderId="0" xfId="0" applyFont="1" applyFill="1"/>
    <xf numFmtId="0" fontId="12" fillId="7" borderId="0" xfId="0" applyFont="1" applyFill="1" applyAlignment="1">
      <alignment horizontal="center"/>
    </xf>
    <xf numFmtId="0" fontId="12" fillId="7" borderId="16" xfId="0" applyFont="1" applyFill="1" applyBorder="1" applyAlignment="1">
      <alignment horizontal="center"/>
    </xf>
    <xf numFmtId="0" fontId="12" fillId="7" borderId="16" xfId="0" applyFont="1" applyFill="1" applyBorder="1"/>
    <xf numFmtId="0" fontId="12" fillId="7" borderId="16" xfId="0" applyFont="1" applyFill="1" applyBorder="1" applyAlignment="1">
      <alignment horizontal="right"/>
    </xf>
    <xf numFmtId="0" fontId="0" fillId="10" borderId="0" xfId="0" applyFill="1"/>
    <xf numFmtId="0" fontId="14" fillId="10" borderId="15" xfId="0" applyFont="1" applyFill="1" applyBorder="1" applyAlignment="1">
      <alignment horizontal="right"/>
    </xf>
    <xf numFmtId="4" fontId="14" fillId="10" borderId="15" xfId="0" applyNumberFormat="1" applyFont="1" applyFill="1" applyBorder="1" applyAlignment="1">
      <alignment horizontal="right"/>
    </xf>
    <xf numFmtId="0" fontId="10" fillId="22" borderId="0" xfId="0" applyFont="1" applyFill="1"/>
    <xf numFmtId="0" fontId="0" fillId="22" borderId="0" xfId="0" applyFill="1"/>
    <xf numFmtId="0" fontId="12" fillId="10" borderId="0" xfId="0" applyFont="1" applyFill="1"/>
    <xf numFmtId="0" fontId="12" fillId="10" borderId="0" xfId="0" applyFont="1" applyFill="1" applyAlignment="1">
      <alignment horizontal="center"/>
    </xf>
    <xf numFmtId="0" fontId="12" fillId="10" borderId="16" xfId="0" applyFont="1" applyFill="1" applyBorder="1" applyAlignment="1">
      <alignment horizontal="center"/>
    </xf>
    <xf numFmtId="0" fontId="12" fillId="10" borderId="16" xfId="0" applyFont="1" applyFill="1" applyBorder="1"/>
    <xf numFmtId="0" fontId="12" fillId="10" borderId="16" xfId="0" applyFont="1" applyFill="1" applyBorder="1" applyAlignment="1">
      <alignment horizontal="right"/>
    </xf>
    <xf numFmtId="0" fontId="10" fillId="23" borderId="0" xfId="0" applyFont="1" applyFill="1"/>
    <xf numFmtId="0" fontId="0" fillId="23" borderId="0" xfId="0" applyFill="1"/>
    <xf numFmtId="0" fontId="0" fillId="9" borderId="0" xfId="0" applyFill="1"/>
    <xf numFmtId="0" fontId="14" fillId="9" borderId="15" xfId="0" applyFont="1" applyFill="1" applyBorder="1" applyAlignment="1">
      <alignment horizontal="right"/>
    </xf>
    <xf numFmtId="4" fontId="14" fillId="9" borderId="15" xfId="0" applyNumberFormat="1" applyFont="1" applyFill="1" applyBorder="1" applyAlignment="1">
      <alignment horizontal="right"/>
    </xf>
    <xf numFmtId="0" fontId="0" fillId="8" borderId="0" xfId="0" applyFill="1"/>
    <xf numFmtId="0" fontId="14" fillId="8" borderId="15" xfId="0" applyFont="1" applyFill="1" applyBorder="1" applyAlignment="1">
      <alignment horizontal="right"/>
    </xf>
    <xf numFmtId="4" fontId="14" fillId="8" borderId="15" xfId="0" applyNumberFormat="1" applyFont="1" applyFill="1" applyBorder="1" applyAlignment="1">
      <alignment horizontal="right"/>
    </xf>
    <xf numFmtId="0" fontId="10" fillId="24" borderId="0" xfId="0" applyFont="1" applyFill="1"/>
    <xf numFmtId="0" fontId="0" fillId="24" borderId="0" xfId="0" applyFill="1"/>
    <xf numFmtId="0" fontId="12" fillId="8" borderId="0" xfId="0" applyFont="1" applyFill="1"/>
    <xf numFmtId="0" fontId="12" fillId="8" borderId="0" xfId="0" applyFont="1" applyFill="1" applyAlignment="1">
      <alignment horizontal="center"/>
    </xf>
    <xf numFmtId="0" fontId="12" fillId="8" borderId="16" xfId="0" applyFont="1" applyFill="1" applyBorder="1" applyAlignment="1">
      <alignment horizontal="center"/>
    </xf>
    <xf numFmtId="0" fontId="12" fillId="8" borderId="16" xfId="0" applyFont="1" applyFill="1" applyBorder="1"/>
    <xf numFmtId="0" fontId="12" fillId="8" borderId="16" xfId="0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0" fillId="13" borderId="0" xfId="0" applyFill="1"/>
    <xf numFmtId="0" fontId="14" fillId="13" borderId="15" xfId="0" applyFont="1" applyFill="1" applyBorder="1" applyAlignment="1">
      <alignment horizontal="right"/>
    </xf>
    <xf numFmtId="4" fontId="14" fillId="13" borderId="15" xfId="0" applyNumberFormat="1" applyFont="1" applyFill="1" applyBorder="1" applyAlignment="1">
      <alignment horizontal="right"/>
    </xf>
    <xf numFmtId="0" fontId="0" fillId="6" borderId="0" xfId="0" applyFill="1"/>
    <xf numFmtId="0" fontId="14" fillId="6" borderId="15" xfId="0" applyFont="1" applyFill="1" applyBorder="1" applyAlignment="1">
      <alignment horizontal="right"/>
    </xf>
    <xf numFmtId="4" fontId="14" fillId="6" borderId="15" xfId="0" applyNumberFormat="1" applyFont="1" applyFill="1" applyBorder="1" applyAlignment="1">
      <alignment horizontal="right"/>
    </xf>
    <xf numFmtId="0" fontId="0" fillId="12" borderId="0" xfId="0" applyFill="1"/>
    <xf numFmtId="0" fontId="14" fillId="12" borderId="15" xfId="0" applyFont="1" applyFill="1" applyBorder="1" applyAlignment="1">
      <alignment horizontal="right"/>
    </xf>
    <xf numFmtId="4" fontId="14" fillId="12" borderId="15" xfId="0" applyNumberFormat="1" applyFont="1" applyFill="1" applyBorder="1" applyAlignment="1">
      <alignment horizontal="right"/>
    </xf>
    <xf numFmtId="0" fontId="0" fillId="11" borderId="0" xfId="0" applyFill="1"/>
    <xf numFmtId="0" fontId="14" fillId="11" borderId="15" xfId="0" applyFont="1" applyFill="1" applyBorder="1" applyAlignment="1">
      <alignment horizontal="right"/>
    </xf>
    <xf numFmtId="4" fontId="14" fillId="11" borderId="15" xfId="0" applyNumberFormat="1" applyFont="1" applyFill="1" applyBorder="1" applyAlignment="1">
      <alignment horizontal="right"/>
    </xf>
    <xf numFmtId="0" fontId="10" fillId="25" borderId="0" xfId="0" applyFont="1" applyFill="1"/>
    <xf numFmtId="0" fontId="0" fillId="25" borderId="0" xfId="0" applyFill="1"/>
    <xf numFmtId="0" fontId="14" fillId="6" borderId="16" xfId="0" applyFont="1" applyFill="1" applyBorder="1" applyAlignment="1">
      <alignment horizontal="center"/>
    </xf>
    <xf numFmtId="0" fontId="14" fillId="6" borderId="16" xfId="0" applyFont="1" applyFill="1" applyBorder="1"/>
    <xf numFmtId="0" fontId="14" fillId="6" borderId="16" xfId="0" applyFont="1" applyFill="1" applyBorder="1" applyAlignment="1">
      <alignment horizontal="right"/>
    </xf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14" fillId="4" borderId="16" xfId="0" applyFont="1" applyFill="1" applyBorder="1" applyAlignment="1">
      <alignment horizontal="right"/>
    </xf>
    <xf numFmtId="0" fontId="14" fillId="13" borderId="16" xfId="0" applyFont="1" applyFill="1" applyBorder="1" applyAlignment="1">
      <alignment horizontal="center"/>
    </xf>
    <xf numFmtId="0" fontId="14" fillId="13" borderId="16" xfId="0" applyFont="1" applyFill="1" applyBorder="1"/>
    <xf numFmtId="0" fontId="14" fillId="13" borderId="16" xfId="0" applyFont="1" applyFill="1" applyBorder="1" applyAlignment="1">
      <alignment horizontal="right"/>
    </xf>
    <xf numFmtId="0" fontId="14" fillId="9" borderId="16" xfId="0" applyFont="1" applyFill="1" applyBorder="1" applyAlignment="1">
      <alignment horizontal="center"/>
    </xf>
    <xf numFmtId="0" fontId="14" fillId="9" borderId="16" xfId="0" applyFont="1" applyFill="1" applyBorder="1"/>
    <xf numFmtId="0" fontId="14" fillId="9" borderId="16" xfId="0" applyFont="1" applyFill="1" applyBorder="1" applyAlignment="1">
      <alignment horizontal="right"/>
    </xf>
    <xf numFmtId="0" fontId="10" fillId="26" borderId="0" xfId="0" applyFont="1" applyFill="1"/>
    <xf numFmtId="0" fontId="0" fillId="26" borderId="0" xfId="0" applyFill="1"/>
    <xf numFmtId="0" fontId="14" fillId="11" borderId="16" xfId="0" applyFont="1" applyFill="1" applyBorder="1" applyAlignment="1">
      <alignment horizontal="center"/>
    </xf>
    <xf numFmtId="0" fontId="14" fillId="11" borderId="16" xfId="0" applyFont="1" applyFill="1" applyBorder="1"/>
    <xf numFmtId="0" fontId="14" fillId="11" borderId="16" xfId="0" applyFont="1" applyFill="1" applyBorder="1" applyAlignment="1">
      <alignment horizontal="right"/>
    </xf>
    <xf numFmtId="0" fontId="10" fillId="27" borderId="0" xfId="0" applyFont="1" applyFill="1"/>
    <xf numFmtId="0" fontId="0" fillId="27" borderId="0" xfId="0" applyFill="1"/>
    <xf numFmtId="0" fontId="14" fillId="7" borderId="16" xfId="0" applyFont="1" applyFill="1" applyBorder="1" applyAlignment="1">
      <alignment horizontal="center"/>
    </xf>
    <xf numFmtId="0" fontId="14" fillId="7" borderId="16" xfId="0" applyFont="1" applyFill="1" applyBorder="1"/>
    <xf numFmtId="0" fontId="14" fillId="7" borderId="16" xfId="0" applyFont="1" applyFill="1" applyBorder="1" applyAlignment="1">
      <alignment horizontal="right"/>
    </xf>
    <xf numFmtId="0" fontId="14" fillId="5" borderId="16" xfId="0" applyFont="1" applyFill="1" applyBorder="1" applyAlignment="1">
      <alignment horizontal="center"/>
    </xf>
    <xf numFmtId="0" fontId="14" fillId="5" borderId="16" xfId="0" applyFont="1" applyFill="1" applyBorder="1"/>
    <xf numFmtId="0" fontId="14" fillId="5" borderId="16" xfId="0" applyFont="1" applyFill="1" applyBorder="1" applyAlignment="1">
      <alignment horizontal="right"/>
    </xf>
    <xf numFmtId="0" fontId="10" fillId="22" borderId="0" xfId="0" applyFont="1" applyFill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14" fillId="14" borderId="16" xfId="0" applyFont="1" applyFill="1" applyBorder="1"/>
    <xf numFmtId="0" fontId="14" fillId="14" borderId="16" xfId="0" applyFont="1" applyFill="1" applyBorder="1" applyAlignment="1">
      <alignment horizontal="right"/>
    </xf>
    <xf numFmtId="0" fontId="14" fillId="12" borderId="16" xfId="0" applyFont="1" applyFill="1" applyBorder="1" applyAlignment="1">
      <alignment horizontal="center"/>
    </xf>
    <xf numFmtId="0" fontId="14" fillId="12" borderId="16" xfId="0" applyFont="1" applyFill="1" applyBorder="1"/>
    <xf numFmtId="0" fontId="14" fillId="12" borderId="16" xfId="0" applyFont="1" applyFill="1" applyBorder="1" applyAlignment="1">
      <alignment horizontal="right"/>
    </xf>
    <xf numFmtId="0" fontId="14" fillId="8" borderId="16" xfId="0" applyFont="1" applyFill="1" applyBorder="1" applyAlignment="1">
      <alignment horizontal="center"/>
    </xf>
    <xf numFmtId="0" fontId="14" fillId="8" borderId="16" xfId="0" applyFont="1" applyFill="1" applyBorder="1"/>
    <xf numFmtId="0" fontId="14" fillId="8" borderId="16" xfId="0" applyFont="1" applyFill="1" applyBorder="1" applyAlignment="1">
      <alignment horizontal="right"/>
    </xf>
    <xf numFmtId="0" fontId="14" fillId="10" borderId="16" xfId="0" applyFont="1" applyFill="1" applyBorder="1" applyAlignment="1">
      <alignment horizontal="center"/>
    </xf>
    <xf numFmtId="0" fontId="14" fillId="10" borderId="16" xfId="0" applyFont="1" applyFill="1" applyBorder="1"/>
    <xf numFmtId="0" fontId="14" fillId="10" borderId="16" xfId="0" applyFont="1" applyFill="1" applyBorder="1" applyAlignment="1">
      <alignment horizontal="right"/>
    </xf>
    <xf numFmtId="0" fontId="18" fillId="28" borderId="0" xfId="0" applyFont="1" applyFill="1"/>
    <xf numFmtId="4" fontId="17" fillId="28" borderId="0" xfId="0" applyNumberFormat="1" applyFont="1" applyFill="1" applyAlignment="1">
      <alignment horizontal="right"/>
    </xf>
    <xf numFmtId="0" fontId="17" fillId="28" borderId="0" xfId="0" applyFont="1" applyFill="1"/>
    <xf numFmtId="4" fontId="12" fillId="4" borderId="0" xfId="0" applyNumberFormat="1" applyFont="1" applyFill="1" applyAlignment="1">
      <alignment horizontal="right"/>
    </xf>
    <xf numFmtId="4" fontId="12" fillId="13" borderId="0" xfId="0" applyNumberFormat="1" applyFont="1" applyFill="1" applyAlignment="1">
      <alignment horizontal="right"/>
    </xf>
    <xf numFmtId="0" fontId="12" fillId="14" borderId="0" xfId="0" applyFont="1" applyFill="1" applyAlignment="1">
      <alignment horizontal="center"/>
    </xf>
    <xf numFmtId="0" fontId="12" fillId="14" borderId="0" xfId="0" applyFont="1" applyFill="1"/>
    <xf numFmtId="4" fontId="12" fillId="14" borderId="0" xfId="0" applyNumberFormat="1" applyFont="1" applyFill="1" applyAlignment="1">
      <alignment horizontal="right"/>
    </xf>
    <xf numFmtId="4" fontId="12" fillId="6" borderId="0" xfId="0" applyNumberFormat="1" applyFont="1" applyFill="1" applyAlignment="1">
      <alignment horizontal="right"/>
    </xf>
    <xf numFmtId="0" fontId="12" fillId="5" borderId="0" xfId="0" applyFont="1" applyFill="1" applyAlignment="1">
      <alignment horizontal="center"/>
    </xf>
    <xf numFmtId="0" fontId="12" fillId="5" borderId="0" xfId="0" applyFont="1" applyFill="1"/>
    <xf numFmtId="4" fontId="12" fillId="5" borderId="0" xfId="0" applyNumberFormat="1" applyFont="1" applyFill="1" applyAlignment="1">
      <alignment horizontal="right"/>
    </xf>
    <xf numFmtId="4" fontId="12" fillId="10" borderId="0" xfId="0" applyNumberFormat="1" applyFont="1" applyFill="1" applyAlignment="1">
      <alignment horizontal="right"/>
    </xf>
    <xf numFmtId="0" fontId="12" fillId="9" borderId="0" xfId="0" applyFont="1" applyFill="1" applyAlignment="1">
      <alignment horizontal="center"/>
    </xf>
    <xf numFmtId="0" fontId="12" fillId="9" borderId="0" xfId="0" applyFont="1" applyFill="1"/>
    <xf numFmtId="4" fontId="12" fillId="9" borderId="0" xfId="0" applyNumberFormat="1" applyFont="1" applyFill="1" applyAlignment="1">
      <alignment horizontal="right"/>
    </xf>
    <xf numFmtId="0" fontId="12" fillId="12" borderId="0" xfId="0" applyFont="1" applyFill="1" applyAlignment="1">
      <alignment horizontal="center"/>
    </xf>
    <xf numFmtId="0" fontId="12" fillId="12" borderId="0" xfId="0" applyFont="1" applyFill="1"/>
    <xf numFmtId="4" fontId="12" fillId="12" borderId="0" xfId="0" applyNumberFormat="1" applyFont="1" applyFill="1" applyAlignment="1">
      <alignment horizontal="right"/>
    </xf>
    <xf numFmtId="0" fontId="12" fillId="11" borderId="0" xfId="0" applyFont="1" applyFill="1" applyAlignment="1">
      <alignment horizontal="center"/>
    </xf>
    <xf numFmtId="0" fontId="12" fillId="11" borderId="0" xfId="0" applyFont="1" applyFill="1"/>
    <xf numFmtId="4" fontId="12" fillId="11" borderId="0" xfId="0" applyNumberFormat="1" applyFont="1" applyFill="1" applyAlignment="1">
      <alignment horizontal="right"/>
    </xf>
    <xf numFmtId="4" fontId="12" fillId="7" borderId="0" xfId="0" applyNumberFormat="1" applyFont="1" applyFill="1" applyAlignment="1">
      <alignment horizontal="right"/>
    </xf>
    <xf numFmtId="4" fontId="12" fillId="8" borderId="0" xfId="0" applyNumberFormat="1" applyFont="1" applyFill="1" applyAlignment="1">
      <alignment horizontal="right"/>
    </xf>
    <xf numFmtId="0" fontId="19" fillId="4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49" fontId="12" fillId="4" borderId="0" xfId="0" applyNumberFormat="1" applyFont="1" applyFill="1" applyAlignment="1">
      <alignment horizontal="center"/>
    </xf>
    <xf numFmtId="49" fontId="12" fillId="13" borderId="0" xfId="0" applyNumberFormat="1" applyFont="1" applyFill="1" applyAlignment="1">
      <alignment horizontal="center"/>
    </xf>
    <xf numFmtId="49" fontId="12" fillId="14" borderId="0" xfId="0" applyNumberFormat="1" applyFont="1" applyFill="1" applyAlignment="1">
      <alignment horizontal="center"/>
    </xf>
    <xf numFmtId="49" fontId="12" fillId="6" borderId="0" xfId="0" applyNumberFormat="1" applyFont="1" applyFill="1" applyAlignment="1">
      <alignment horizontal="center"/>
    </xf>
    <xf numFmtId="49" fontId="12" fillId="5" borderId="0" xfId="0" applyNumberFormat="1" applyFont="1" applyFill="1" applyAlignment="1">
      <alignment horizontal="center"/>
    </xf>
    <xf numFmtId="49" fontId="12" fillId="10" borderId="0" xfId="0" applyNumberFormat="1" applyFont="1" applyFill="1" applyAlignment="1">
      <alignment horizontal="center"/>
    </xf>
    <xf numFmtId="49" fontId="12" fillId="9" borderId="0" xfId="0" applyNumberFormat="1" applyFont="1" applyFill="1" applyAlignment="1">
      <alignment horizontal="center"/>
    </xf>
    <xf numFmtId="49" fontId="12" fillId="12" borderId="0" xfId="0" applyNumberFormat="1" applyFont="1" applyFill="1" applyAlignment="1">
      <alignment horizontal="center"/>
    </xf>
    <xf numFmtId="49" fontId="12" fillId="11" borderId="0" xfId="0" applyNumberFormat="1" applyFont="1" applyFill="1" applyAlignment="1">
      <alignment horizontal="center"/>
    </xf>
    <xf numFmtId="49" fontId="12" fillId="7" borderId="0" xfId="0" applyNumberFormat="1" applyFont="1" applyFill="1" applyAlignment="1">
      <alignment horizontal="center"/>
    </xf>
    <xf numFmtId="49" fontId="12" fillId="8" borderId="0" xfId="0" applyNumberFormat="1" applyFont="1" applyFill="1" applyAlignment="1">
      <alignment horizontal="center"/>
    </xf>
    <xf numFmtId="49" fontId="17" fillId="28" borderId="0" xfId="0" applyNumberFormat="1" applyFont="1" applyFill="1" applyAlignment="1">
      <alignment horizontal="center"/>
    </xf>
    <xf numFmtId="0" fontId="0" fillId="4" borderId="17" xfId="0" applyFill="1" applyBorder="1"/>
    <xf numFmtId="0" fontId="14" fillId="4" borderId="18" xfId="0" applyFont="1" applyFill="1" applyBorder="1" applyAlignment="1">
      <alignment horizontal="right"/>
    </xf>
    <xf numFmtId="4" fontId="14" fillId="4" borderId="18" xfId="0" applyNumberFormat="1" applyFont="1" applyFill="1" applyBorder="1" applyAlignment="1">
      <alignment horizontal="right"/>
    </xf>
    <xf numFmtId="0" fontId="0" fillId="13" borderId="17" xfId="0" applyFill="1" applyBorder="1"/>
    <xf numFmtId="0" fontId="14" fillId="13" borderId="18" xfId="0" applyFont="1" applyFill="1" applyBorder="1" applyAlignment="1">
      <alignment horizontal="right"/>
    </xf>
    <xf numFmtId="4" fontId="14" fillId="13" borderId="18" xfId="0" applyNumberFormat="1" applyFont="1" applyFill="1" applyBorder="1" applyAlignment="1">
      <alignment horizontal="right"/>
    </xf>
    <xf numFmtId="0" fontId="0" fillId="14" borderId="17" xfId="0" applyFill="1" applyBorder="1"/>
    <xf numFmtId="0" fontId="14" fillId="14" borderId="18" xfId="0" applyFont="1" applyFill="1" applyBorder="1" applyAlignment="1">
      <alignment horizontal="right"/>
    </xf>
    <xf numFmtId="4" fontId="14" fillId="14" borderId="18" xfId="0" applyNumberFormat="1" applyFont="1" applyFill="1" applyBorder="1" applyAlignment="1">
      <alignment horizontal="right"/>
    </xf>
    <xf numFmtId="0" fontId="0" fillId="6" borderId="17" xfId="0" applyFill="1" applyBorder="1"/>
    <xf numFmtId="0" fontId="14" fillId="6" borderId="18" xfId="0" applyFont="1" applyFill="1" applyBorder="1" applyAlignment="1">
      <alignment horizontal="right"/>
    </xf>
    <xf numFmtId="4" fontId="14" fillId="6" borderId="18" xfId="0" applyNumberFormat="1" applyFont="1" applyFill="1" applyBorder="1" applyAlignment="1">
      <alignment horizontal="right"/>
    </xf>
    <xf numFmtId="0" fontId="0" fillId="5" borderId="17" xfId="0" applyFill="1" applyBorder="1"/>
    <xf numFmtId="0" fontId="14" fillId="5" borderId="18" xfId="0" applyFont="1" applyFill="1" applyBorder="1" applyAlignment="1">
      <alignment horizontal="right"/>
    </xf>
    <xf numFmtId="4" fontId="14" fillId="5" borderId="18" xfId="0" applyNumberFormat="1" applyFont="1" applyFill="1" applyBorder="1" applyAlignment="1">
      <alignment horizontal="right"/>
    </xf>
    <xf numFmtId="0" fontId="0" fillId="10" borderId="17" xfId="0" applyFill="1" applyBorder="1"/>
    <xf numFmtId="0" fontId="14" fillId="10" borderId="18" xfId="0" applyFont="1" applyFill="1" applyBorder="1" applyAlignment="1">
      <alignment horizontal="right"/>
    </xf>
    <xf numFmtId="4" fontId="14" fillId="10" borderId="18" xfId="0" applyNumberFormat="1" applyFont="1" applyFill="1" applyBorder="1" applyAlignment="1">
      <alignment horizontal="right"/>
    </xf>
    <xf numFmtId="0" fontId="0" fillId="9" borderId="17" xfId="0" applyFill="1" applyBorder="1"/>
    <xf numFmtId="0" fontId="14" fillId="9" borderId="18" xfId="0" applyFont="1" applyFill="1" applyBorder="1" applyAlignment="1">
      <alignment horizontal="right"/>
    </xf>
    <xf numFmtId="4" fontId="14" fillId="9" borderId="18" xfId="0" applyNumberFormat="1" applyFont="1" applyFill="1" applyBorder="1" applyAlignment="1">
      <alignment horizontal="right"/>
    </xf>
    <xf numFmtId="0" fontId="0" fillId="12" borderId="17" xfId="0" applyFill="1" applyBorder="1"/>
    <xf numFmtId="0" fontId="14" fillId="12" borderId="18" xfId="0" applyFont="1" applyFill="1" applyBorder="1" applyAlignment="1">
      <alignment horizontal="right"/>
    </xf>
    <xf numFmtId="4" fontId="14" fillId="12" borderId="18" xfId="0" applyNumberFormat="1" applyFont="1" applyFill="1" applyBorder="1" applyAlignment="1">
      <alignment horizontal="right"/>
    </xf>
    <xf numFmtId="0" fontId="0" fillId="11" borderId="17" xfId="0" applyFill="1" applyBorder="1"/>
    <xf numFmtId="0" fontId="14" fillId="11" borderId="18" xfId="0" applyFont="1" applyFill="1" applyBorder="1" applyAlignment="1">
      <alignment horizontal="right"/>
    </xf>
    <xf numFmtId="4" fontId="14" fillId="11" borderId="18" xfId="0" applyNumberFormat="1" applyFont="1" applyFill="1" applyBorder="1" applyAlignment="1">
      <alignment horizontal="right"/>
    </xf>
    <xf numFmtId="0" fontId="0" fillId="7" borderId="17" xfId="0" applyFill="1" applyBorder="1"/>
    <xf numFmtId="0" fontId="14" fillId="7" borderId="18" xfId="0" applyFont="1" applyFill="1" applyBorder="1" applyAlignment="1">
      <alignment horizontal="right"/>
    </xf>
    <xf numFmtId="4" fontId="14" fillId="7" borderId="18" xfId="0" applyNumberFormat="1" applyFont="1" applyFill="1" applyBorder="1" applyAlignment="1">
      <alignment horizontal="right"/>
    </xf>
    <xf numFmtId="0" fontId="0" fillId="8" borderId="17" xfId="0" applyFill="1" applyBorder="1"/>
    <xf numFmtId="0" fontId="14" fillId="8" borderId="18" xfId="0" applyFont="1" applyFill="1" applyBorder="1" applyAlignment="1">
      <alignment horizontal="right"/>
    </xf>
    <xf numFmtId="4" fontId="14" fillId="8" borderId="18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8D64E1B-B08F-49B9-AFF3-275E68324418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2B88-FF0C-4EEA-A8F4-36AE6396DCDF}">
  <sheetPr>
    <outlinePr summaryBelow="0"/>
  </sheetPr>
  <dimension ref="A1:AC107"/>
  <sheetViews>
    <sheetView showGridLines="0" view="pageBreakPreview" topLeftCell="A21" zoomScale="60" zoomScaleNormal="115" workbookViewId="0">
      <selection activeCell="E75" sqref="E75"/>
    </sheetView>
  </sheetViews>
  <sheetFormatPr defaultRowHeight="14.25" outlineLevelRow="1" x14ac:dyDescent="0.45"/>
  <cols>
    <col min="1" max="1" width="6.265625" style="6" bestFit="1" customWidth="1"/>
    <col min="2" max="2" width="47.73046875" bestFit="1" customWidth="1"/>
    <col min="3" max="3" width="10.46484375" style="56" bestFit="1" customWidth="1"/>
    <col min="4" max="4" width="7.73046875" bestFit="1" customWidth="1"/>
    <col min="5" max="5" width="14.53125" bestFit="1" customWidth="1"/>
    <col min="6" max="6" width="13.265625" customWidth="1"/>
    <col min="7" max="7" width="29.59765625" customWidth="1"/>
    <col min="9" max="9" width="12.86328125" bestFit="1" customWidth="1"/>
    <col min="10" max="10" width="6.19921875" bestFit="1" customWidth="1"/>
    <col min="11" max="11" width="12.86328125" bestFit="1" customWidth="1"/>
    <col min="12" max="12" width="10.33203125" bestFit="1" customWidth="1"/>
    <col min="13" max="13" width="12.86328125" bestFit="1" customWidth="1"/>
    <col min="14" max="14" width="6.19921875" bestFit="1" customWidth="1"/>
    <col min="15" max="15" width="12.86328125" bestFit="1" customWidth="1"/>
    <col min="16" max="16" width="8.33203125" bestFit="1" customWidth="1"/>
    <col min="17" max="17" width="12.86328125" bestFit="1" customWidth="1"/>
    <col min="18" max="18" width="6.19921875" bestFit="1" customWidth="1"/>
    <col min="19" max="19" width="12.86328125" bestFit="1" customWidth="1"/>
    <col min="20" max="20" width="6.19921875" bestFit="1" customWidth="1"/>
    <col min="21" max="21" width="12.86328125" bestFit="1" customWidth="1"/>
    <col min="22" max="22" width="6.19921875" bestFit="1" customWidth="1"/>
    <col min="23" max="23" width="12.86328125" bestFit="1" customWidth="1"/>
    <col min="24" max="24" width="6.19921875" bestFit="1" customWidth="1"/>
    <col min="25" max="25" width="12.86328125" bestFit="1" customWidth="1"/>
    <col min="26" max="26" width="6.19921875" bestFit="1" customWidth="1"/>
    <col min="27" max="27" width="12.86328125" bestFit="1" customWidth="1"/>
    <col min="28" max="28" width="6.19921875" bestFit="1" customWidth="1"/>
    <col min="29" max="29" width="12.86328125" bestFit="1" customWidth="1"/>
  </cols>
  <sheetData>
    <row r="1" spans="1:29" ht="15.4" x14ac:dyDescent="0.45">
      <c r="A1" s="5"/>
      <c r="B1" s="1"/>
      <c r="C1" s="53"/>
      <c r="D1" s="1"/>
      <c r="E1" s="2"/>
      <c r="F1" s="2"/>
      <c r="G1" s="2"/>
      <c r="I1" s="74" t="s">
        <v>98</v>
      </c>
      <c r="J1" s="75"/>
      <c r="K1" s="76"/>
      <c r="L1" s="74" t="s">
        <v>99</v>
      </c>
      <c r="M1" s="75"/>
      <c r="N1" s="75"/>
      <c r="O1" s="76"/>
      <c r="P1" s="74" t="s">
        <v>100</v>
      </c>
      <c r="Q1" s="75"/>
      <c r="R1" s="75"/>
      <c r="S1" s="75"/>
      <c r="T1" s="76"/>
      <c r="U1" s="74" t="s">
        <v>101</v>
      </c>
      <c r="V1" s="75"/>
      <c r="W1" s="75"/>
      <c r="X1" s="76"/>
      <c r="Y1" s="74" t="s">
        <v>102</v>
      </c>
      <c r="Z1" s="75"/>
      <c r="AA1" s="75"/>
      <c r="AB1" s="76"/>
      <c r="AC1" s="77" t="s">
        <v>103</v>
      </c>
    </row>
    <row r="2" spans="1:29" ht="15.4" x14ac:dyDescent="0.45">
      <c r="A2" s="5"/>
      <c r="B2" s="1"/>
      <c r="C2" s="53"/>
      <c r="D2" s="37" t="s">
        <v>15</v>
      </c>
      <c r="E2" s="38" t="s">
        <v>18</v>
      </c>
      <c r="F2" s="21" t="s">
        <v>17</v>
      </c>
      <c r="I2" s="78">
        <v>3</v>
      </c>
      <c r="J2" s="78">
        <v>4</v>
      </c>
      <c r="K2" s="78">
        <v>5</v>
      </c>
      <c r="L2" s="78">
        <v>6</v>
      </c>
      <c r="M2" s="78">
        <v>7</v>
      </c>
      <c r="N2" s="78">
        <v>8</v>
      </c>
      <c r="O2" s="78">
        <v>9</v>
      </c>
      <c r="P2" s="78">
        <v>10</v>
      </c>
      <c r="Q2" s="78">
        <v>11</v>
      </c>
      <c r="R2" s="78">
        <v>12</v>
      </c>
      <c r="S2" s="78">
        <v>13</v>
      </c>
      <c r="T2" s="78">
        <v>14</v>
      </c>
      <c r="U2" s="78">
        <v>15</v>
      </c>
      <c r="V2" s="78">
        <v>16</v>
      </c>
      <c r="W2" s="78">
        <v>17</v>
      </c>
      <c r="X2" s="78">
        <v>18</v>
      </c>
      <c r="Y2" s="78">
        <v>19</v>
      </c>
      <c r="Z2" s="78">
        <v>20</v>
      </c>
      <c r="AA2" s="78">
        <v>21</v>
      </c>
      <c r="AB2" s="78">
        <v>22</v>
      </c>
      <c r="AC2" s="78">
        <v>23</v>
      </c>
    </row>
    <row r="3" spans="1:29" ht="15.4" x14ac:dyDescent="0.45">
      <c r="A3" s="81" t="s">
        <v>50</v>
      </c>
      <c r="B3" s="82" t="s">
        <v>0</v>
      </c>
      <c r="C3" s="83"/>
      <c r="D3" s="84" t="s">
        <v>16</v>
      </c>
      <c r="E3" s="85">
        <v>3</v>
      </c>
      <c r="F3" s="205">
        <v>382722.56664552819</v>
      </c>
      <c r="H3" t="s">
        <v>104</v>
      </c>
      <c r="I3" s="79">
        <f>+SUMIF($E:$E,$I$2,$F:$F)</f>
        <v>382722.56664552819</v>
      </c>
      <c r="J3" s="79">
        <f t="shared" ref="J3:AC3" si="0">+SUMIF($E:$E,J2,$F:$F)</f>
        <v>0</v>
      </c>
      <c r="K3" s="79">
        <f t="shared" si="0"/>
        <v>215478.14785000001</v>
      </c>
      <c r="L3" s="79">
        <f t="shared" si="0"/>
        <v>0</v>
      </c>
      <c r="M3" s="79">
        <f t="shared" si="0"/>
        <v>190356.66324999998</v>
      </c>
      <c r="N3" s="79">
        <f t="shared" si="0"/>
        <v>0</v>
      </c>
      <c r="O3" s="79">
        <f t="shared" si="0"/>
        <v>326928.00835066277</v>
      </c>
      <c r="P3" s="79">
        <f t="shared" si="0"/>
        <v>0</v>
      </c>
      <c r="Q3" s="79">
        <f t="shared" si="0"/>
        <v>218438.17544819624</v>
      </c>
      <c r="R3" s="79">
        <f t="shared" si="0"/>
        <v>0</v>
      </c>
      <c r="S3" s="79">
        <f t="shared" si="0"/>
        <v>196557.21032433136</v>
      </c>
      <c r="T3" s="79">
        <f t="shared" si="0"/>
        <v>0</v>
      </c>
      <c r="U3" s="79">
        <f t="shared" si="0"/>
        <v>251338.08629261347</v>
      </c>
      <c r="V3" s="79">
        <f t="shared" si="0"/>
        <v>0</v>
      </c>
      <c r="W3" s="79">
        <f t="shared" si="0"/>
        <v>346719.17774399999</v>
      </c>
      <c r="X3" s="79">
        <f t="shared" si="0"/>
        <v>0</v>
      </c>
      <c r="Y3" s="79">
        <f t="shared" si="0"/>
        <v>246887.62644010692</v>
      </c>
      <c r="Z3" s="79">
        <f t="shared" si="0"/>
        <v>0</v>
      </c>
      <c r="AA3" s="79">
        <f t="shared" si="0"/>
        <v>254065.76203560323</v>
      </c>
      <c r="AB3" s="79">
        <f t="shared" si="0"/>
        <v>0</v>
      </c>
      <c r="AC3" s="79">
        <f t="shared" si="0"/>
        <v>153519.45041003704</v>
      </c>
    </row>
    <row r="4" spans="1:29" ht="15.4" x14ac:dyDescent="0.45">
      <c r="A4" s="5"/>
      <c r="B4" s="2"/>
      <c r="C4" s="55"/>
      <c r="D4" s="22"/>
      <c r="E4" s="25"/>
      <c r="F4" s="206"/>
      <c r="H4" t="s">
        <v>105</v>
      </c>
      <c r="I4" s="79">
        <v>382722.56664552819</v>
      </c>
      <c r="J4" s="79"/>
      <c r="K4" s="79">
        <v>276819.103</v>
      </c>
      <c r="L4" s="79"/>
      <c r="M4" s="79">
        <v>213029.17728528767</v>
      </c>
      <c r="N4" s="79"/>
      <c r="O4" s="79">
        <v>296122.27673918882</v>
      </c>
      <c r="P4" s="79"/>
      <c r="Q4" s="79">
        <v>228268.59499213271</v>
      </c>
      <c r="R4" s="79"/>
      <c r="S4" s="79">
        <v>251212.78610382581</v>
      </c>
      <c r="T4" s="79"/>
      <c r="U4" s="79">
        <v>259167.12066468157</v>
      </c>
      <c r="V4" s="79"/>
      <c r="W4" s="79">
        <v>327821.70856477157</v>
      </c>
      <c r="X4" s="79"/>
      <c r="Y4" s="79">
        <v>259881.71204221784</v>
      </c>
      <c r="Z4" s="79"/>
      <c r="AA4" s="79">
        <v>249522.61429163103</v>
      </c>
      <c r="AB4" s="79"/>
      <c r="AC4" s="79">
        <v>38443.657854013967</v>
      </c>
    </row>
    <row r="5" spans="1:29" ht="15.4" x14ac:dyDescent="0.45">
      <c r="A5" s="59" t="s">
        <v>51</v>
      </c>
      <c r="B5" s="41" t="s">
        <v>1</v>
      </c>
      <c r="C5" s="58"/>
      <c r="D5" s="23"/>
      <c r="E5" s="26"/>
      <c r="F5" s="206"/>
      <c r="I5" s="80">
        <f>+I3-I4</f>
        <v>0</v>
      </c>
      <c r="K5" s="80">
        <f>+K3-K4</f>
        <v>-61340.955149999994</v>
      </c>
      <c r="M5" s="80">
        <f>+M3-M4</f>
        <v>-22672.514035287692</v>
      </c>
      <c r="O5" s="80">
        <f>+O3-O4</f>
        <v>30805.731611473951</v>
      </c>
      <c r="Q5" s="80">
        <f>+Q3-Q4</f>
        <v>-9830.4195439364703</v>
      </c>
      <c r="S5" s="80">
        <f>+S3-S4</f>
        <v>-54655.575779494451</v>
      </c>
      <c r="U5" s="80">
        <f>+U3-U4</f>
        <v>-7829.0343720680976</v>
      </c>
      <c r="W5" s="80">
        <f>+W3-W4</f>
        <v>18897.469179228414</v>
      </c>
      <c r="Y5" s="80">
        <f>+Y3-Y4</f>
        <v>-12994.085602110921</v>
      </c>
      <c r="AA5" s="80">
        <f>+AA3-AA4</f>
        <v>4543.147743972193</v>
      </c>
      <c r="AC5" s="80">
        <f>+AC3-AC4</f>
        <v>115075.79255602308</v>
      </c>
    </row>
    <row r="6" spans="1:29" ht="15.4" outlineLevel="1" x14ac:dyDescent="0.45">
      <c r="A6" s="86" t="s">
        <v>52</v>
      </c>
      <c r="B6" s="87" t="s">
        <v>33</v>
      </c>
      <c r="C6" s="88" t="s">
        <v>29</v>
      </c>
      <c r="D6" s="89"/>
      <c r="E6" s="90">
        <v>11</v>
      </c>
      <c r="F6" s="207">
        <v>14255.011748196233</v>
      </c>
    </row>
    <row r="7" spans="1:29" ht="15.4" outlineLevel="1" x14ac:dyDescent="0.45">
      <c r="A7" s="91" t="s">
        <v>53</v>
      </c>
      <c r="B7" s="92" t="s">
        <v>48</v>
      </c>
      <c r="C7" s="93" t="s">
        <v>29</v>
      </c>
      <c r="D7" s="94"/>
      <c r="E7" s="95">
        <v>9</v>
      </c>
      <c r="F7" s="208">
        <v>51428.008350662771</v>
      </c>
    </row>
    <row r="8" spans="1:29" ht="15.4" x14ac:dyDescent="0.45">
      <c r="A8" s="96" t="s">
        <v>54</v>
      </c>
      <c r="B8" s="97" t="s">
        <v>38</v>
      </c>
      <c r="C8" s="98" t="s">
        <v>29</v>
      </c>
      <c r="D8" s="99"/>
      <c r="E8" s="100">
        <v>21</v>
      </c>
      <c r="F8" s="209">
        <v>22479.629323073164</v>
      </c>
    </row>
    <row r="9" spans="1:29" ht="15.4" x14ac:dyDescent="0.45">
      <c r="A9" s="101" t="s">
        <v>55</v>
      </c>
      <c r="B9" s="102" t="s">
        <v>2</v>
      </c>
      <c r="C9" s="103" t="s">
        <v>29</v>
      </c>
      <c r="D9" s="104"/>
      <c r="E9" s="105">
        <v>23</v>
      </c>
      <c r="F9" s="210">
        <v>25685.489808576502</v>
      </c>
    </row>
    <row r="10" spans="1:29" ht="15.4" x14ac:dyDescent="0.45">
      <c r="A10" s="96" t="s">
        <v>56</v>
      </c>
      <c r="B10" s="97" t="s">
        <v>3</v>
      </c>
      <c r="C10" s="98" t="s">
        <v>29</v>
      </c>
      <c r="D10" s="99"/>
      <c r="E10" s="100">
        <v>21</v>
      </c>
      <c r="F10" s="209">
        <v>1306.1345569683679</v>
      </c>
    </row>
    <row r="11" spans="1:29" ht="15.4" x14ac:dyDescent="0.45">
      <c r="A11" s="106" t="s">
        <v>57</v>
      </c>
      <c r="B11" s="107" t="s">
        <v>4</v>
      </c>
      <c r="C11" s="108" t="s">
        <v>29</v>
      </c>
      <c r="D11" s="109"/>
      <c r="E11" s="110">
        <v>15</v>
      </c>
      <c r="F11" s="211">
        <v>11045.641966698167</v>
      </c>
    </row>
    <row r="12" spans="1:29" ht="15.4" x14ac:dyDescent="0.45">
      <c r="A12" s="96" t="s">
        <v>58</v>
      </c>
      <c r="B12" s="111" t="s">
        <v>43</v>
      </c>
      <c r="C12" s="98" t="s">
        <v>29</v>
      </c>
      <c r="D12" s="112"/>
      <c r="E12" s="100">
        <v>21</v>
      </c>
      <c r="F12" s="209">
        <v>21663.40463392518</v>
      </c>
    </row>
    <row r="13" spans="1:29" ht="15.4" x14ac:dyDescent="0.45">
      <c r="A13" s="96" t="s">
        <v>59</v>
      </c>
      <c r="B13" s="111" t="s">
        <v>37</v>
      </c>
      <c r="C13" s="98" t="s">
        <v>29</v>
      </c>
      <c r="D13" s="112"/>
      <c r="E13" s="100">
        <v>21</v>
      </c>
      <c r="F13" s="209">
        <v>14593.600235853059</v>
      </c>
    </row>
    <row r="14" spans="1:29" ht="15.4" outlineLevel="1" x14ac:dyDescent="0.45">
      <c r="A14" s="91" t="s">
        <v>60</v>
      </c>
      <c r="B14" s="113" t="s">
        <v>31</v>
      </c>
      <c r="C14" s="93" t="s">
        <v>29</v>
      </c>
      <c r="D14" s="94"/>
      <c r="E14" s="95">
        <v>9</v>
      </c>
      <c r="F14" s="208">
        <v>95000</v>
      </c>
    </row>
    <row r="15" spans="1:29" ht="15.4" outlineLevel="1" x14ac:dyDescent="0.45">
      <c r="A15" s="86" t="s">
        <v>61</v>
      </c>
      <c r="B15" s="114" t="s">
        <v>32</v>
      </c>
      <c r="C15" s="88" t="s">
        <v>29</v>
      </c>
      <c r="D15" s="89"/>
      <c r="E15" s="90">
        <v>11</v>
      </c>
      <c r="F15" s="207">
        <v>114000</v>
      </c>
    </row>
    <row r="16" spans="1:29" ht="15.4" outlineLevel="1" x14ac:dyDescent="0.45">
      <c r="A16" s="106" t="s">
        <v>62</v>
      </c>
      <c r="B16" s="115" t="s">
        <v>34</v>
      </c>
      <c r="C16" s="108" t="s">
        <v>29</v>
      </c>
      <c r="D16" s="109"/>
      <c r="E16" s="110">
        <v>15</v>
      </c>
      <c r="F16" s="211">
        <v>151496.06015</v>
      </c>
    </row>
    <row r="17" spans="1:7" ht="15.4" x14ac:dyDescent="0.45">
      <c r="A17" s="101" t="s">
        <v>63</v>
      </c>
      <c r="B17" s="102" t="s">
        <v>41</v>
      </c>
      <c r="C17" s="103" t="s">
        <v>29</v>
      </c>
      <c r="D17" s="116"/>
      <c r="E17" s="105">
        <v>23</v>
      </c>
      <c r="F17" s="210">
        <v>7819.545194182987</v>
      </c>
    </row>
    <row r="18" spans="1:7" ht="15.4" x14ac:dyDescent="0.45">
      <c r="A18" s="5"/>
      <c r="B18" s="3"/>
      <c r="C18" s="53"/>
      <c r="D18" s="22"/>
      <c r="E18" s="27"/>
      <c r="F18" s="206">
        <v>0</v>
      </c>
    </row>
    <row r="19" spans="1:7" ht="15.4" x14ac:dyDescent="0.45">
      <c r="A19" s="59" t="s">
        <v>64</v>
      </c>
      <c r="B19" s="41" t="s">
        <v>20</v>
      </c>
      <c r="C19" s="58"/>
      <c r="D19" s="64"/>
      <c r="E19" s="65"/>
      <c r="F19" s="206">
        <v>0</v>
      </c>
    </row>
    <row r="20" spans="1:7" ht="15.4" x14ac:dyDescent="0.45">
      <c r="A20" s="117" t="s">
        <v>65</v>
      </c>
      <c r="B20" s="118" t="s">
        <v>42</v>
      </c>
      <c r="C20" s="119" t="s">
        <v>29</v>
      </c>
      <c r="D20" s="120"/>
      <c r="E20" s="121">
        <v>11</v>
      </c>
      <c r="F20" s="212">
        <v>36983.163699999997</v>
      </c>
    </row>
    <row r="21" spans="1:7" ht="15.4" x14ac:dyDescent="0.45">
      <c r="A21" s="5"/>
      <c r="B21" s="2"/>
      <c r="C21" s="55"/>
      <c r="D21" s="22"/>
      <c r="E21" s="28"/>
      <c r="F21" s="213">
        <f>SUM(F6:F20)</f>
        <v>567755.68966813653</v>
      </c>
    </row>
    <row r="22" spans="1:7" ht="15.4" x14ac:dyDescent="0.45">
      <c r="A22" s="5"/>
      <c r="B22" s="24"/>
      <c r="C22" s="54"/>
      <c r="D22" s="62"/>
      <c r="E22" s="10"/>
      <c r="F22" s="206"/>
    </row>
    <row r="23" spans="1:7" ht="15.4" x14ac:dyDescent="0.45">
      <c r="A23" s="5"/>
      <c r="B23" s="24"/>
      <c r="C23" s="54"/>
      <c r="D23" s="62"/>
      <c r="E23" s="10"/>
      <c r="F23" s="206"/>
    </row>
    <row r="24" spans="1:7" ht="15.4" x14ac:dyDescent="0.45">
      <c r="A24" s="5"/>
      <c r="B24" s="24"/>
      <c r="C24" s="54"/>
      <c r="D24" s="37" t="s">
        <v>15</v>
      </c>
      <c r="E24" s="38" t="s">
        <v>18</v>
      </c>
      <c r="F24" s="214" t="s">
        <v>17</v>
      </c>
    </row>
    <row r="25" spans="1:7" ht="15.4" x14ac:dyDescent="0.45">
      <c r="A25" s="5"/>
      <c r="B25" s="24"/>
      <c r="C25" s="54"/>
      <c r="D25" s="71"/>
      <c r="E25" s="72"/>
      <c r="F25" s="206"/>
    </row>
    <row r="26" spans="1:7" ht="15.4" x14ac:dyDescent="0.45">
      <c r="A26" s="59" t="s">
        <v>66</v>
      </c>
      <c r="B26" s="41" t="s">
        <v>6</v>
      </c>
      <c r="C26" s="58"/>
      <c r="D26" s="63"/>
      <c r="E26" s="66"/>
      <c r="F26" s="215"/>
    </row>
    <row r="27" spans="1:7" ht="15.4" x14ac:dyDescent="0.45">
      <c r="A27" s="122" t="s">
        <v>67</v>
      </c>
      <c r="B27" s="111" t="s">
        <v>49</v>
      </c>
      <c r="C27" s="98" t="s">
        <v>30</v>
      </c>
      <c r="D27" s="123"/>
      <c r="E27" s="124">
        <v>21</v>
      </c>
      <c r="F27" s="216">
        <v>35683.842913955465</v>
      </c>
    </row>
    <row r="28" spans="1:7" ht="15.4" x14ac:dyDescent="0.45">
      <c r="A28" s="125" t="s">
        <v>68</v>
      </c>
      <c r="B28" s="107" t="s">
        <v>44</v>
      </c>
      <c r="C28" s="108" t="s">
        <v>30</v>
      </c>
      <c r="D28" s="126"/>
      <c r="E28" s="127">
        <v>15</v>
      </c>
      <c r="F28" s="217">
        <v>55655.917488182102</v>
      </c>
    </row>
    <row r="29" spans="1:7" ht="15.4" x14ac:dyDescent="0.45">
      <c r="A29" s="128" t="s">
        <v>69</v>
      </c>
      <c r="B29" s="129" t="s">
        <v>22</v>
      </c>
      <c r="C29" s="130" t="s">
        <v>30</v>
      </c>
      <c r="D29" s="131"/>
      <c r="E29" s="132">
        <v>13</v>
      </c>
      <c r="F29" s="218">
        <v>47907.385324331364</v>
      </c>
      <c r="G29" s="11"/>
    </row>
    <row r="30" spans="1:7" ht="15.4" x14ac:dyDescent="0.45">
      <c r="A30" s="125" t="s">
        <v>70</v>
      </c>
      <c r="B30" s="115" t="s">
        <v>35</v>
      </c>
      <c r="C30" s="108" t="s">
        <v>30</v>
      </c>
      <c r="D30" s="126"/>
      <c r="E30" s="127">
        <v>15</v>
      </c>
      <c r="F30" s="217">
        <v>33140.466687733198</v>
      </c>
      <c r="G30" s="11"/>
    </row>
    <row r="31" spans="1:7" ht="15.4" x14ac:dyDescent="0.45">
      <c r="A31" s="122" t="s">
        <v>71</v>
      </c>
      <c r="B31" s="133" t="s">
        <v>7</v>
      </c>
      <c r="C31" s="98" t="s">
        <v>30</v>
      </c>
      <c r="D31" s="123"/>
      <c r="E31" s="124">
        <v>21</v>
      </c>
      <c r="F31" s="216">
        <v>22620.582871828003</v>
      </c>
      <c r="G31" s="11"/>
    </row>
    <row r="32" spans="1:7" ht="15.4" x14ac:dyDescent="0.45">
      <c r="A32" s="134" t="s">
        <v>72</v>
      </c>
      <c r="B32" s="135" t="s">
        <v>8</v>
      </c>
      <c r="C32" s="136" t="s">
        <v>30</v>
      </c>
      <c r="D32" s="137"/>
      <c r="E32" s="138">
        <v>19</v>
      </c>
      <c r="F32" s="219">
        <v>20452.573109759178</v>
      </c>
      <c r="G32" s="11"/>
    </row>
    <row r="33" spans="1:7" ht="15.4" x14ac:dyDescent="0.45">
      <c r="A33" s="134" t="s">
        <v>73</v>
      </c>
      <c r="B33" s="139" t="s">
        <v>9</v>
      </c>
      <c r="C33" s="136" t="s">
        <v>30</v>
      </c>
      <c r="D33" s="137"/>
      <c r="E33" s="138">
        <v>19</v>
      </c>
      <c r="F33" s="219">
        <v>30526.505530347749</v>
      </c>
      <c r="G33" s="11"/>
    </row>
    <row r="34" spans="1:7" ht="15.4" x14ac:dyDescent="0.45">
      <c r="A34" s="140" t="s">
        <v>74</v>
      </c>
      <c r="B34" s="141" t="s">
        <v>40</v>
      </c>
      <c r="C34" s="142" t="s">
        <v>30</v>
      </c>
      <c r="D34" s="143"/>
      <c r="E34" s="144">
        <v>17</v>
      </c>
      <c r="F34" s="220">
        <v>57000</v>
      </c>
      <c r="G34" s="11"/>
    </row>
    <row r="35" spans="1:7" ht="15.4" x14ac:dyDescent="0.45">
      <c r="A35" s="122" t="s">
        <v>75</v>
      </c>
      <c r="B35" s="97" t="s">
        <v>39</v>
      </c>
      <c r="C35" s="98" t="s">
        <v>30</v>
      </c>
      <c r="D35" s="145"/>
      <c r="E35" s="124">
        <v>21</v>
      </c>
      <c r="F35" s="216">
        <v>70643.56749999999</v>
      </c>
      <c r="G35" s="11"/>
    </row>
    <row r="36" spans="1:7" ht="15.4" x14ac:dyDescent="0.45">
      <c r="A36"/>
      <c r="D36" s="34"/>
      <c r="F36" s="221">
        <v>0</v>
      </c>
      <c r="G36" s="11"/>
    </row>
    <row r="37" spans="1:7" ht="15.4" x14ac:dyDescent="0.45">
      <c r="A37" s="59" t="s">
        <v>76</v>
      </c>
      <c r="B37" s="41" t="s">
        <v>19</v>
      </c>
      <c r="C37" s="51"/>
      <c r="D37" s="31"/>
      <c r="E37" s="66"/>
      <c r="F37" s="215">
        <v>0</v>
      </c>
      <c r="G37" s="11"/>
    </row>
    <row r="38" spans="1:7" ht="15.4" x14ac:dyDescent="0.45">
      <c r="A38" s="146" t="s">
        <v>77</v>
      </c>
      <c r="B38" s="147" t="s">
        <v>46</v>
      </c>
      <c r="C38" s="148"/>
      <c r="D38" s="149" t="s">
        <v>16</v>
      </c>
      <c r="E38" s="150">
        <v>5</v>
      </c>
      <c r="F38" s="222">
        <v>161453.54785</v>
      </c>
      <c r="G38" s="9"/>
    </row>
    <row r="39" spans="1:7" ht="15.4" x14ac:dyDescent="0.45">
      <c r="A39" s="151" t="s">
        <v>78</v>
      </c>
      <c r="B39" s="152" t="s">
        <v>47</v>
      </c>
      <c r="C39" s="153" t="s">
        <v>30</v>
      </c>
      <c r="D39" s="154"/>
      <c r="E39" s="155">
        <v>7</v>
      </c>
      <c r="F39" s="223">
        <v>21377.788249999998</v>
      </c>
      <c r="G39" s="8"/>
    </row>
    <row r="40" spans="1:7" ht="30" x14ac:dyDescent="0.45">
      <c r="A40" s="140" t="s">
        <v>79</v>
      </c>
      <c r="B40" s="156" t="s">
        <v>45</v>
      </c>
      <c r="C40" s="142" t="s">
        <v>30</v>
      </c>
      <c r="D40" s="143"/>
      <c r="E40" s="144">
        <v>17</v>
      </c>
      <c r="F40" s="220">
        <v>78344.177743999986</v>
      </c>
      <c r="G40" s="40"/>
    </row>
    <row r="41" spans="1:7" ht="15.4" x14ac:dyDescent="0.45">
      <c r="A41" s="134" t="s">
        <v>80</v>
      </c>
      <c r="B41" s="135" t="s">
        <v>36</v>
      </c>
      <c r="C41" s="136" t="s">
        <v>30</v>
      </c>
      <c r="D41" s="157"/>
      <c r="E41" s="138">
        <v>19</v>
      </c>
      <c r="F41" s="219">
        <v>195908.5478</v>
      </c>
    </row>
    <row r="42" spans="1:7" ht="15.4" x14ac:dyDescent="0.45">
      <c r="A42" s="16"/>
      <c r="B42" s="17"/>
      <c r="C42" s="57"/>
      <c r="D42" s="36"/>
      <c r="E42" s="67"/>
      <c r="F42" s="224"/>
    </row>
    <row r="43" spans="1:7" ht="15.4" x14ac:dyDescent="0.45">
      <c r="A43" s="5"/>
      <c r="B43" s="2"/>
      <c r="C43" s="55"/>
      <c r="D43" s="30"/>
      <c r="E43" s="12"/>
      <c r="F43" s="225">
        <f>SUM(F27:F42)</f>
        <v>830714.90307013714</v>
      </c>
    </row>
    <row r="44" spans="1:7" x14ac:dyDescent="0.45">
      <c r="F44" s="226"/>
    </row>
    <row r="45" spans="1:7" ht="15.4" x14ac:dyDescent="0.45">
      <c r="A45" s="59"/>
      <c r="B45" s="41" t="s">
        <v>95</v>
      </c>
      <c r="C45" s="51"/>
      <c r="D45" s="31"/>
      <c r="E45" s="66"/>
      <c r="F45" s="215"/>
      <c r="G45" s="11"/>
    </row>
    <row r="46" spans="1:7" ht="15.4" x14ac:dyDescent="0.45">
      <c r="A46" s="158"/>
      <c r="B46" s="159" t="s">
        <v>96</v>
      </c>
      <c r="C46" s="160"/>
      <c r="D46" s="161"/>
      <c r="E46" s="162">
        <v>23</v>
      </c>
      <c r="F46" s="227">
        <v>73603.715407277545</v>
      </c>
      <c r="G46" s="9"/>
    </row>
    <row r="47" spans="1:7" ht="15.4" x14ac:dyDescent="0.45">
      <c r="A47" s="5"/>
      <c r="B47" s="2"/>
      <c r="C47" s="55"/>
      <c r="D47" s="30"/>
      <c r="E47" s="12"/>
      <c r="F47" s="225">
        <f>SUM(F46)</f>
        <v>73603.715407277545</v>
      </c>
    </row>
    <row r="48" spans="1:7" x14ac:dyDescent="0.45">
      <c r="F48" s="226"/>
    </row>
    <row r="49" spans="1:6" ht="15.4" x14ac:dyDescent="0.45">
      <c r="A49" s="5"/>
      <c r="B49" s="5"/>
      <c r="C49" s="1"/>
      <c r="D49" s="1"/>
      <c r="F49" s="226"/>
    </row>
    <row r="50" spans="1:6" ht="15.4" x14ac:dyDescent="0.45">
      <c r="A50" s="5"/>
      <c r="B50" s="5"/>
      <c r="C50" s="1"/>
      <c r="D50" s="1"/>
      <c r="E50" s="2"/>
      <c r="F50" s="206"/>
    </row>
    <row r="51" spans="1:6" ht="15.4" x14ac:dyDescent="0.45">
      <c r="A51" s="5"/>
      <c r="B51" s="5"/>
      <c r="C51" s="1"/>
      <c r="D51" s="39" t="s">
        <v>15</v>
      </c>
      <c r="E51" s="38" t="s">
        <v>18</v>
      </c>
      <c r="F51" s="228" t="s">
        <v>17</v>
      </c>
    </row>
    <row r="52" spans="1:6" ht="15.4" x14ac:dyDescent="0.45">
      <c r="A52" s="5"/>
      <c r="B52" s="5"/>
      <c r="C52" s="2"/>
      <c r="D52" s="28"/>
      <c r="E52" s="44"/>
      <c r="F52" s="229"/>
    </row>
    <row r="53" spans="1:6" ht="15.4" x14ac:dyDescent="0.45">
      <c r="A53" s="59" t="s">
        <v>51</v>
      </c>
      <c r="B53" s="14"/>
      <c r="C53" s="41" t="s">
        <v>10</v>
      </c>
      <c r="D53" s="66"/>
      <c r="E53" s="66"/>
      <c r="F53" s="206"/>
    </row>
    <row r="54" spans="1:6" ht="15.4" x14ac:dyDescent="0.45">
      <c r="A54" s="163" t="s">
        <v>85</v>
      </c>
      <c r="B54" s="164"/>
      <c r="C54" s="152" t="s">
        <v>106</v>
      </c>
      <c r="D54" s="165"/>
      <c r="E54" s="166">
        <v>7</v>
      </c>
      <c r="F54" s="230">
        <v>47500</v>
      </c>
    </row>
    <row r="55" spans="1:6" ht="15.4" x14ac:dyDescent="0.45">
      <c r="A55" s="91" t="s">
        <v>86</v>
      </c>
      <c r="B55" s="167"/>
      <c r="C55" s="92" t="s">
        <v>106</v>
      </c>
      <c r="D55" s="168"/>
      <c r="E55" s="95">
        <v>9</v>
      </c>
      <c r="F55" s="208">
        <v>47500</v>
      </c>
    </row>
    <row r="56" spans="1:6" ht="15.4" x14ac:dyDescent="0.45">
      <c r="A56" s="91" t="s">
        <v>87</v>
      </c>
      <c r="B56" s="167"/>
      <c r="C56" s="92" t="s">
        <v>107</v>
      </c>
      <c r="D56" s="168"/>
      <c r="E56" s="95">
        <v>9</v>
      </c>
      <c r="F56" s="208">
        <v>47500</v>
      </c>
    </row>
    <row r="57" spans="1:6" ht="15.4" x14ac:dyDescent="0.45">
      <c r="A57" s="86" t="s">
        <v>88</v>
      </c>
      <c r="B57" s="169"/>
      <c r="C57" s="87" t="s">
        <v>107</v>
      </c>
      <c r="D57" s="170"/>
      <c r="E57" s="90">
        <v>11</v>
      </c>
      <c r="F57" s="207">
        <v>47500</v>
      </c>
    </row>
    <row r="58" spans="1:6" ht="15.4" x14ac:dyDescent="0.45">
      <c r="A58" s="171" t="s">
        <v>89</v>
      </c>
      <c r="B58" s="172"/>
      <c r="C58" s="173" t="s">
        <v>25</v>
      </c>
      <c r="D58" s="174"/>
      <c r="E58" s="175">
        <v>17</v>
      </c>
      <c r="F58" s="231">
        <v>84550</v>
      </c>
    </row>
    <row r="59" spans="1:6" ht="15.4" x14ac:dyDescent="0.45">
      <c r="A59" s="171" t="s">
        <v>90</v>
      </c>
      <c r="B59" s="172"/>
      <c r="C59" s="141" t="s">
        <v>11</v>
      </c>
      <c r="D59" s="174"/>
      <c r="E59" s="175">
        <v>17</v>
      </c>
      <c r="F59" s="231">
        <v>79325</v>
      </c>
    </row>
    <row r="60" spans="1:6" ht="15.4" x14ac:dyDescent="0.45">
      <c r="A60" s="91" t="s">
        <v>91</v>
      </c>
      <c r="B60" s="167"/>
      <c r="C60" s="92" t="s">
        <v>83</v>
      </c>
      <c r="D60" s="168"/>
      <c r="E60" s="95">
        <v>9</v>
      </c>
      <c r="F60" s="208">
        <v>85500</v>
      </c>
    </row>
    <row r="61" spans="1:6" ht="15.4" x14ac:dyDescent="0.45">
      <c r="A61" s="176" t="s">
        <v>92</v>
      </c>
      <c r="B61" s="177"/>
      <c r="C61" s="178" t="s">
        <v>82</v>
      </c>
      <c r="D61" s="179"/>
      <c r="E61" s="180">
        <v>13</v>
      </c>
      <c r="F61" s="232">
        <v>47500</v>
      </c>
    </row>
    <row r="62" spans="1:6" ht="15.4" x14ac:dyDescent="0.45">
      <c r="A62" s="96" t="s">
        <v>93</v>
      </c>
      <c r="B62" s="181"/>
      <c r="C62" s="97" t="s">
        <v>12</v>
      </c>
      <c r="D62" s="182"/>
      <c r="E62" s="100">
        <v>21</v>
      </c>
      <c r="F62" s="209">
        <v>65075</v>
      </c>
    </row>
    <row r="63" spans="1:6" ht="15.4" x14ac:dyDescent="0.45">
      <c r="A63" s="176" t="s">
        <v>94</v>
      </c>
      <c r="B63" s="177"/>
      <c r="C63" s="178" t="s">
        <v>26</v>
      </c>
      <c r="D63" s="179"/>
      <c r="E63" s="180">
        <v>13</v>
      </c>
      <c r="F63" s="232">
        <v>101149.825</v>
      </c>
    </row>
    <row r="64" spans="1:6" ht="15.4" x14ac:dyDescent="0.45">
      <c r="A64" s="163" t="s">
        <v>108</v>
      </c>
      <c r="B64" s="164"/>
      <c r="C64" s="152" t="s">
        <v>27</v>
      </c>
      <c r="D64" s="165"/>
      <c r="E64" s="166">
        <v>7</v>
      </c>
      <c r="F64" s="230">
        <v>101149.825</v>
      </c>
    </row>
    <row r="65" spans="1:6" ht="15.4" x14ac:dyDescent="0.45">
      <c r="A65" s="171" t="s">
        <v>109</v>
      </c>
      <c r="B65" s="183"/>
      <c r="C65" s="184" t="s">
        <v>5</v>
      </c>
      <c r="D65" s="185"/>
      <c r="E65" s="186">
        <v>17</v>
      </c>
      <c r="F65" s="233">
        <v>47500</v>
      </c>
    </row>
    <row r="66" spans="1:6" ht="15.4" x14ac:dyDescent="0.45">
      <c r="A66" s="5"/>
      <c r="B66" s="5"/>
      <c r="C66" s="18"/>
      <c r="D66" s="32"/>
      <c r="E66" s="27"/>
      <c r="F66" s="234">
        <f>SUM(F54:F65)</f>
        <v>801749.64999999991</v>
      </c>
    </row>
    <row r="67" spans="1:6" ht="15.4" x14ac:dyDescent="0.45">
      <c r="A67" s="5"/>
      <c r="B67" s="5"/>
      <c r="C67" s="3"/>
      <c r="D67" s="32"/>
      <c r="E67" s="27"/>
      <c r="F67" s="206"/>
    </row>
    <row r="68" spans="1:6" ht="15.4" x14ac:dyDescent="0.45">
      <c r="A68" s="59" t="s">
        <v>51</v>
      </c>
      <c r="B68" s="14"/>
      <c r="C68" s="41" t="s">
        <v>21</v>
      </c>
      <c r="D68" s="66"/>
      <c r="E68" s="66"/>
      <c r="F68" s="206"/>
    </row>
    <row r="69" spans="1:6" ht="15.4" x14ac:dyDescent="0.45">
      <c r="A69" s="187" t="s">
        <v>52</v>
      </c>
      <c r="B69" s="188"/>
      <c r="C69" s="189" t="s">
        <v>13</v>
      </c>
      <c r="D69" s="190"/>
      <c r="E69" s="191">
        <v>5</v>
      </c>
      <c r="F69" s="235">
        <v>20273.95</v>
      </c>
    </row>
    <row r="70" spans="1:6" ht="15.4" x14ac:dyDescent="0.45">
      <c r="A70" s="163" t="s">
        <v>53</v>
      </c>
      <c r="B70" s="164"/>
      <c r="C70" s="192" t="s">
        <v>28</v>
      </c>
      <c r="D70" s="193"/>
      <c r="E70" s="166">
        <v>7</v>
      </c>
      <c r="F70" s="230">
        <v>14535</v>
      </c>
    </row>
    <row r="71" spans="1:6" ht="15.4" x14ac:dyDescent="0.45">
      <c r="A71" s="86" t="s">
        <v>54</v>
      </c>
      <c r="B71" s="169"/>
      <c r="C71" s="194" t="s">
        <v>81</v>
      </c>
      <c r="D71" s="195"/>
      <c r="E71" s="90">
        <v>11</v>
      </c>
      <c r="F71" s="207">
        <v>5700</v>
      </c>
    </row>
    <row r="72" spans="1:6" ht="15.4" x14ac:dyDescent="0.45">
      <c r="A72" s="187" t="s">
        <v>55</v>
      </c>
      <c r="B72" s="188"/>
      <c r="C72" s="189" t="s">
        <v>84</v>
      </c>
      <c r="D72" s="196" t="s">
        <v>16</v>
      </c>
      <c r="E72" s="191">
        <v>5</v>
      </c>
      <c r="F72" s="235">
        <v>33750.65</v>
      </c>
    </row>
    <row r="73" spans="1:6" ht="15.4" x14ac:dyDescent="0.45">
      <c r="A73" s="197" t="s">
        <v>56</v>
      </c>
      <c r="B73" s="198"/>
      <c r="C73" s="199" t="s">
        <v>14</v>
      </c>
      <c r="D73" s="200"/>
      <c r="E73" s="201">
        <v>7</v>
      </c>
      <c r="F73" s="236">
        <v>5794.05</v>
      </c>
    </row>
    <row r="74" spans="1:6" ht="15.4" x14ac:dyDescent="0.45">
      <c r="A74" s="4"/>
      <c r="B74" s="4"/>
      <c r="C74" s="2"/>
      <c r="D74" s="49"/>
      <c r="E74" s="45"/>
      <c r="F74" s="234">
        <f>SUM(F69:F73)</f>
        <v>80053.650000000009</v>
      </c>
    </row>
    <row r="75" spans="1:6" ht="15.4" x14ac:dyDescent="0.45">
      <c r="A75" s="5"/>
      <c r="B75" s="5"/>
      <c r="C75" s="3"/>
      <c r="D75" s="2"/>
      <c r="E75" s="7"/>
      <c r="F75" s="229"/>
    </row>
    <row r="76" spans="1:6" ht="15.4" x14ac:dyDescent="0.45">
      <c r="A76" s="59"/>
      <c r="B76" s="41" t="s">
        <v>95</v>
      </c>
      <c r="C76" s="51"/>
      <c r="D76" s="66"/>
      <c r="E76" s="66"/>
      <c r="F76" s="215"/>
    </row>
    <row r="77" spans="1:6" ht="15.4" x14ac:dyDescent="0.45">
      <c r="A77" s="158"/>
      <c r="B77" s="202" t="s">
        <v>96</v>
      </c>
      <c r="C77" s="160"/>
      <c r="D77" s="161"/>
      <c r="E77" s="162">
        <v>23</v>
      </c>
      <c r="F77" s="227">
        <v>46410.700000000004</v>
      </c>
    </row>
    <row r="78" spans="1:6" x14ac:dyDescent="0.45">
      <c r="F78" s="50"/>
    </row>
    <row r="79" spans="1:6" x14ac:dyDescent="0.45">
      <c r="F79" s="50"/>
    </row>
    <row r="80" spans="1:6" x14ac:dyDescent="0.45">
      <c r="F80" s="50"/>
    </row>
    <row r="81" spans="6:6" x14ac:dyDescent="0.45">
      <c r="F81" s="50"/>
    </row>
    <row r="82" spans="6:6" x14ac:dyDescent="0.45">
      <c r="F82" s="50"/>
    </row>
    <row r="83" spans="6:6" x14ac:dyDescent="0.45">
      <c r="F83" s="50"/>
    </row>
    <row r="84" spans="6:6" x14ac:dyDescent="0.45">
      <c r="F84" s="50"/>
    </row>
    <row r="85" spans="6:6" x14ac:dyDescent="0.45">
      <c r="F85" s="50"/>
    </row>
    <row r="86" spans="6:6" x14ac:dyDescent="0.45">
      <c r="F86" s="50"/>
    </row>
    <row r="87" spans="6:6" x14ac:dyDescent="0.45">
      <c r="F87" s="50"/>
    </row>
    <row r="88" spans="6:6" x14ac:dyDescent="0.45">
      <c r="F88" s="50"/>
    </row>
    <row r="89" spans="6:6" x14ac:dyDescent="0.45">
      <c r="F89" s="50"/>
    </row>
    <row r="90" spans="6:6" x14ac:dyDescent="0.45">
      <c r="F90" s="50"/>
    </row>
    <row r="91" spans="6:6" x14ac:dyDescent="0.45">
      <c r="F91" s="50"/>
    </row>
    <row r="92" spans="6:6" x14ac:dyDescent="0.45">
      <c r="F92" s="50"/>
    </row>
    <row r="93" spans="6:6" x14ac:dyDescent="0.45">
      <c r="F93" s="50"/>
    </row>
    <row r="94" spans="6:6" x14ac:dyDescent="0.45">
      <c r="F94" s="50"/>
    </row>
    <row r="95" spans="6:6" x14ac:dyDescent="0.45">
      <c r="F95" s="50"/>
    </row>
    <row r="96" spans="6:6" x14ac:dyDescent="0.45">
      <c r="F96" s="50"/>
    </row>
    <row r="97" spans="6:6" x14ac:dyDescent="0.45">
      <c r="F97" s="50"/>
    </row>
    <row r="98" spans="6:6" x14ac:dyDescent="0.45">
      <c r="F98" s="50"/>
    </row>
    <row r="99" spans="6:6" x14ac:dyDescent="0.45">
      <c r="F99" s="50"/>
    </row>
    <row r="100" spans="6:6" x14ac:dyDescent="0.45">
      <c r="F100" s="50"/>
    </row>
    <row r="101" spans="6:6" x14ac:dyDescent="0.45">
      <c r="F101" s="50"/>
    </row>
    <row r="102" spans="6:6" x14ac:dyDescent="0.45">
      <c r="F102" s="50"/>
    </row>
    <row r="103" spans="6:6" x14ac:dyDescent="0.45">
      <c r="F103" s="50"/>
    </row>
    <row r="104" spans="6:6" x14ac:dyDescent="0.45">
      <c r="F104" s="50"/>
    </row>
    <row r="105" spans="6:6" x14ac:dyDescent="0.45">
      <c r="F105" s="50"/>
    </row>
    <row r="106" spans="6:6" x14ac:dyDescent="0.45">
      <c r="F106" s="50"/>
    </row>
    <row r="107" spans="6:6" x14ac:dyDescent="0.45">
      <c r="F107" s="50"/>
    </row>
  </sheetData>
  <autoFilter ref="E1:E163" xr:uid="{BD282B88-FF0C-4EEA-A8F4-36AE6396DCDF}"/>
  <phoneticPr fontId="7" type="noConversion"/>
  <pageMargins left="0.7" right="0.7" top="0.75" bottom="0.75" header="0.3" footer="0.3"/>
  <pageSetup paperSize="9" scale="86" orientation="portrait" r:id="rId1"/>
  <rowBreaks count="1" manualBreakCount="1">
    <brk id="47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7429-64E6-4822-84E5-18F0E1D00D01}">
  <sheetPr>
    <outlinePr summaryBelow="0"/>
  </sheetPr>
  <dimension ref="A1:G28"/>
  <sheetViews>
    <sheetView showGridLines="0" topLeftCell="A6" zoomScale="115" zoomScaleNormal="115" workbookViewId="0">
      <selection activeCell="F1" sqref="A1:F27"/>
    </sheetView>
  </sheetViews>
  <sheetFormatPr defaultRowHeight="14.25" outlineLevelRow="1" x14ac:dyDescent="0.45"/>
  <cols>
    <col min="1" max="1" width="6" style="6" bestFit="1" customWidth="1"/>
    <col min="2" max="2" width="6" style="6" customWidth="1"/>
    <col min="3" max="3" width="46.06640625" customWidth="1"/>
    <col min="4" max="4" width="7.73046875" bestFit="1" customWidth="1"/>
    <col min="5" max="5" width="14.53125" bestFit="1" customWidth="1"/>
    <col min="6" max="6" width="13.265625" customWidth="1"/>
  </cols>
  <sheetData>
    <row r="1" spans="1:6" ht="15.4" x14ac:dyDescent="0.45">
      <c r="A1" s="5"/>
      <c r="B1" s="5"/>
      <c r="C1" s="1"/>
      <c r="D1" s="1"/>
    </row>
    <row r="2" spans="1:6" ht="15.4" x14ac:dyDescent="0.45">
      <c r="A2" s="5"/>
      <c r="B2" s="5"/>
      <c r="C2" s="1"/>
      <c r="D2" s="1"/>
      <c r="E2" s="2"/>
      <c r="F2" s="2"/>
    </row>
    <row r="3" spans="1:6" ht="15.4" x14ac:dyDescent="0.45">
      <c r="A3" s="5"/>
      <c r="B3" s="5"/>
      <c r="C3" s="1"/>
      <c r="D3" s="39" t="s">
        <v>15</v>
      </c>
      <c r="E3" s="38" t="s">
        <v>18</v>
      </c>
      <c r="F3" s="20" t="s">
        <v>17</v>
      </c>
    </row>
    <row r="4" spans="1:6" ht="15.4" x14ac:dyDescent="0.45">
      <c r="A4" s="5"/>
      <c r="B4" s="5"/>
      <c r="C4" s="2"/>
      <c r="D4" s="28"/>
      <c r="E4" s="44"/>
      <c r="F4" s="8"/>
    </row>
    <row r="5" spans="1:6" ht="15.4" x14ac:dyDescent="0.45">
      <c r="A5" s="59" t="s">
        <v>51</v>
      </c>
      <c r="B5" s="14"/>
      <c r="C5" s="41" t="s">
        <v>10</v>
      </c>
      <c r="D5" s="66"/>
      <c r="E5" s="66"/>
      <c r="F5" s="11"/>
    </row>
    <row r="6" spans="1:6" ht="15.4" outlineLevel="1" x14ac:dyDescent="0.45">
      <c r="A6" s="60" t="s">
        <v>85</v>
      </c>
      <c r="B6" s="5"/>
      <c r="C6" s="3" t="s">
        <v>23</v>
      </c>
      <c r="D6" s="28"/>
      <c r="E6" s="27">
        <v>9</v>
      </c>
      <c r="F6" s="11">
        <v>95000</v>
      </c>
    </row>
    <row r="7" spans="1:6" ht="15.4" outlineLevel="1" x14ac:dyDescent="0.45">
      <c r="A7" s="60" t="s">
        <v>86</v>
      </c>
      <c r="B7" s="5"/>
      <c r="C7" s="3" t="s">
        <v>24</v>
      </c>
      <c r="D7" s="28"/>
      <c r="E7" s="27">
        <v>11</v>
      </c>
      <c r="F7" s="11">
        <v>95000</v>
      </c>
    </row>
    <row r="8" spans="1:6" ht="15.4" x14ac:dyDescent="0.45">
      <c r="A8" s="60" t="s">
        <v>87</v>
      </c>
      <c r="B8" s="5"/>
      <c r="C8" s="15" t="s">
        <v>25</v>
      </c>
      <c r="D8" s="46"/>
      <c r="E8" s="27">
        <v>17</v>
      </c>
      <c r="F8" s="11">
        <v>84550</v>
      </c>
    </row>
    <row r="9" spans="1:6" ht="15.4" x14ac:dyDescent="0.45">
      <c r="A9" s="60" t="s">
        <v>88</v>
      </c>
      <c r="B9" s="5"/>
      <c r="C9" s="3" t="s">
        <v>11</v>
      </c>
      <c r="D9" s="46"/>
      <c r="E9" s="27">
        <v>17</v>
      </c>
      <c r="F9" s="11">
        <v>79325</v>
      </c>
    </row>
    <row r="10" spans="1:6" ht="15.4" outlineLevel="1" x14ac:dyDescent="0.45">
      <c r="A10" s="60" t="s">
        <v>89</v>
      </c>
      <c r="B10" s="5"/>
      <c r="C10" s="3" t="s">
        <v>83</v>
      </c>
      <c r="D10" s="28"/>
      <c r="E10" s="27">
        <v>9</v>
      </c>
      <c r="F10" s="11">
        <v>85500</v>
      </c>
    </row>
    <row r="11" spans="1:6" ht="15.4" outlineLevel="1" x14ac:dyDescent="0.45">
      <c r="A11" s="60" t="s">
        <v>90</v>
      </c>
      <c r="B11" s="5"/>
      <c r="C11" s="3" t="s">
        <v>82</v>
      </c>
      <c r="D11" s="28"/>
      <c r="E11" s="27">
        <v>13</v>
      </c>
      <c r="F11" s="11">
        <v>47500</v>
      </c>
    </row>
    <row r="12" spans="1:6" ht="15.4" x14ac:dyDescent="0.45">
      <c r="A12" s="60" t="s">
        <v>91</v>
      </c>
      <c r="B12" s="5"/>
      <c r="C12" s="15" t="s">
        <v>12</v>
      </c>
      <c r="D12" s="46"/>
      <c r="E12" s="27">
        <v>21</v>
      </c>
      <c r="F12" s="11">
        <v>65075</v>
      </c>
    </row>
    <row r="13" spans="1:6" ht="15.4" outlineLevel="1" x14ac:dyDescent="0.45">
      <c r="A13" s="60" t="s">
        <v>92</v>
      </c>
      <c r="B13" s="5"/>
      <c r="C13" s="3" t="s">
        <v>26</v>
      </c>
      <c r="D13" s="28"/>
      <c r="E13" s="27">
        <v>13</v>
      </c>
      <c r="F13" s="11">
        <v>101149.825</v>
      </c>
    </row>
    <row r="14" spans="1:6" ht="15.4" outlineLevel="1" x14ac:dyDescent="0.45">
      <c r="A14" s="60" t="s">
        <v>93</v>
      </c>
      <c r="B14" s="5"/>
      <c r="C14" s="3" t="s">
        <v>27</v>
      </c>
      <c r="D14" s="28"/>
      <c r="E14" s="27">
        <v>7</v>
      </c>
      <c r="F14" s="11">
        <v>101149.825</v>
      </c>
    </row>
    <row r="15" spans="1:6" ht="15.4" x14ac:dyDescent="0.45">
      <c r="A15" s="70" t="s">
        <v>94</v>
      </c>
      <c r="B15" s="16"/>
      <c r="C15" s="17" t="s">
        <v>5</v>
      </c>
      <c r="D15" s="47"/>
      <c r="E15" s="29">
        <v>17</v>
      </c>
      <c r="F15" s="43">
        <v>47500</v>
      </c>
    </row>
    <row r="16" spans="1:6" ht="15.4" x14ac:dyDescent="0.45">
      <c r="A16" s="5"/>
      <c r="B16" s="5"/>
      <c r="C16" s="18"/>
      <c r="D16" s="32"/>
      <c r="E16" s="27"/>
      <c r="F16" s="13">
        <f>SUM(F6:F15)</f>
        <v>801749.64999999991</v>
      </c>
    </row>
    <row r="17" spans="1:7" ht="15.4" x14ac:dyDescent="0.45">
      <c r="A17" s="5"/>
      <c r="B17" s="5"/>
      <c r="C17" s="3"/>
      <c r="D17" s="32"/>
      <c r="E17" s="27"/>
      <c r="F17" s="11"/>
    </row>
    <row r="18" spans="1:7" ht="15.4" x14ac:dyDescent="0.45">
      <c r="A18" s="59" t="s">
        <v>51</v>
      </c>
      <c r="B18" s="14"/>
      <c r="C18" s="41" t="s">
        <v>21</v>
      </c>
      <c r="D18" s="66"/>
      <c r="E18" s="66"/>
      <c r="F18" s="11"/>
    </row>
    <row r="19" spans="1:7" ht="15.4" outlineLevel="1" x14ac:dyDescent="0.45">
      <c r="A19" s="60" t="s">
        <v>52</v>
      </c>
      <c r="B19" s="5"/>
      <c r="C19" s="18" t="s">
        <v>13</v>
      </c>
      <c r="D19" s="28"/>
      <c r="E19" s="27">
        <v>5</v>
      </c>
      <c r="F19" s="11">
        <v>20273.95</v>
      </c>
    </row>
    <row r="20" spans="1:7" ht="15.4" outlineLevel="1" x14ac:dyDescent="0.45">
      <c r="A20" s="60" t="s">
        <v>53</v>
      </c>
      <c r="B20" s="5"/>
      <c r="C20" s="18" t="s">
        <v>28</v>
      </c>
      <c r="D20" s="35"/>
      <c r="E20" s="27">
        <v>7</v>
      </c>
      <c r="F20" s="11">
        <v>14535</v>
      </c>
    </row>
    <row r="21" spans="1:7" ht="15.4" outlineLevel="1" x14ac:dyDescent="0.45">
      <c r="A21" s="60" t="s">
        <v>54</v>
      </c>
      <c r="B21" s="5"/>
      <c r="C21" s="18" t="s">
        <v>81</v>
      </c>
      <c r="D21" s="35"/>
      <c r="E21" s="27">
        <v>11</v>
      </c>
      <c r="F21" s="11">
        <v>5700</v>
      </c>
    </row>
    <row r="22" spans="1:7" ht="15.4" x14ac:dyDescent="0.45">
      <c r="A22" s="60" t="s">
        <v>55</v>
      </c>
      <c r="B22" s="5"/>
      <c r="C22" s="18" t="s">
        <v>84</v>
      </c>
      <c r="D22" s="33" t="s">
        <v>16</v>
      </c>
      <c r="E22" s="27">
        <v>5</v>
      </c>
      <c r="F22" s="11">
        <v>33750.65</v>
      </c>
    </row>
    <row r="23" spans="1:7" ht="15.4" x14ac:dyDescent="0.45">
      <c r="A23" s="70" t="s">
        <v>56</v>
      </c>
      <c r="B23" s="16"/>
      <c r="C23" s="19" t="s">
        <v>14</v>
      </c>
      <c r="D23" s="48"/>
      <c r="E23" s="29">
        <v>7</v>
      </c>
      <c r="F23" s="43">
        <v>5794.05</v>
      </c>
    </row>
    <row r="24" spans="1:7" ht="15.4" x14ac:dyDescent="0.45">
      <c r="A24" s="4"/>
      <c r="B24" s="4"/>
      <c r="C24" s="2"/>
      <c r="D24" s="49"/>
      <c r="E24" s="45"/>
      <c r="F24" s="13">
        <f>SUM(F19:F23)</f>
        <v>80053.650000000009</v>
      </c>
    </row>
    <row r="25" spans="1:7" ht="15.4" x14ac:dyDescent="0.45">
      <c r="A25" s="5"/>
      <c r="B25" s="5"/>
      <c r="C25" s="3"/>
      <c r="D25" s="2"/>
      <c r="E25" s="7"/>
      <c r="F25" s="8"/>
    </row>
    <row r="26" spans="1:7" ht="15.4" x14ac:dyDescent="0.45">
      <c r="A26" s="59"/>
      <c r="B26" s="41" t="s">
        <v>95</v>
      </c>
      <c r="C26" s="51"/>
      <c r="D26" s="66"/>
      <c r="E26" s="66"/>
      <c r="F26" s="68"/>
      <c r="G26" s="11"/>
    </row>
    <row r="27" spans="1:7" ht="15.4" x14ac:dyDescent="0.45">
      <c r="A27" s="61"/>
      <c r="B27" s="73" t="s">
        <v>96</v>
      </c>
      <c r="C27" s="52"/>
      <c r="D27" s="42"/>
      <c r="E27" s="10" t="s">
        <v>97</v>
      </c>
      <c r="F27" s="68">
        <v>46410.700000000004</v>
      </c>
      <c r="G27" s="9"/>
    </row>
    <row r="28" spans="1:7" ht="15.4" x14ac:dyDescent="0.45">
      <c r="A28" s="5"/>
      <c r="B28" s="2"/>
      <c r="C28" s="55"/>
      <c r="D28" s="30"/>
      <c r="E28" s="12"/>
      <c r="F28" s="69">
        <f>SUM(F27)</f>
        <v>46410.700000000004</v>
      </c>
    </row>
  </sheetData>
  <autoFilter ref="E1:E54" xr:uid="{933A7429-64E6-4822-84E5-18F0E1D00D01}"/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589F-9BD5-45C2-8964-BF437318DA00}">
  <dimension ref="A1:F4"/>
  <sheetViews>
    <sheetView workbookViewId="0"/>
  </sheetViews>
  <sheetFormatPr defaultRowHeight="14.25" x14ac:dyDescent="0.45"/>
  <sheetData>
    <row r="1" spans="1:6" x14ac:dyDescent="0.45">
      <c r="A1" s="203" t="s">
        <v>110</v>
      </c>
      <c r="B1" s="203" t="s">
        <v>111</v>
      </c>
      <c r="C1" s="203" t="s">
        <v>112</v>
      </c>
      <c r="D1" s="203" t="s">
        <v>113</v>
      </c>
      <c r="E1" s="203" t="s">
        <v>114</v>
      </c>
      <c r="F1" s="203" t="s">
        <v>115</v>
      </c>
    </row>
    <row r="2" spans="1:6" x14ac:dyDescent="0.45">
      <c r="A2">
        <v>1</v>
      </c>
      <c r="B2" s="204">
        <v>46059</v>
      </c>
      <c r="C2" t="s">
        <v>116</v>
      </c>
      <c r="D2" t="s">
        <v>117</v>
      </c>
      <c r="E2" t="s">
        <v>118</v>
      </c>
      <c r="F2" t="s">
        <v>119</v>
      </c>
    </row>
    <row r="3" spans="1:6" x14ac:dyDescent="0.45">
      <c r="A3">
        <v>2</v>
      </c>
      <c r="B3" s="204">
        <v>46059</v>
      </c>
      <c r="C3" t="s">
        <v>145</v>
      </c>
      <c r="D3" t="s">
        <v>146</v>
      </c>
      <c r="E3" t="s">
        <v>147</v>
      </c>
      <c r="F3" t="s">
        <v>148</v>
      </c>
    </row>
    <row r="4" spans="1:6" x14ac:dyDescent="0.45">
      <c r="A4">
        <v>3</v>
      </c>
      <c r="B4" s="204">
        <v>46059</v>
      </c>
      <c r="C4" t="s">
        <v>272</v>
      </c>
      <c r="D4" t="s">
        <v>273</v>
      </c>
      <c r="E4" t="s">
        <v>274</v>
      </c>
      <c r="F4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9BA62-7CF3-4E7E-8B39-E11578352805}">
  <sheetPr>
    <pageSetUpPr fitToPage="1"/>
  </sheetPr>
  <dimension ref="A1:F91"/>
  <sheetViews>
    <sheetView view="pageBreakPreview" topLeftCell="A24" zoomScale="60" zoomScaleNormal="100" workbookViewId="0">
      <selection activeCell="C77" sqref="C77"/>
    </sheetView>
  </sheetViews>
  <sheetFormatPr defaultRowHeight="14.25" x14ac:dyDescent="0.45"/>
  <cols>
    <col min="1" max="1" width="9.796875" customWidth="1"/>
    <col min="2" max="2" width="62.19921875" customWidth="1"/>
    <col min="3" max="4" width="10.6640625" customWidth="1"/>
    <col min="5" max="5" width="8.86328125" customWidth="1"/>
    <col min="6" max="6" width="17.796875" customWidth="1"/>
  </cols>
  <sheetData>
    <row r="1" spans="1:6" ht="17.25" x14ac:dyDescent="0.45">
      <c r="A1" s="261" t="s">
        <v>129</v>
      </c>
      <c r="B1" s="262"/>
      <c r="C1" s="262"/>
      <c r="D1" s="262"/>
      <c r="E1" s="262"/>
      <c r="F1" s="262"/>
    </row>
    <row r="3" spans="1:6" ht="16.5" x14ac:dyDescent="0.45">
      <c r="A3" s="271" t="s">
        <v>131</v>
      </c>
      <c r="B3" s="272"/>
      <c r="C3" s="272"/>
      <c r="D3" s="272"/>
      <c r="E3" s="272"/>
      <c r="F3" s="272"/>
    </row>
    <row r="4" spans="1:6" x14ac:dyDescent="0.45">
      <c r="A4" s="241" t="s">
        <v>121</v>
      </c>
      <c r="B4" s="242" t="s">
        <v>122</v>
      </c>
      <c r="C4" s="241" t="s">
        <v>123</v>
      </c>
      <c r="D4" s="241" t="s">
        <v>15</v>
      </c>
      <c r="E4" s="241" t="s">
        <v>124</v>
      </c>
      <c r="F4" s="243" t="s">
        <v>125</v>
      </c>
    </row>
    <row r="5" spans="1:6" x14ac:dyDescent="0.45">
      <c r="A5" s="263">
        <v>1.1000000000000001</v>
      </c>
      <c r="B5" s="245" t="s">
        <v>139</v>
      </c>
      <c r="C5" s="263"/>
      <c r="D5" s="310" t="s">
        <v>16</v>
      </c>
      <c r="E5" s="263">
        <v>3</v>
      </c>
      <c r="F5" s="265">
        <v>382722.57</v>
      </c>
    </row>
    <row r="6" spans="1:6" x14ac:dyDescent="0.45">
      <c r="A6" s="250"/>
      <c r="B6" s="250"/>
      <c r="C6" s="250"/>
      <c r="D6" s="250"/>
      <c r="E6" s="251" t="s">
        <v>126</v>
      </c>
      <c r="F6" s="252">
        <f>SUM(F5:F5)</f>
        <v>382722.57</v>
      </c>
    </row>
    <row r="8" spans="1:6" ht="16.5" x14ac:dyDescent="0.45">
      <c r="A8" s="248" t="s">
        <v>127</v>
      </c>
      <c r="B8" s="249"/>
      <c r="C8" s="249"/>
      <c r="D8" s="249"/>
      <c r="E8" s="249"/>
      <c r="F8" s="249"/>
    </row>
    <row r="9" spans="1:6" x14ac:dyDescent="0.45">
      <c r="A9" s="275" t="s">
        <v>121</v>
      </c>
      <c r="B9" s="276" t="s">
        <v>122</v>
      </c>
      <c r="C9" s="275" t="s">
        <v>123</v>
      </c>
      <c r="D9" s="275" t="s">
        <v>15</v>
      </c>
      <c r="E9" s="275" t="s">
        <v>124</v>
      </c>
      <c r="F9" s="277" t="s">
        <v>125</v>
      </c>
    </row>
    <row r="10" spans="1:6" x14ac:dyDescent="0.45">
      <c r="A10" s="263">
        <v>5.1100000000000003</v>
      </c>
      <c r="B10" s="245" t="s">
        <v>46</v>
      </c>
      <c r="C10" s="263" t="s">
        <v>30</v>
      </c>
      <c r="D10" s="310" t="s">
        <v>16</v>
      </c>
      <c r="E10" s="263">
        <v>5</v>
      </c>
      <c r="F10" s="265">
        <v>161453.54999999999</v>
      </c>
    </row>
    <row r="11" spans="1:6" x14ac:dyDescent="0.45">
      <c r="A11" s="263">
        <v>2.11</v>
      </c>
      <c r="B11" s="245" t="s">
        <v>144</v>
      </c>
      <c r="C11" s="263" t="s">
        <v>10</v>
      </c>
      <c r="D11" s="264"/>
      <c r="E11" s="263">
        <v>5</v>
      </c>
      <c r="F11" s="265">
        <v>20273.95</v>
      </c>
    </row>
    <row r="12" spans="1:6" x14ac:dyDescent="0.45">
      <c r="A12" s="263">
        <v>2.14</v>
      </c>
      <c r="B12" s="245" t="s">
        <v>84</v>
      </c>
      <c r="C12" s="263" t="s">
        <v>10</v>
      </c>
      <c r="D12" s="310" t="s">
        <v>16</v>
      </c>
      <c r="E12" s="263">
        <v>5</v>
      </c>
      <c r="F12" s="265">
        <v>33750.65</v>
      </c>
    </row>
    <row r="13" spans="1:6" x14ac:dyDescent="0.45">
      <c r="A13" s="311"/>
      <c r="B13" s="311"/>
      <c r="C13" s="311"/>
      <c r="D13" s="311"/>
      <c r="E13" s="312" t="s">
        <v>126</v>
      </c>
      <c r="F13" s="313">
        <f>SUM(F10:F12)</f>
        <v>215478.15</v>
      </c>
    </row>
    <row r="15" spans="1:6" ht="16.5" x14ac:dyDescent="0.45">
      <c r="A15" s="288" t="s">
        <v>135</v>
      </c>
      <c r="B15" s="289"/>
      <c r="C15" s="289"/>
      <c r="D15" s="289"/>
      <c r="E15" s="289"/>
      <c r="F15" s="289"/>
    </row>
    <row r="17" spans="1:6" x14ac:dyDescent="0.45">
      <c r="A17" s="263">
        <v>5.12</v>
      </c>
      <c r="B17" s="245" t="s">
        <v>47</v>
      </c>
      <c r="C17" s="263" t="s">
        <v>30</v>
      </c>
      <c r="D17" s="264"/>
      <c r="E17" s="263">
        <v>7</v>
      </c>
      <c r="F17" s="265">
        <v>21377.79</v>
      </c>
    </row>
    <row r="18" spans="1:6" x14ac:dyDescent="0.45">
      <c r="A18" s="263">
        <v>1.1100000000000001</v>
      </c>
      <c r="B18" s="245" t="s">
        <v>106</v>
      </c>
      <c r="C18" s="263" t="s">
        <v>10</v>
      </c>
      <c r="D18" s="264"/>
      <c r="E18" s="263">
        <v>7</v>
      </c>
      <c r="F18" s="265">
        <v>47500</v>
      </c>
    </row>
    <row r="19" spans="1:6" x14ac:dyDescent="0.45">
      <c r="A19" s="263">
        <v>1.21</v>
      </c>
      <c r="B19" s="245" t="s">
        <v>27</v>
      </c>
      <c r="C19" s="263" t="s">
        <v>10</v>
      </c>
      <c r="D19" s="264"/>
      <c r="E19" s="263">
        <v>7</v>
      </c>
      <c r="F19" s="265">
        <v>101149.83</v>
      </c>
    </row>
    <row r="20" spans="1:6" x14ac:dyDescent="0.45">
      <c r="A20" s="263">
        <v>2.12</v>
      </c>
      <c r="B20" s="245" t="s">
        <v>140</v>
      </c>
      <c r="C20" s="263" t="s">
        <v>10</v>
      </c>
      <c r="D20" s="264"/>
      <c r="E20" s="263">
        <v>7</v>
      </c>
      <c r="F20" s="265">
        <v>14535</v>
      </c>
    </row>
    <row r="21" spans="1:6" x14ac:dyDescent="0.45">
      <c r="A21" s="263">
        <v>2.15</v>
      </c>
      <c r="B21" s="245" t="s">
        <v>14</v>
      </c>
      <c r="C21" s="263" t="s">
        <v>10</v>
      </c>
      <c r="D21" s="264"/>
      <c r="E21" s="263">
        <v>7</v>
      </c>
      <c r="F21" s="265">
        <v>5794.05</v>
      </c>
    </row>
    <row r="22" spans="1:6" x14ac:dyDescent="0.45">
      <c r="A22" s="253"/>
      <c r="B22" s="253"/>
      <c r="C22" s="253"/>
      <c r="D22" s="253"/>
      <c r="E22" s="254" t="s">
        <v>126</v>
      </c>
      <c r="F22" s="255">
        <f>SUM(F17:F21)</f>
        <v>190356.66999999998</v>
      </c>
    </row>
    <row r="25" spans="1:6" x14ac:dyDescent="0.45">
      <c r="A25" s="268" t="s">
        <v>121</v>
      </c>
      <c r="B25" s="269" t="s">
        <v>122</v>
      </c>
      <c r="C25" s="268" t="s">
        <v>123</v>
      </c>
      <c r="D25" s="268" t="s">
        <v>15</v>
      </c>
      <c r="E25" s="268" t="s">
        <v>124</v>
      </c>
      <c r="F25" s="270" t="s">
        <v>125</v>
      </c>
    </row>
    <row r="26" spans="1:6" x14ac:dyDescent="0.45">
      <c r="A26" s="263">
        <v>2.12</v>
      </c>
      <c r="B26" s="245" t="s">
        <v>130</v>
      </c>
      <c r="C26" s="263" t="s">
        <v>29</v>
      </c>
      <c r="D26" s="264"/>
      <c r="E26" s="263">
        <v>9</v>
      </c>
      <c r="F26" s="265">
        <v>51428.01</v>
      </c>
    </row>
    <row r="27" spans="1:6" x14ac:dyDescent="0.45">
      <c r="A27" s="263">
        <v>2.19</v>
      </c>
      <c r="B27" s="245" t="s">
        <v>31</v>
      </c>
      <c r="C27" s="263" t="s">
        <v>29</v>
      </c>
      <c r="D27" s="264"/>
      <c r="E27" s="263">
        <v>9</v>
      </c>
      <c r="F27" s="265">
        <v>95000</v>
      </c>
    </row>
    <row r="28" spans="1:6" x14ac:dyDescent="0.45">
      <c r="A28" s="263">
        <v>1.1200000000000001</v>
      </c>
      <c r="B28" s="245" t="s">
        <v>106</v>
      </c>
      <c r="C28" s="263" t="s">
        <v>10</v>
      </c>
      <c r="D28" s="264"/>
      <c r="E28" s="263">
        <v>9</v>
      </c>
      <c r="F28" s="265">
        <v>47500</v>
      </c>
    </row>
    <row r="29" spans="1:6" x14ac:dyDescent="0.45">
      <c r="A29" s="263">
        <v>1.1299999999999999</v>
      </c>
      <c r="B29" s="245" t="s">
        <v>107</v>
      </c>
      <c r="C29" s="263" t="s">
        <v>10</v>
      </c>
      <c r="D29" s="264"/>
      <c r="E29" s="263">
        <v>9</v>
      </c>
      <c r="F29" s="265">
        <v>47500</v>
      </c>
    </row>
    <row r="30" spans="1:6" x14ac:dyDescent="0.45">
      <c r="A30" s="263">
        <v>1.17</v>
      </c>
      <c r="B30" s="245" t="s">
        <v>83</v>
      </c>
      <c r="C30" s="263" t="s">
        <v>10</v>
      </c>
      <c r="D30" s="264"/>
      <c r="E30" s="263">
        <v>9</v>
      </c>
      <c r="F30" s="265">
        <v>85500</v>
      </c>
    </row>
    <row r="31" spans="1:6" x14ac:dyDescent="0.45">
      <c r="A31" s="314"/>
      <c r="B31" s="314"/>
      <c r="C31" s="314"/>
      <c r="D31" s="314"/>
      <c r="E31" s="315" t="s">
        <v>126</v>
      </c>
      <c r="F31" s="316">
        <f>SUM(F26:F30)</f>
        <v>326928.01</v>
      </c>
    </row>
    <row r="33" spans="1:6" ht="16.5" x14ac:dyDescent="0.45">
      <c r="A33" s="278" t="s">
        <v>133</v>
      </c>
      <c r="B33" s="279"/>
      <c r="C33" s="279"/>
      <c r="D33" s="279"/>
      <c r="E33" s="279"/>
      <c r="F33" s="279"/>
    </row>
    <row r="35" spans="1:6" x14ac:dyDescent="0.45">
      <c r="A35" s="263">
        <v>2.11</v>
      </c>
      <c r="B35" s="245" t="s">
        <v>33</v>
      </c>
      <c r="C35" s="263" t="s">
        <v>29</v>
      </c>
      <c r="D35" s="264"/>
      <c r="E35" s="263">
        <v>11</v>
      </c>
      <c r="F35" s="265">
        <v>14255.01</v>
      </c>
    </row>
    <row r="36" spans="1:6" x14ac:dyDescent="0.45">
      <c r="A36" s="263">
        <v>2.2000000000000002</v>
      </c>
      <c r="B36" s="245" t="s">
        <v>32</v>
      </c>
      <c r="C36" s="263" t="s">
        <v>29</v>
      </c>
      <c r="D36" s="264"/>
      <c r="E36" s="263">
        <v>11</v>
      </c>
      <c r="F36" s="265">
        <v>114000</v>
      </c>
    </row>
    <row r="37" spans="1:6" x14ac:dyDescent="0.45">
      <c r="A37" s="263">
        <v>3.11</v>
      </c>
      <c r="B37" s="245" t="s">
        <v>42</v>
      </c>
      <c r="C37" s="263" t="s">
        <v>29</v>
      </c>
      <c r="D37" s="264"/>
      <c r="E37" s="263">
        <v>11</v>
      </c>
      <c r="F37" s="265">
        <v>36983.160000000003</v>
      </c>
    </row>
    <row r="38" spans="1:6" x14ac:dyDescent="0.45">
      <c r="A38" s="263">
        <v>1.1399999999999999</v>
      </c>
      <c r="B38" s="245" t="s">
        <v>107</v>
      </c>
      <c r="C38" s="263" t="s">
        <v>10</v>
      </c>
      <c r="D38" s="264"/>
      <c r="E38" s="263">
        <v>11</v>
      </c>
      <c r="F38" s="265">
        <v>47500</v>
      </c>
    </row>
    <row r="39" spans="1:6" x14ac:dyDescent="0.45">
      <c r="A39" s="263">
        <v>2.13</v>
      </c>
      <c r="B39" s="245" t="s">
        <v>81</v>
      </c>
      <c r="C39" s="263" t="s">
        <v>10</v>
      </c>
      <c r="D39" s="264"/>
      <c r="E39" s="263">
        <v>11</v>
      </c>
      <c r="F39" s="265">
        <v>5700</v>
      </c>
    </row>
    <row r="40" spans="1:6" x14ac:dyDescent="0.45">
      <c r="A40" s="244"/>
      <c r="B40" s="244"/>
      <c r="C40" s="244"/>
      <c r="D40" s="244"/>
      <c r="E40" s="246" t="s">
        <v>126</v>
      </c>
      <c r="F40" s="247">
        <f>SUM(F35:F39)</f>
        <v>218438.16999999998</v>
      </c>
    </row>
    <row r="42" spans="1:6" ht="16.5" x14ac:dyDescent="0.45">
      <c r="A42" s="303" t="s">
        <v>137</v>
      </c>
      <c r="B42" s="304"/>
      <c r="C42" s="304"/>
      <c r="D42" s="304"/>
      <c r="E42" s="304"/>
      <c r="F42" s="304"/>
    </row>
    <row r="43" spans="1:6" x14ac:dyDescent="0.45">
      <c r="A43" s="292" t="s">
        <v>121</v>
      </c>
      <c r="B43" s="293" t="s">
        <v>122</v>
      </c>
      <c r="C43" s="292" t="s">
        <v>123</v>
      </c>
      <c r="D43" s="292" t="s">
        <v>15</v>
      </c>
      <c r="E43" s="292" t="s">
        <v>124</v>
      </c>
      <c r="F43" s="294" t="s">
        <v>125</v>
      </c>
    </row>
    <row r="44" spans="1:6" x14ac:dyDescent="0.45">
      <c r="A44" s="263">
        <v>4.13</v>
      </c>
      <c r="B44" s="245" t="s">
        <v>22</v>
      </c>
      <c r="C44" s="263" t="s">
        <v>30</v>
      </c>
      <c r="D44" s="264"/>
      <c r="E44" s="263">
        <v>13</v>
      </c>
      <c r="F44" s="265">
        <v>47907.39</v>
      </c>
    </row>
    <row r="45" spans="1:6" x14ac:dyDescent="0.45">
      <c r="A45" s="263">
        <v>1.18</v>
      </c>
      <c r="B45" s="245" t="s">
        <v>132</v>
      </c>
      <c r="C45" s="263" t="s">
        <v>10</v>
      </c>
      <c r="D45" s="264"/>
      <c r="E45" s="263">
        <v>13</v>
      </c>
      <c r="F45" s="265">
        <v>47500</v>
      </c>
    </row>
    <row r="46" spans="1:6" x14ac:dyDescent="0.45">
      <c r="A46" s="263">
        <v>1.2</v>
      </c>
      <c r="B46" s="245" t="s">
        <v>26</v>
      </c>
      <c r="C46" s="263" t="s">
        <v>10</v>
      </c>
      <c r="D46" s="264"/>
      <c r="E46" s="263">
        <v>13</v>
      </c>
      <c r="F46" s="265">
        <v>101149.83</v>
      </c>
    </row>
    <row r="47" spans="1:6" x14ac:dyDescent="0.45">
      <c r="A47" s="285"/>
      <c r="B47" s="285"/>
      <c r="C47" s="285"/>
      <c r="D47" s="285"/>
      <c r="E47" s="286" t="s">
        <v>126</v>
      </c>
      <c r="F47" s="287">
        <f>SUM(F44:F46)</f>
        <v>196557.22</v>
      </c>
    </row>
    <row r="49" spans="1:6" ht="16.5" x14ac:dyDescent="0.45">
      <c r="A49" s="259" t="s">
        <v>128</v>
      </c>
      <c r="B49" s="260"/>
      <c r="C49" s="260"/>
      <c r="D49" s="260"/>
      <c r="E49" s="260"/>
      <c r="F49" s="260"/>
    </row>
    <row r="51" spans="1:6" x14ac:dyDescent="0.45">
      <c r="A51" s="263">
        <v>2.16</v>
      </c>
      <c r="B51" s="245" t="s">
        <v>4</v>
      </c>
      <c r="C51" s="263" t="s">
        <v>29</v>
      </c>
      <c r="D51" s="264"/>
      <c r="E51" s="263">
        <v>15</v>
      </c>
      <c r="F51" s="265">
        <v>11045.64</v>
      </c>
    </row>
    <row r="52" spans="1:6" x14ac:dyDescent="0.45">
      <c r="A52" s="263">
        <v>2.21</v>
      </c>
      <c r="B52" s="245" t="s">
        <v>138</v>
      </c>
      <c r="C52" s="263" t="s">
        <v>29</v>
      </c>
      <c r="D52" s="264"/>
      <c r="E52" s="263">
        <v>15</v>
      </c>
      <c r="F52" s="265">
        <v>151496.06</v>
      </c>
    </row>
    <row r="53" spans="1:6" x14ac:dyDescent="0.45">
      <c r="A53" s="263">
        <v>4.12</v>
      </c>
      <c r="B53" s="245" t="s">
        <v>44</v>
      </c>
      <c r="C53" s="263" t="s">
        <v>30</v>
      </c>
      <c r="D53" s="264"/>
      <c r="E53" s="263">
        <v>15</v>
      </c>
      <c r="F53" s="265">
        <v>55655.92</v>
      </c>
    </row>
    <row r="54" spans="1:6" x14ac:dyDescent="0.45">
      <c r="A54" s="263">
        <v>4.1399999999999997</v>
      </c>
      <c r="B54" s="245" t="s">
        <v>35</v>
      </c>
      <c r="C54" s="263" t="s">
        <v>30</v>
      </c>
      <c r="D54" s="264"/>
      <c r="E54" s="263">
        <v>15</v>
      </c>
      <c r="F54" s="265">
        <v>33140.47</v>
      </c>
    </row>
    <row r="55" spans="1:6" x14ac:dyDescent="0.45">
      <c r="A55" s="297"/>
      <c r="B55" s="297"/>
      <c r="C55" s="297"/>
      <c r="D55" s="297"/>
      <c r="E55" s="298" t="s">
        <v>126</v>
      </c>
      <c r="F55" s="299">
        <f>SUM(F51:F54)</f>
        <v>251338.09</v>
      </c>
    </row>
    <row r="57" spans="1:6" ht="16.5" x14ac:dyDescent="0.45">
      <c r="A57" s="237" t="s">
        <v>120</v>
      </c>
      <c r="B57" s="238"/>
      <c r="C57" s="238"/>
      <c r="D57" s="238"/>
      <c r="E57" s="238"/>
      <c r="F57" s="238"/>
    </row>
    <row r="59" spans="1:6" x14ac:dyDescent="0.45">
      <c r="A59" s="263">
        <v>4.18</v>
      </c>
      <c r="B59" s="245" t="s">
        <v>40</v>
      </c>
      <c r="C59" s="263" t="s">
        <v>30</v>
      </c>
      <c r="D59" s="264"/>
      <c r="E59" s="263">
        <v>17</v>
      </c>
      <c r="F59" s="265">
        <v>57000</v>
      </c>
    </row>
    <row r="60" spans="1:6" x14ac:dyDescent="0.45">
      <c r="A60" s="263">
        <v>5.13</v>
      </c>
      <c r="B60" s="245" t="s">
        <v>141</v>
      </c>
      <c r="C60" s="263" t="s">
        <v>30</v>
      </c>
      <c r="D60" s="264"/>
      <c r="E60" s="263">
        <v>17</v>
      </c>
      <c r="F60" s="265">
        <v>78344.179999999993</v>
      </c>
    </row>
    <row r="61" spans="1:6" x14ac:dyDescent="0.45">
      <c r="A61" s="263">
        <v>1.1499999999999999</v>
      </c>
      <c r="B61" s="245" t="s">
        <v>25</v>
      </c>
      <c r="C61" s="263" t="s">
        <v>10</v>
      </c>
      <c r="D61" s="264"/>
      <c r="E61" s="263">
        <v>17</v>
      </c>
      <c r="F61" s="265">
        <v>84550</v>
      </c>
    </row>
    <row r="62" spans="1:6" x14ac:dyDescent="0.45">
      <c r="A62" s="263">
        <v>1.1599999999999999</v>
      </c>
      <c r="B62" s="245" t="s">
        <v>11</v>
      </c>
      <c r="C62" s="263" t="s">
        <v>10</v>
      </c>
      <c r="D62" s="264"/>
      <c r="E62" s="263">
        <v>17</v>
      </c>
      <c r="F62" s="265">
        <v>79325</v>
      </c>
    </row>
    <row r="63" spans="1:6" x14ac:dyDescent="0.45">
      <c r="A63" s="263">
        <v>1.22</v>
      </c>
      <c r="B63" s="245" t="s">
        <v>5</v>
      </c>
      <c r="C63" s="263" t="s">
        <v>10</v>
      </c>
      <c r="D63" s="264"/>
      <c r="E63" s="263">
        <v>17</v>
      </c>
      <c r="F63" s="265">
        <v>47500</v>
      </c>
    </row>
    <row r="64" spans="1:6" x14ac:dyDescent="0.45">
      <c r="A64" s="317"/>
      <c r="B64" s="317"/>
      <c r="C64" s="317"/>
      <c r="D64" s="317"/>
      <c r="E64" s="318" t="s">
        <v>126</v>
      </c>
      <c r="F64" s="319">
        <f>SUM(F59:F63)</f>
        <v>346719.18</v>
      </c>
    </row>
    <row r="66" spans="1:6" ht="15" x14ac:dyDescent="0.45">
      <c r="A66" s="136" t="s">
        <v>149</v>
      </c>
      <c r="B66" s="136"/>
      <c r="C66" s="136"/>
      <c r="D66" s="136"/>
      <c r="E66" s="136"/>
      <c r="F66" s="136"/>
    </row>
    <row r="68" spans="1:6" x14ac:dyDescent="0.45">
      <c r="A68" s="263">
        <v>4.16</v>
      </c>
      <c r="B68" s="245" t="s">
        <v>8</v>
      </c>
      <c r="C68" s="263" t="s">
        <v>30</v>
      </c>
      <c r="D68" s="264"/>
      <c r="E68" s="263">
        <v>19</v>
      </c>
      <c r="F68" s="265">
        <v>20452.57</v>
      </c>
    </row>
    <row r="69" spans="1:6" x14ac:dyDescent="0.45">
      <c r="A69" s="263">
        <v>4.17</v>
      </c>
      <c r="B69" s="245" t="s">
        <v>134</v>
      </c>
      <c r="C69" s="263" t="s">
        <v>30</v>
      </c>
      <c r="D69" s="264"/>
      <c r="E69" s="263">
        <v>19</v>
      </c>
      <c r="F69" s="265">
        <v>30526.51</v>
      </c>
    </row>
    <row r="70" spans="1:6" x14ac:dyDescent="0.45">
      <c r="A70" s="263">
        <v>5.14</v>
      </c>
      <c r="B70" s="245" t="s">
        <v>36</v>
      </c>
      <c r="C70" s="263" t="s">
        <v>30</v>
      </c>
      <c r="D70" s="264"/>
      <c r="E70" s="263">
        <v>19</v>
      </c>
      <c r="F70" s="265">
        <v>195908.55</v>
      </c>
    </row>
    <row r="71" spans="1:6" x14ac:dyDescent="0.45">
      <c r="A71" s="320"/>
      <c r="B71" s="320"/>
      <c r="C71" s="320"/>
      <c r="D71" s="320"/>
      <c r="E71" s="321" t="s">
        <v>126</v>
      </c>
      <c r="F71" s="322">
        <f>SUM(F68:F70)</f>
        <v>246887.63</v>
      </c>
    </row>
    <row r="74" spans="1:6" x14ac:dyDescent="0.45">
      <c r="A74" s="282" t="s">
        <v>121</v>
      </c>
      <c r="B74" s="283" t="s">
        <v>122</v>
      </c>
      <c r="C74" s="282" t="s">
        <v>123</v>
      </c>
      <c r="D74" s="282" t="s">
        <v>15</v>
      </c>
      <c r="E74" s="282" t="s">
        <v>124</v>
      </c>
      <c r="F74" s="284" t="s">
        <v>125</v>
      </c>
    </row>
    <row r="75" spans="1:6" x14ac:dyDescent="0.45">
      <c r="A75" s="263">
        <v>2.13</v>
      </c>
      <c r="B75" s="245" t="s">
        <v>38</v>
      </c>
      <c r="C75" s="263" t="s">
        <v>29</v>
      </c>
      <c r="D75" s="264"/>
      <c r="E75" s="263">
        <v>21</v>
      </c>
      <c r="F75" s="265">
        <v>22479.63</v>
      </c>
    </row>
    <row r="76" spans="1:6" x14ac:dyDescent="0.45">
      <c r="A76" s="263">
        <v>2.15</v>
      </c>
      <c r="B76" s="245" t="s">
        <v>3</v>
      </c>
      <c r="C76" s="263" t="s">
        <v>29</v>
      </c>
      <c r="D76" s="264"/>
      <c r="E76" s="263">
        <v>21</v>
      </c>
      <c r="F76" s="265">
        <v>1306.1300000000001</v>
      </c>
    </row>
    <row r="77" spans="1:6" x14ac:dyDescent="0.45">
      <c r="A77" s="263">
        <v>2.17</v>
      </c>
      <c r="B77" s="245" t="s">
        <v>43</v>
      </c>
      <c r="C77" s="263" t="s">
        <v>29</v>
      </c>
      <c r="D77" s="264"/>
      <c r="E77" s="263">
        <v>21</v>
      </c>
      <c r="F77" s="265">
        <v>21663.4</v>
      </c>
    </row>
    <row r="78" spans="1:6" x14ac:dyDescent="0.45">
      <c r="A78" s="263">
        <v>2.1800000000000002</v>
      </c>
      <c r="B78" s="245" t="s">
        <v>37</v>
      </c>
      <c r="C78" s="263" t="s">
        <v>29</v>
      </c>
      <c r="D78" s="264"/>
      <c r="E78" s="263">
        <v>21</v>
      </c>
      <c r="F78" s="265">
        <v>14593.6</v>
      </c>
    </row>
    <row r="79" spans="1:6" x14ac:dyDescent="0.45">
      <c r="A79" s="263">
        <v>4.1100000000000003</v>
      </c>
      <c r="B79" s="245" t="s">
        <v>49</v>
      </c>
      <c r="C79" s="263" t="s">
        <v>30</v>
      </c>
      <c r="D79" s="264"/>
      <c r="E79" s="263">
        <v>21</v>
      </c>
      <c r="F79" s="265">
        <v>35683.839999999997</v>
      </c>
    </row>
    <row r="80" spans="1:6" x14ac:dyDescent="0.45">
      <c r="A80" s="263">
        <v>4.1500000000000004</v>
      </c>
      <c r="B80" s="245" t="s">
        <v>7</v>
      </c>
      <c r="C80" s="263" t="s">
        <v>30</v>
      </c>
      <c r="D80" s="264"/>
      <c r="E80" s="263">
        <v>21</v>
      </c>
      <c r="F80" s="265">
        <v>22620.58</v>
      </c>
    </row>
    <row r="81" spans="1:6" x14ac:dyDescent="0.45">
      <c r="A81" s="263">
        <v>4.1900000000000004</v>
      </c>
      <c r="B81" s="245" t="s">
        <v>39</v>
      </c>
      <c r="C81" s="263" t="s">
        <v>30</v>
      </c>
      <c r="D81" s="264"/>
      <c r="E81" s="263">
        <v>21</v>
      </c>
      <c r="F81" s="265">
        <v>70643.570000000007</v>
      </c>
    </row>
    <row r="82" spans="1:6" x14ac:dyDescent="0.45">
      <c r="A82" s="263">
        <v>1.19</v>
      </c>
      <c r="B82" s="245" t="s">
        <v>12</v>
      </c>
      <c r="C82" s="263" t="s">
        <v>10</v>
      </c>
      <c r="D82" s="264"/>
      <c r="E82" s="263">
        <v>21</v>
      </c>
      <c r="F82" s="265">
        <v>65075</v>
      </c>
    </row>
    <row r="83" spans="1:6" x14ac:dyDescent="0.45">
      <c r="A83" s="256"/>
      <c r="B83" s="256"/>
      <c r="C83" s="256"/>
      <c r="D83" s="256"/>
      <c r="E83" s="257" t="s">
        <v>126</v>
      </c>
      <c r="F83" s="258">
        <f>SUM(F75:F82)</f>
        <v>254065.75</v>
      </c>
    </row>
    <row r="85" spans="1:6" ht="16.5" x14ac:dyDescent="0.45">
      <c r="A85" s="295" t="s">
        <v>136</v>
      </c>
      <c r="B85" s="296"/>
      <c r="C85" s="296"/>
      <c r="D85" s="296"/>
      <c r="E85" s="296"/>
      <c r="F85" s="296"/>
    </row>
    <row r="86" spans="1:6" x14ac:dyDescent="0.45">
      <c r="A86" s="307" t="s">
        <v>121</v>
      </c>
      <c r="B86" s="308" t="s">
        <v>122</v>
      </c>
      <c r="C86" s="307" t="s">
        <v>123</v>
      </c>
      <c r="D86" s="307" t="s">
        <v>15</v>
      </c>
      <c r="E86" s="307" t="s">
        <v>124</v>
      </c>
      <c r="F86" s="309" t="s">
        <v>125</v>
      </c>
    </row>
    <row r="87" spans="1:6" x14ac:dyDescent="0.45">
      <c r="A87" s="263">
        <v>2.14</v>
      </c>
      <c r="B87" s="245" t="s">
        <v>2</v>
      </c>
      <c r="C87" s="263" t="s">
        <v>29</v>
      </c>
      <c r="D87" s="264"/>
      <c r="E87" s="263">
        <v>23</v>
      </c>
      <c r="F87" s="265">
        <v>25685.49</v>
      </c>
    </row>
    <row r="88" spans="1:6" x14ac:dyDescent="0.45">
      <c r="A88" s="263">
        <v>2.2200000000000002</v>
      </c>
      <c r="B88" s="245" t="s">
        <v>41</v>
      </c>
      <c r="C88" s="263" t="s">
        <v>29</v>
      </c>
      <c r="D88" s="264"/>
      <c r="E88" s="263">
        <v>23</v>
      </c>
      <c r="F88" s="265">
        <v>7819.55</v>
      </c>
    </row>
    <row r="89" spans="1:6" x14ac:dyDescent="0.45">
      <c r="A89" s="263"/>
      <c r="B89" s="245" t="s">
        <v>142</v>
      </c>
      <c r="C89" s="263"/>
      <c r="D89" s="264"/>
      <c r="E89" s="263">
        <v>23</v>
      </c>
      <c r="F89" s="265">
        <v>73603.72</v>
      </c>
    </row>
    <row r="90" spans="1:6" x14ac:dyDescent="0.45">
      <c r="A90" s="263"/>
      <c r="B90" s="245" t="s">
        <v>143</v>
      </c>
      <c r="C90" s="263"/>
      <c r="D90" s="264"/>
      <c r="E90" s="263">
        <v>23</v>
      </c>
      <c r="F90" s="265">
        <v>46410.7</v>
      </c>
    </row>
    <row r="91" spans="1:6" x14ac:dyDescent="0.45">
      <c r="A91" s="300"/>
      <c r="B91" s="300"/>
      <c r="C91" s="300"/>
      <c r="D91" s="300"/>
      <c r="E91" s="301" t="s">
        <v>126</v>
      </c>
      <c r="F91" s="302">
        <f>SUM(F87:F90)</f>
        <v>153519.46000000002</v>
      </c>
    </row>
  </sheetData>
  <pageMargins left="0.7" right="0.7" top="0.75" bottom="0.75" header="0.3" footer="0.3"/>
  <pageSetup paperSize="9" scale="7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4C47-76C9-450A-B8EF-B678E117A904}">
  <dimension ref="A1:F160"/>
  <sheetViews>
    <sheetView tabSelected="1" view="pageBreakPreview" zoomScale="60" zoomScaleNormal="100" workbookViewId="0">
      <pane ySplit="1" topLeftCell="A90" activePane="bottomLeft" state="frozen"/>
      <selection pane="bottomLeft" activeCell="A21" sqref="A21:F25"/>
    </sheetView>
  </sheetViews>
  <sheetFormatPr defaultRowHeight="14.25" x14ac:dyDescent="0.45"/>
  <cols>
    <col min="1" max="1" width="11.53125" customWidth="1"/>
    <col min="2" max="2" width="60.33203125" bestFit="1" customWidth="1"/>
    <col min="3" max="4" width="10.6640625" customWidth="1"/>
    <col min="5" max="5" width="8.86328125" customWidth="1"/>
    <col min="6" max="6" width="19.53125" customWidth="1"/>
  </cols>
  <sheetData>
    <row r="1" spans="1:6" ht="17.25" x14ac:dyDescent="0.45">
      <c r="A1" s="261" t="s">
        <v>163</v>
      </c>
      <c r="B1" s="262"/>
      <c r="C1" s="262"/>
      <c r="D1" s="262"/>
      <c r="E1" s="262"/>
      <c r="F1" s="262"/>
    </row>
    <row r="2" spans="1:6" ht="8" customHeight="1" x14ac:dyDescent="0.45"/>
    <row r="3" spans="1:6" ht="16.5" x14ac:dyDescent="0.45">
      <c r="A3" s="271" t="s">
        <v>131</v>
      </c>
      <c r="B3" s="272"/>
      <c r="C3" s="272"/>
      <c r="D3" s="272"/>
      <c r="E3" s="272"/>
      <c r="F3" s="272"/>
    </row>
    <row r="4" spans="1:6" x14ac:dyDescent="0.45">
      <c r="A4" s="328" t="s">
        <v>121</v>
      </c>
      <c r="B4" s="329" t="s">
        <v>122</v>
      </c>
      <c r="C4" s="328" t="s">
        <v>123</v>
      </c>
      <c r="D4" s="328" t="s">
        <v>15</v>
      </c>
      <c r="E4" s="328" t="s">
        <v>124</v>
      </c>
      <c r="F4" s="330" t="s">
        <v>125</v>
      </c>
    </row>
    <row r="5" spans="1:6" x14ac:dyDescent="0.45">
      <c r="A5" s="389" t="s">
        <v>50</v>
      </c>
      <c r="B5" s="239" t="s">
        <v>139</v>
      </c>
      <c r="C5" s="240"/>
      <c r="D5" s="387" t="s">
        <v>16</v>
      </c>
      <c r="E5" s="240">
        <v>3</v>
      </c>
      <c r="F5" s="366">
        <v>382722.57</v>
      </c>
    </row>
    <row r="6" spans="1:6" ht="14.65" thickBot="1" x14ac:dyDescent="0.5">
      <c r="A6" s="401"/>
      <c r="B6" s="401"/>
      <c r="C6" s="401"/>
      <c r="D6" s="401"/>
      <c r="E6" s="402" t="s">
        <v>126</v>
      </c>
      <c r="F6" s="403">
        <f>SUM(F5)</f>
        <v>382722.57</v>
      </c>
    </row>
    <row r="7" spans="1:6" ht="8" customHeight="1" x14ac:dyDescent="0.45"/>
    <row r="8" spans="1:6" ht="16.5" x14ac:dyDescent="0.45">
      <c r="A8" s="248" t="s">
        <v>127</v>
      </c>
      <c r="B8" s="249"/>
      <c r="C8" s="249"/>
      <c r="D8" s="249"/>
      <c r="E8" s="249"/>
      <c r="F8" s="249"/>
    </row>
    <row r="9" spans="1:6" x14ac:dyDescent="0.45">
      <c r="A9" s="331" t="s">
        <v>121</v>
      </c>
      <c r="B9" s="332" t="s">
        <v>122</v>
      </c>
      <c r="C9" s="331" t="s">
        <v>123</v>
      </c>
      <c r="D9" s="331" t="s">
        <v>15</v>
      </c>
      <c r="E9" s="331" t="s">
        <v>124</v>
      </c>
      <c r="F9" s="333" t="s">
        <v>125</v>
      </c>
    </row>
    <row r="10" spans="1:6" x14ac:dyDescent="0.45">
      <c r="A10" s="390" t="s">
        <v>77</v>
      </c>
      <c r="B10" s="273" t="s">
        <v>46</v>
      </c>
      <c r="C10" s="274" t="s">
        <v>30</v>
      </c>
      <c r="D10" s="388" t="s">
        <v>16</v>
      </c>
      <c r="E10" s="274">
        <v>5</v>
      </c>
      <c r="F10" s="367">
        <v>161453.54999999999</v>
      </c>
    </row>
    <row r="11" spans="1:6" x14ac:dyDescent="0.45">
      <c r="A11" s="400" t="s">
        <v>164</v>
      </c>
      <c r="B11" s="363" t="s">
        <v>165</v>
      </c>
      <c r="C11" s="365"/>
      <c r="D11" s="365"/>
      <c r="E11" s="365"/>
      <c r="F11" s="364"/>
    </row>
    <row r="12" spans="1:6" x14ac:dyDescent="0.45">
      <c r="A12" s="400" t="s">
        <v>166</v>
      </c>
      <c r="B12" s="363" t="s">
        <v>167</v>
      </c>
      <c r="C12" s="365"/>
      <c r="D12" s="365"/>
      <c r="E12" s="365"/>
      <c r="F12" s="364"/>
    </row>
    <row r="13" spans="1:6" x14ac:dyDescent="0.45">
      <c r="A13" s="400" t="s">
        <v>168</v>
      </c>
      <c r="B13" s="363" t="s">
        <v>169</v>
      </c>
      <c r="C13" s="365"/>
      <c r="D13" s="365"/>
      <c r="E13" s="365"/>
      <c r="F13" s="364"/>
    </row>
    <row r="14" spans="1:6" x14ac:dyDescent="0.45">
      <c r="A14" s="400" t="s">
        <v>170</v>
      </c>
      <c r="B14" s="363" t="s">
        <v>171</v>
      </c>
      <c r="C14" s="365"/>
      <c r="D14" s="365"/>
      <c r="E14" s="365"/>
      <c r="F14" s="364"/>
    </row>
    <row r="15" spans="1:6" x14ac:dyDescent="0.45">
      <c r="A15" s="400" t="s">
        <v>172</v>
      </c>
      <c r="B15" s="363" t="s">
        <v>173</v>
      </c>
      <c r="C15" s="365"/>
      <c r="D15" s="365"/>
      <c r="E15" s="365"/>
      <c r="F15" s="364"/>
    </row>
    <row r="16" spans="1:6" x14ac:dyDescent="0.45">
      <c r="A16" s="400" t="s">
        <v>174</v>
      </c>
      <c r="B16" s="363" t="s">
        <v>175</v>
      </c>
      <c r="C16" s="365"/>
      <c r="D16" s="365"/>
      <c r="E16" s="365"/>
      <c r="F16" s="364"/>
    </row>
    <row r="17" spans="1:6" x14ac:dyDescent="0.45">
      <c r="A17" s="400" t="s">
        <v>176</v>
      </c>
      <c r="B17" s="363" t="s">
        <v>177</v>
      </c>
      <c r="C17" s="365"/>
      <c r="D17" s="365"/>
      <c r="E17" s="365"/>
      <c r="F17" s="364"/>
    </row>
    <row r="18" spans="1:6" x14ac:dyDescent="0.45">
      <c r="A18" s="390" t="s">
        <v>52</v>
      </c>
      <c r="B18" s="273" t="s">
        <v>144</v>
      </c>
      <c r="C18" s="274" t="s">
        <v>10</v>
      </c>
      <c r="D18" s="274"/>
      <c r="E18" s="274">
        <v>5</v>
      </c>
      <c r="F18" s="367">
        <v>20273.95</v>
      </c>
    </row>
    <row r="19" spans="1:6" x14ac:dyDescent="0.45">
      <c r="A19" s="400" t="s">
        <v>178</v>
      </c>
      <c r="B19" s="363" t="s">
        <v>179</v>
      </c>
      <c r="C19" s="365"/>
      <c r="D19" s="365"/>
      <c r="E19" s="365"/>
      <c r="F19" s="364"/>
    </row>
    <row r="20" spans="1:6" x14ac:dyDescent="0.45">
      <c r="A20" s="390" t="s">
        <v>55</v>
      </c>
      <c r="B20" s="273" t="s">
        <v>84</v>
      </c>
      <c r="C20" s="274" t="s">
        <v>10</v>
      </c>
      <c r="D20" s="388" t="s">
        <v>16</v>
      </c>
      <c r="E20" s="274">
        <v>5</v>
      </c>
      <c r="F20" s="367">
        <v>33750.65</v>
      </c>
    </row>
    <row r="21" spans="1:6" x14ac:dyDescent="0.45">
      <c r="A21" s="400" t="s">
        <v>228</v>
      </c>
      <c r="B21" s="363" t="s">
        <v>229</v>
      </c>
      <c r="C21" s="365"/>
      <c r="D21" s="365"/>
      <c r="E21" s="365"/>
      <c r="F21" s="364"/>
    </row>
    <row r="22" spans="1:6" x14ac:dyDescent="0.45">
      <c r="A22" s="400" t="s">
        <v>230</v>
      </c>
      <c r="B22" s="363" t="s">
        <v>231</v>
      </c>
      <c r="C22" s="363"/>
      <c r="D22" s="363"/>
      <c r="E22" s="363"/>
      <c r="F22" s="364"/>
    </row>
    <row r="23" spans="1:6" x14ac:dyDescent="0.45">
      <c r="A23" s="400" t="s">
        <v>232</v>
      </c>
      <c r="B23" s="363" t="s">
        <v>233</v>
      </c>
      <c r="C23" s="365"/>
      <c r="D23" s="365"/>
      <c r="E23" s="365"/>
      <c r="F23" s="364"/>
    </row>
    <row r="24" spans="1:6" x14ac:dyDescent="0.45">
      <c r="A24" s="400" t="s">
        <v>234</v>
      </c>
      <c r="B24" s="363" t="s">
        <v>235</v>
      </c>
      <c r="C24" s="365"/>
      <c r="D24" s="365"/>
      <c r="E24" s="365"/>
      <c r="F24" s="364"/>
    </row>
    <row r="25" spans="1:6" x14ac:dyDescent="0.45">
      <c r="A25" s="400" t="s">
        <v>236</v>
      </c>
      <c r="B25" s="363" t="s">
        <v>237</v>
      </c>
      <c r="C25" s="365"/>
      <c r="D25" s="365"/>
      <c r="E25" s="365"/>
      <c r="F25" s="364"/>
    </row>
    <row r="26" spans="1:6" ht="14.65" thickBot="1" x14ac:dyDescent="0.5">
      <c r="A26" s="404"/>
      <c r="B26" s="404"/>
      <c r="C26" s="404"/>
      <c r="D26" s="404"/>
      <c r="E26" s="405" t="s">
        <v>126</v>
      </c>
      <c r="F26" s="406">
        <f>SUM(F10,F18,F20)</f>
        <v>215478.15</v>
      </c>
    </row>
    <row r="27" spans="1:6" ht="8" customHeight="1" x14ac:dyDescent="0.45"/>
    <row r="28" spans="1:6" ht="16.5" x14ac:dyDescent="0.45">
      <c r="A28" s="350" t="s">
        <v>135</v>
      </c>
      <c r="B28" s="289"/>
      <c r="C28" s="289"/>
      <c r="D28" s="289"/>
      <c r="E28" s="289"/>
      <c r="F28" s="289"/>
    </row>
    <row r="29" spans="1:6" x14ac:dyDescent="0.45">
      <c r="A29" s="351" t="s">
        <v>121</v>
      </c>
      <c r="B29" s="352" t="s">
        <v>122</v>
      </c>
      <c r="C29" s="351" t="s">
        <v>123</v>
      </c>
      <c r="D29" s="351" t="s">
        <v>15</v>
      </c>
      <c r="E29" s="351" t="s">
        <v>124</v>
      </c>
      <c r="F29" s="353" t="s">
        <v>125</v>
      </c>
    </row>
    <row r="30" spans="1:6" x14ac:dyDescent="0.45">
      <c r="A30" s="391" t="s">
        <v>78</v>
      </c>
      <c r="B30" s="369" t="s">
        <v>47</v>
      </c>
      <c r="C30" s="368" t="s">
        <v>30</v>
      </c>
      <c r="D30" s="368"/>
      <c r="E30" s="368">
        <v>7</v>
      </c>
      <c r="F30" s="370">
        <v>21377.79</v>
      </c>
    </row>
    <row r="31" spans="1:6" x14ac:dyDescent="0.45">
      <c r="A31" s="400" t="s">
        <v>168</v>
      </c>
      <c r="B31" s="363" t="s">
        <v>169</v>
      </c>
      <c r="C31" s="365"/>
      <c r="D31" s="365"/>
      <c r="E31" s="365"/>
      <c r="F31" s="364"/>
    </row>
    <row r="32" spans="1:6" x14ac:dyDescent="0.45">
      <c r="A32" s="391" t="s">
        <v>85</v>
      </c>
      <c r="B32" s="369" t="s">
        <v>106</v>
      </c>
      <c r="C32" s="368" t="s">
        <v>10</v>
      </c>
      <c r="D32" s="368"/>
      <c r="E32" s="368">
        <v>7</v>
      </c>
      <c r="F32" s="370">
        <v>47500</v>
      </c>
    </row>
    <row r="33" spans="1:6" x14ac:dyDescent="0.45">
      <c r="A33" s="400" t="s">
        <v>161</v>
      </c>
      <c r="B33" s="363" t="s">
        <v>162</v>
      </c>
      <c r="C33" s="365"/>
      <c r="D33" s="365"/>
      <c r="E33" s="365"/>
      <c r="F33" s="364"/>
    </row>
    <row r="34" spans="1:6" x14ac:dyDescent="0.45">
      <c r="A34" s="391" t="s">
        <v>108</v>
      </c>
      <c r="B34" s="369" t="s">
        <v>27</v>
      </c>
      <c r="C34" s="368" t="s">
        <v>10</v>
      </c>
      <c r="D34" s="368"/>
      <c r="E34" s="368">
        <v>7</v>
      </c>
      <c r="F34" s="370">
        <v>101149.83</v>
      </c>
    </row>
    <row r="35" spans="1:6" x14ac:dyDescent="0.45">
      <c r="A35" s="400" t="s">
        <v>238</v>
      </c>
      <c r="B35" s="363" t="s">
        <v>239</v>
      </c>
      <c r="C35" s="365"/>
      <c r="D35" s="365"/>
      <c r="E35" s="365"/>
      <c r="F35" s="364"/>
    </row>
    <row r="36" spans="1:6" x14ac:dyDescent="0.45">
      <c r="A36" s="391" t="s">
        <v>53</v>
      </c>
      <c r="B36" s="369" t="s">
        <v>140</v>
      </c>
      <c r="C36" s="368" t="s">
        <v>10</v>
      </c>
      <c r="D36" s="368"/>
      <c r="E36" s="368">
        <v>7</v>
      </c>
      <c r="F36" s="370">
        <v>14535</v>
      </c>
    </row>
    <row r="37" spans="1:6" x14ac:dyDescent="0.45">
      <c r="A37" s="400" t="s">
        <v>270</v>
      </c>
      <c r="B37" s="363" t="s">
        <v>271</v>
      </c>
      <c r="C37" s="365"/>
      <c r="D37" s="365"/>
      <c r="E37" s="365"/>
      <c r="F37" s="364"/>
    </row>
    <row r="38" spans="1:6" x14ac:dyDescent="0.45">
      <c r="A38" s="391" t="s">
        <v>56</v>
      </c>
      <c r="B38" s="369" t="s">
        <v>14</v>
      </c>
      <c r="C38" s="368" t="s">
        <v>10</v>
      </c>
      <c r="D38" s="368"/>
      <c r="E38" s="368">
        <v>7</v>
      </c>
      <c r="F38" s="370">
        <v>5794.05</v>
      </c>
    </row>
    <row r="39" spans="1:6" x14ac:dyDescent="0.45">
      <c r="A39" s="400" t="s">
        <v>236</v>
      </c>
      <c r="B39" s="363" t="s">
        <v>237</v>
      </c>
      <c r="C39" s="365"/>
      <c r="D39" s="365"/>
      <c r="E39" s="365"/>
      <c r="F39" s="364"/>
    </row>
    <row r="40" spans="1:6" ht="14.65" thickBot="1" x14ac:dyDescent="0.5">
      <c r="A40" s="407"/>
      <c r="B40" s="407"/>
      <c r="C40" s="407"/>
      <c r="D40" s="407"/>
      <c r="E40" s="408" t="s">
        <v>126</v>
      </c>
      <c r="F40" s="409">
        <f>SUM(F30,F32,F34,F36,F38)</f>
        <v>190356.66999999998</v>
      </c>
    </row>
    <row r="41" spans="1:6" ht="8" customHeight="1" x14ac:dyDescent="0.45"/>
    <row r="42" spans="1:6" ht="16.5" x14ac:dyDescent="0.45">
      <c r="A42" s="323" t="s">
        <v>150</v>
      </c>
      <c r="B42" s="324"/>
      <c r="C42" s="324"/>
      <c r="D42" s="324"/>
      <c r="E42" s="324"/>
      <c r="F42" s="324"/>
    </row>
    <row r="43" spans="1:6" x14ac:dyDescent="0.45">
      <c r="A43" s="325" t="s">
        <v>121</v>
      </c>
      <c r="B43" s="326" t="s">
        <v>122</v>
      </c>
      <c r="C43" s="325" t="s">
        <v>123</v>
      </c>
      <c r="D43" s="325" t="s">
        <v>15</v>
      </c>
      <c r="E43" s="325" t="s">
        <v>124</v>
      </c>
      <c r="F43" s="327" t="s">
        <v>125</v>
      </c>
    </row>
    <row r="44" spans="1:6" x14ac:dyDescent="0.45">
      <c r="A44" s="392" t="s">
        <v>53</v>
      </c>
      <c r="B44" s="266" t="s">
        <v>130</v>
      </c>
      <c r="C44" s="267" t="s">
        <v>29</v>
      </c>
      <c r="D44" s="267"/>
      <c r="E44" s="267">
        <v>9</v>
      </c>
      <c r="F44" s="371">
        <v>51428.01</v>
      </c>
    </row>
    <row r="45" spans="1:6" x14ac:dyDescent="0.45">
      <c r="A45" s="400" t="s">
        <v>151</v>
      </c>
      <c r="B45" s="363" t="s">
        <v>152</v>
      </c>
      <c r="C45" s="365"/>
      <c r="D45" s="365"/>
      <c r="E45" s="365"/>
      <c r="F45" s="364"/>
    </row>
    <row r="46" spans="1:6" x14ac:dyDescent="0.45">
      <c r="A46" s="400" t="s">
        <v>153</v>
      </c>
      <c r="B46" s="363" t="s">
        <v>154</v>
      </c>
      <c r="C46" s="365"/>
      <c r="D46" s="365"/>
      <c r="E46" s="365"/>
      <c r="F46" s="364"/>
    </row>
    <row r="47" spans="1:6" x14ac:dyDescent="0.45">
      <c r="A47" s="400" t="s">
        <v>155</v>
      </c>
      <c r="B47" s="363" t="s">
        <v>156</v>
      </c>
      <c r="C47" s="365"/>
      <c r="D47" s="365"/>
      <c r="E47" s="365"/>
      <c r="F47" s="364"/>
    </row>
    <row r="48" spans="1:6" x14ac:dyDescent="0.45">
      <c r="A48" s="400" t="s">
        <v>157</v>
      </c>
      <c r="B48" s="363" t="s">
        <v>158</v>
      </c>
      <c r="C48" s="365"/>
      <c r="D48" s="365"/>
      <c r="E48" s="365"/>
      <c r="F48" s="364"/>
    </row>
    <row r="49" spans="1:6" x14ac:dyDescent="0.45">
      <c r="A49" s="400" t="s">
        <v>159</v>
      </c>
      <c r="B49" s="363" t="s">
        <v>160</v>
      </c>
      <c r="C49" s="365"/>
      <c r="D49" s="365"/>
      <c r="E49" s="365"/>
      <c r="F49" s="364"/>
    </row>
    <row r="50" spans="1:6" x14ac:dyDescent="0.45">
      <c r="A50" s="392" t="s">
        <v>60</v>
      </c>
      <c r="B50" s="266" t="s">
        <v>31</v>
      </c>
      <c r="C50" s="267" t="s">
        <v>29</v>
      </c>
      <c r="D50" s="267"/>
      <c r="E50" s="267">
        <v>9</v>
      </c>
      <c r="F50" s="371">
        <v>95000</v>
      </c>
    </row>
    <row r="51" spans="1:6" x14ac:dyDescent="0.45">
      <c r="A51" s="392" t="s">
        <v>86</v>
      </c>
      <c r="B51" s="266" t="s">
        <v>106</v>
      </c>
      <c r="C51" s="267" t="s">
        <v>10</v>
      </c>
      <c r="D51" s="267"/>
      <c r="E51" s="267">
        <v>9</v>
      </c>
      <c r="F51" s="371">
        <v>47500</v>
      </c>
    </row>
    <row r="52" spans="1:6" x14ac:dyDescent="0.45">
      <c r="A52" s="400" t="s">
        <v>161</v>
      </c>
      <c r="B52" s="363" t="s">
        <v>162</v>
      </c>
      <c r="C52" s="365"/>
      <c r="D52" s="365"/>
      <c r="E52" s="365"/>
      <c r="F52" s="364"/>
    </row>
    <row r="53" spans="1:6" x14ac:dyDescent="0.45">
      <c r="A53" s="392" t="s">
        <v>87</v>
      </c>
      <c r="B53" s="266" t="s">
        <v>107</v>
      </c>
      <c r="C53" s="267" t="s">
        <v>10</v>
      </c>
      <c r="D53" s="267"/>
      <c r="E53" s="267">
        <v>9</v>
      </c>
      <c r="F53" s="371">
        <v>47500</v>
      </c>
    </row>
    <row r="54" spans="1:6" x14ac:dyDescent="0.45">
      <c r="A54" s="400" t="s">
        <v>213</v>
      </c>
      <c r="B54" s="363" t="s">
        <v>214</v>
      </c>
      <c r="C54" s="365"/>
      <c r="D54" s="365"/>
      <c r="E54" s="365"/>
      <c r="F54" s="364"/>
    </row>
    <row r="55" spans="1:6" x14ac:dyDescent="0.45">
      <c r="A55" s="392" t="s">
        <v>91</v>
      </c>
      <c r="B55" s="266" t="s">
        <v>83</v>
      </c>
      <c r="C55" s="267" t="s">
        <v>10</v>
      </c>
      <c r="D55" s="267"/>
      <c r="E55" s="267">
        <v>9</v>
      </c>
      <c r="F55" s="371">
        <v>85500</v>
      </c>
    </row>
    <row r="56" spans="1:6" x14ac:dyDescent="0.45">
      <c r="A56" s="400" t="s">
        <v>215</v>
      </c>
      <c r="B56" s="363" t="s">
        <v>216</v>
      </c>
      <c r="C56" s="365"/>
      <c r="D56" s="365"/>
      <c r="E56" s="365"/>
      <c r="F56" s="364"/>
    </row>
    <row r="57" spans="1:6" x14ac:dyDescent="0.45">
      <c r="A57" s="400" t="s">
        <v>217</v>
      </c>
      <c r="B57" s="363" t="s">
        <v>218</v>
      </c>
      <c r="C57" s="365"/>
      <c r="D57" s="365"/>
      <c r="E57" s="365"/>
      <c r="F57" s="364"/>
    </row>
    <row r="58" spans="1:6" x14ac:dyDescent="0.45">
      <c r="A58" s="400" t="s">
        <v>178</v>
      </c>
      <c r="B58" s="363" t="s">
        <v>179</v>
      </c>
      <c r="C58" s="365"/>
      <c r="D58" s="365"/>
      <c r="E58" s="365"/>
      <c r="F58" s="364"/>
    </row>
    <row r="59" spans="1:6" ht="14.65" thickBot="1" x14ac:dyDescent="0.5">
      <c r="A59" s="410"/>
      <c r="B59" s="410"/>
      <c r="C59" s="410"/>
      <c r="D59" s="410"/>
      <c r="E59" s="411" t="s">
        <v>126</v>
      </c>
      <c r="F59" s="412">
        <f>SUM(F44,F50,F51,F53,F55)</f>
        <v>326928.01</v>
      </c>
    </row>
    <row r="60" spans="1:6" ht="8" customHeight="1" x14ac:dyDescent="0.45"/>
    <row r="61" spans="1:6" ht="16.5" x14ac:dyDescent="0.45">
      <c r="A61" s="278" t="s">
        <v>133</v>
      </c>
      <c r="B61" s="279"/>
      <c r="C61" s="279"/>
      <c r="D61" s="279"/>
      <c r="E61" s="279"/>
      <c r="F61" s="279"/>
    </row>
    <row r="62" spans="1:6" x14ac:dyDescent="0.45">
      <c r="A62" s="347" t="s">
        <v>121</v>
      </c>
      <c r="B62" s="348" t="s">
        <v>122</v>
      </c>
      <c r="C62" s="347" t="s">
        <v>123</v>
      </c>
      <c r="D62" s="347" t="s">
        <v>15</v>
      </c>
      <c r="E62" s="347" t="s">
        <v>124</v>
      </c>
      <c r="F62" s="349" t="s">
        <v>125</v>
      </c>
    </row>
    <row r="63" spans="1:6" x14ac:dyDescent="0.45">
      <c r="A63" s="393" t="s">
        <v>52</v>
      </c>
      <c r="B63" s="373" t="s">
        <v>33</v>
      </c>
      <c r="C63" s="372" t="s">
        <v>29</v>
      </c>
      <c r="D63" s="372"/>
      <c r="E63" s="372">
        <v>11</v>
      </c>
      <c r="F63" s="374">
        <v>14255.01</v>
      </c>
    </row>
    <row r="64" spans="1:6" x14ac:dyDescent="0.45">
      <c r="A64" s="400" t="s">
        <v>219</v>
      </c>
      <c r="B64" s="363" t="s">
        <v>220</v>
      </c>
      <c r="C64" s="365"/>
      <c r="D64" s="365"/>
      <c r="E64" s="365"/>
      <c r="F64" s="364"/>
    </row>
    <row r="65" spans="1:6" x14ac:dyDescent="0.45">
      <c r="A65" s="400" t="s">
        <v>221</v>
      </c>
      <c r="B65" s="363" t="s">
        <v>222</v>
      </c>
      <c r="C65" s="365"/>
      <c r="D65" s="365"/>
      <c r="E65" s="365"/>
      <c r="F65" s="364"/>
    </row>
    <row r="66" spans="1:6" x14ac:dyDescent="0.45">
      <c r="A66" s="400" t="s">
        <v>223</v>
      </c>
      <c r="B66" s="363" t="s">
        <v>224</v>
      </c>
      <c r="C66" s="365"/>
      <c r="D66" s="365"/>
      <c r="E66" s="365"/>
      <c r="F66" s="364"/>
    </row>
    <row r="67" spans="1:6" x14ac:dyDescent="0.45">
      <c r="A67" s="400" t="s">
        <v>225</v>
      </c>
      <c r="B67" s="363" t="s">
        <v>226</v>
      </c>
      <c r="C67" s="365"/>
      <c r="D67" s="365"/>
      <c r="E67" s="365"/>
      <c r="F67" s="364"/>
    </row>
    <row r="68" spans="1:6" x14ac:dyDescent="0.45">
      <c r="A68" s="400" t="s">
        <v>151</v>
      </c>
      <c r="B68" s="363" t="s">
        <v>152</v>
      </c>
      <c r="C68" s="365"/>
      <c r="D68" s="365"/>
      <c r="E68" s="365"/>
      <c r="F68" s="364"/>
    </row>
    <row r="69" spans="1:6" x14ac:dyDescent="0.45">
      <c r="A69" s="393" t="s">
        <v>61</v>
      </c>
      <c r="B69" s="373" t="s">
        <v>32</v>
      </c>
      <c r="C69" s="372" t="s">
        <v>29</v>
      </c>
      <c r="D69" s="372"/>
      <c r="E69" s="372">
        <v>11</v>
      </c>
      <c r="F69" s="374">
        <v>114000</v>
      </c>
    </row>
    <row r="70" spans="1:6" x14ac:dyDescent="0.45">
      <c r="A70" s="393" t="s">
        <v>65</v>
      </c>
      <c r="B70" s="373" t="s">
        <v>42</v>
      </c>
      <c r="C70" s="372" t="s">
        <v>29</v>
      </c>
      <c r="D70" s="372"/>
      <c r="E70" s="372">
        <v>11</v>
      </c>
      <c r="F70" s="374">
        <v>36983.160000000003</v>
      </c>
    </row>
    <row r="71" spans="1:6" x14ac:dyDescent="0.45">
      <c r="A71" s="400" t="s">
        <v>227</v>
      </c>
      <c r="B71" s="363" t="s">
        <v>267</v>
      </c>
      <c r="C71" s="365"/>
      <c r="D71" s="365"/>
      <c r="E71" s="365"/>
      <c r="F71" s="364"/>
    </row>
    <row r="72" spans="1:6" x14ac:dyDescent="0.45">
      <c r="A72" s="400" t="s">
        <v>268</v>
      </c>
      <c r="B72" s="363" t="s">
        <v>269</v>
      </c>
      <c r="C72" s="365"/>
      <c r="D72" s="365"/>
      <c r="E72" s="365"/>
      <c r="F72" s="364"/>
    </row>
    <row r="73" spans="1:6" x14ac:dyDescent="0.45">
      <c r="A73" s="393" t="s">
        <v>88</v>
      </c>
      <c r="B73" s="373" t="s">
        <v>107</v>
      </c>
      <c r="C73" s="372" t="s">
        <v>10</v>
      </c>
      <c r="D73" s="372"/>
      <c r="E73" s="372">
        <v>11</v>
      </c>
      <c r="F73" s="374">
        <v>47500</v>
      </c>
    </row>
    <row r="74" spans="1:6" x14ac:dyDescent="0.45">
      <c r="A74" s="400" t="s">
        <v>213</v>
      </c>
      <c r="B74" s="363" t="s">
        <v>214</v>
      </c>
      <c r="C74" s="365"/>
      <c r="D74" s="365"/>
      <c r="E74" s="365"/>
      <c r="F74" s="364"/>
    </row>
    <row r="75" spans="1:6" x14ac:dyDescent="0.45">
      <c r="A75" s="393" t="s">
        <v>54</v>
      </c>
      <c r="B75" s="373" t="s">
        <v>81</v>
      </c>
      <c r="C75" s="372" t="s">
        <v>10</v>
      </c>
      <c r="D75" s="372"/>
      <c r="E75" s="372">
        <v>11</v>
      </c>
      <c r="F75" s="374">
        <v>5700</v>
      </c>
    </row>
    <row r="76" spans="1:6" x14ac:dyDescent="0.45">
      <c r="A76" s="400" t="s">
        <v>270</v>
      </c>
      <c r="B76" s="363" t="s">
        <v>271</v>
      </c>
      <c r="C76" s="365"/>
      <c r="D76" s="365"/>
      <c r="E76" s="365"/>
      <c r="F76" s="364"/>
    </row>
    <row r="77" spans="1:6" ht="14.65" thickBot="1" x14ac:dyDescent="0.5">
      <c r="A77" s="413"/>
      <c r="B77" s="413"/>
      <c r="C77" s="413"/>
      <c r="D77" s="413"/>
      <c r="E77" s="414" t="s">
        <v>126</v>
      </c>
      <c r="F77" s="415">
        <f>SUM(F63,F69,F70,F73,F75)</f>
        <v>218438.16999999998</v>
      </c>
    </row>
    <row r="78" spans="1:6" ht="8" customHeight="1" x14ac:dyDescent="0.45"/>
    <row r="79" spans="1:6" ht="16.5" x14ac:dyDescent="0.45">
      <c r="A79" s="303" t="s">
        <v>137</v>
      </c>
      <c r="B79" s="304"/>
      <c r="C79" s="304"/>
      <c r="D79" s="304"/>
      <c r="E79" s="304"/>
      <c r="F79" s="304"/>
    </row>
    <row r="80" spans="1:6" x14ac:dyDescent="0.45">
      <c r="A80" s="360" t="s">
        <v>121</v>
      </c>
      <c r="B80" s="361" t="s">
        <v>122</v>
      </c>
      <c r="C80" s="360" t="s">
        <v>123</v>
      </c>
      <c r="D80" s="360" t="s">
        <v>15</v>
      </c>
      <c r="E80" s="360" t="s">
        <v>124</v>
      </c>
      <c r="F80" s="362" t="s">
        <v>125</v>
      </c>
    </row>
    <row r="81" spans="1:6" x14ac:dyDescent="0.45">
      <c r="A81" s="394" t="s">
        <v>69</v>
      </c>
      <c r="B81" s="290" t="s">
        <v>22</v>
      </c>
      <c r="C81" s="291" t="s">
        <v>30</v>
      </c>
      <c r="D81" s="291"/>
      <c r="E81" s="291">
        <v>13</v>
      </c>
      <c r="F81" s="375">
        <v>47907.39</v>
      </c>
    </row>
    <row r="82" spans="1:6" x14ac:dyDescent="0.45">
      <c r="A82" s="400" t="s">
        <v>180</v>
      </c>
      <c r="B82" s="363" t="s">
        <v>181</v>
      </c>
      <c r="C82" s="365"/>
      <c r="D82" s="365"/>
      <c r="E82" s="365"/>
      <c r="F82" s="364"/>
    </row>
    <row r="83" spans="1:6" x14ac:dyDescent="0.45">
      <c r="A83" s="394" t="s">
        <v>92</v>
      </c>
      <c r="B83" s="290" t="s">
        <v>132</v>
      </c>
      <c r="C83" s="291" t="s">
        <v>10</v>
      </c>
      <c r="D83" s="291"/>
      <c r="E83" s="291">
        <v>13</v>
      </c>
      <c r="F83" s="375">
        <v>47500</v>
      </c>
    </row>
    <row r="84" spans="1:6" x14ac:dyDescent="0.45">
      <c r="A84" s="400" t="s">
        <v>182</v>
      </c>
      <c r="B84" s="363" t="s">
        <v>183</v>
      </c>
      <c r="C84" s="365"/>
      <c r="D84" s="365"/>
      <c r="E84" s="365"/>
      <c r="F84" s="364"/>
    </row>
    <row r="85" spans="1:6" x14ac:dyDescent="0.45">
      <c r="A85" s="400" t="s">
        <v>184</v>
      </c>
      <c r="B85" s="363" t="s">
        <v>185</v>
      </c>
      <c r="C85" s="365"/>
      <c r="D85" s="365"/>
      <c r="E85" s="365"/>
      <c r="F85" s="364"/>
    </row>
    <row r="86" spans="1:6" x14ac:dyDescent="0.45">
      <c r="A86" s="400" t="s">
        <v>178</v>
      </c>
      <c r="B86" s="363" t="s">
        <v>179</v>
      </c>
      <c r="C86" s="365"/>
      <c r="D86" s="365"/>
      <c r="E86" s="365"/>
      <c r="F86" s="364"/>
    </row>
    <row r="87" spans="1:6" x14ac:dyDescent="0.45">
      <c r="A87" s="394" t="s">
        <v>94</v>
      </c>
      <c r="B87" s="290" t="s">
        <v>26</v>
      </c>
      <c r="C87" s="291" t="s">
        <v>10</v>
      </c>
      <c r="D87" s="291"/>
      <c r="E87" s="291">
        <v>13</v>
      </c>
      <c r="F87" s="375">
        <v>101149.83</v>
      </c>
    </row>
    <row r="88" spans="1:6" x14ac:dyDescent="0.45">
      <c r="A88" s="400" t="s">
        <v>186</v>
      </c>
      <c r="B88" s="363" t="s">
        <v>187</v>
      </c>
      <c r="C88" s="365"/>
      <c r="D88" s="365"/>
      <c r="E88" s="365"/>
      <c r="F88" s="364"/>
    </row>
    <row r="89" spans="1:6" ht="14.65" thickBot="1" x14ac:dyDescent="0.5">
      <c r="A89" s="416"/>
      <c r="B89" s="416"/>
      <c r="C89" s="416"/>
      <c r="D89" s="416"/>
      <c r="E89" s="417" t="s">
        <v>126</v>
      </c>
      <c r="F89" s="418">
        <f>SUM(F81,F83,F87)</f>
        <v>196557.22</v>
      </c>
    </row>
    <row r="90" spans="1:6" ht="8" customHeight="1" x14ac:dyDescent="0.45"/>
    <row r="91" spans="1:6" ht="16.5" x14ac:dyDescent="0.45">
      <c r="A91" s="259" t="s">
        <v>128</v>
      </c>
      <c r="B91" s="260"/>
      <c r="C91" s="260"/>
      <c r="D91" s="260"/>
      <c r="E91" s="260"/>
      <c r="F91" s="260"/>
    </row>
    <row r="92" spans="1:6" x14ac:dyDescent="0.45">
      <c r="A92" s="334" t="s">
        <v>121</v>
      </c>
      <c r="B92" s="335" t="s">
        <v>122</v>
      </c>
      <c r="C92" s="334" t="s">
        <v>123</v>
      </c>
      <c r="D92" s="334" t="s">
        <v>15</v>
      </c>
      <c r="E92" s="334" t="s">
        <v>124</v>
      </c>
      <c r="F92" s="336" t="s">
        <v>125</v>
      </c>
    </row>
    <row r="93" spans="1:6" x14ac:dyDescent="0.45">
      <c r="A93" s="395" t="s">
        <v>57</v>
      </c>
      <c r="B93" s="377" t="s">
        <v>4</v>
      </c>
      <c r="C93" s="376" t="s">
        <v>29</v>
      </c>
      <c r="D93" s="376"/>
      <c r="E93" s="376">
        <v>15</v>
      </c>
      <c r="F93" s="378">
        <v>11045.64</v>
      </c>
    </row>
    <row r="94" spans="1:6" x14ac:dyDescent="0.45">
      <c r="A94" s="395" t="s">
        <v>62</v>
      </c>
      <c r="B94" s="377" t="s">
        <v>138</v>
      </c>
      <c r="C94" s="376" t="s">
        <v>29</v>
      </c>
      <c r="D94" s="376"/>
      <c r="E94" s="376">
        <v>15</v>
      </c>
      <c r="F94" s="378">
        <v>151496.06</v>
      </c>
    </row>
    <row r="95" spans="1:6" x14ac:dyDescent="0.45">
      <c r="A95" s="400" t="s">
        <v>188</v>
      </c>
      <c r="B95" s="363" t="s">
        <v>189</v>
      </c>
      <c r="C95" s="365"/>
      <c r="D95" s="365"/>
      <c r="E95" s="365"/>
      <c r="F95" s="364"/>
    </row>
    <row r="96" spans="1:6" x14ac:dyDescent="0.45">
      <c r="A96" s="400" t="s">
        <v>190</v>
      </c>
      <c r="B96" s="363" t="s">
        <v>191</v>
      </c>
      <c r="C96" s="365"/>
      <c r="D96" s="365"/>
      <c r="E96" s="365"/>
      <c r="F96" s="364"/>
    </row>
    <row r="97" spans="1:6" x14ac:dyDescent="0.45">
      <c r="A97" s="395" t="s">
        <v>68</v>
      </c>
      <c r="B97" s="377" t="s">
        <v>44</v>
      </c>
      <c r="C97" s="376" t="s">
        <v>30</v>
      </c>
      <c r="D97" s="376"/>
      <c r="E97" s="376">
        <v>15</v>
      </c>
      <c r="F97" s="378">
        <v>55655.92</v>
      </c>
    </row>
    <row r="98" spans="1:6" x14ac:dyDescent="0.45">
      <c r="A98" s="400" t="s">
        <v>192</v>
      </c>
      <c r="B98" s="363" t="s">
        <v>193</v>
      </c>
      <c r="C98" s="365"/>
      <c r="D98" s="365"/>
      <c r="E98" s="365"/>
      <c r="F98" s="364"/>
    </row>
    <row r="99" spans="1:6" x14ac:dyDescent="0.45">
      <c r="A99" s="400" t="s">
        <v>194</v>
      </c>
      <c r="B99" s="363" t="s">
        <v>195</v>
      </c>
      <c r="C99" s="365"/>
      <c r="D99" s="365"/>
      <c r="E99" s="365"/>
      <c r="F99" s="364"/>
    </row>
    <row r="100" spans="1:6" x14ac:dyDescent="0.45">
      <c r="A100" s="400" t="s">
        <v>196</v>
      </c>
      <c r="B100" s="363" t="s">
        <v>197</v>
      </c>
      <c r="C100" s="365"/>
      <c r="D100" s="365"/>
      <c r="E100" s="365"/>
      <c r="F100" s="364"/>
    </row>
    <row r="101" spans="1:6" x14ac:dyDescent="0.45">
      <c r="A101" s="400" t="s">
        <v>198</v>
      </c>
      <c r="B101" s="363" t="s">
        <v>199</v>
      </c>
      <c r="C101" s="365"/>
      <c r="D101" s="365"/>
      <c r="E101" s="365"/>
      <c r="F101" s="364"/>
    </row>
    <row r="102" spans="1:6" x14ac:dyDescent="0.45">
      <c r="A102" s="395" t="s">
        <v>70</v>
      </c>
      <c r="B102" s="377" t="s">
        <v>35</v>
      </c>
      <c r="C102" s="376" t="s">
        <v>30</v>
      </c>
      <c r="D102" s="376"/>
      <c r="E102" s="376">
        <v>15</v>
      </c>
      <c r="F102" s="378">
        <v>33140.47</v>
      </c>
    </row>
    <row r="103" spans="1:6" x14ac:dyDescent="0.45">
      <c r="A103" s="400" t="s">
        <v>240</v>
      </c>
      <c r="B103" s="363" t="s">
        <v>241</v>
      </c>
      <c r="C103" s="365"/>
      <c r="D103" s="365"/>
      <c r="E103" s="365"/>
      <c r="F103" s="364"/>
    </row>
    <row r="104" spans="1:6" x14ac:dyDescent="0.45">
      <c r="A104" s="400" t="s">
        <v>242</v>
      </c>
      <c r="B104" s="363" t="s">
        <v>243</v>
      </c>
      <c r="C104" s="365"/>
      <c r="D104" s="365"/>
      <c r="E104" s="365"/>
      <c r="F104" s="364"/>
    </row>
    <row r="105" spans="1:6" ht="14.65" thickBot="1" x14ac:dyDescent="0.5">
      <c r="A105" s="419"/>
      <c r="B105" s="419"/>
      <c r="C105" s="419"/>
      <c r="D105" s="419"/>
      <c r="E105" s="420" t="s">
        <v>126</v>
      </c>
      <c r="F105" s="421">
        <f>SUM(F93,F94,F97,F102)</f>
        <v>251338.09</v>
      </c>
    </row>
    <row r="106" spans="1:6" ht="8" customHeight="1" x14ac:dyDescent="0.45"/>
    <row r="107" spans="1:6" ht="16.5" x14ac:dyDescent="0.45">
      <c r="A107" s="237" t="s">
        <v>120</v>
      </c>
      <c r="B107" s="238"/>
      <c r="C107" s="238"/>
      <c r="D107" s="238"/>
      <c r="E107" s="238"/>
      <c r="F107" s="238"/>
    </row>
    <row r="108" spans="1:6" x14ac:dyDescent="0.45">
      <c r="A108" s="354" t="s">
        <v>121</v>
      </c>
      <c r="B108" s="355" t="s">
        <v>122</v>
      </c>
      <c r="C108" s="354" t="s">
        <v>123</v>
      </c>
      <c r="D108" s="354" t="s">
        <v>15</v>
      </c>
      <c r="E108" s="354" t="s">
        <v>124</v>
      </c>
      <c r="F108" s="356" t="s">
        <v>125</v>
      </c>
    </row>
    <row r="109" spans="1:6" x14ac:dyDescent="0.45">
      <c r="A109" s="396" t="s">
        <v>74</v>
      </c>
      <c r="B109" s="380" t="s">
        <v>40</v>
      </c>
      <c r="C109" s="379" t="s">
        <v>30</v>
      </c>
      <c r="D109" s="379"/>
      <c r="E109" s="379">
        <v>17</v>
      </c>
      <c r="F109" s="381">
        <v>57000</v>
      </c>
    </row>
    <row r="110" spans="1:6" x14ac:dyDescent="0.45">
      <c r="A110" s="400" t="s">
        <v>244</v>
      </c>
      <c r="B110" s="363" t="s">
        <v>245</v>
      </c>
      <c r="C110" s="365"/>
      <c r="D110" s="365"/>
      <c r="E110" s="365"/>
      <c r="F110" s="364"/>
    </row>
    <row r="111" spans="1:6" x14ac:dyDescent="0.45">
      <c r="A111" s="396" t="s">
        <v>79</v>
      </c>
      <c r="B111" s="380" t="s">
        <v>141</v>
      </c>
      <c r="C111" s="379" t="s">
        <v>30</v>
      </c>
      <c r="D111" s="379"/>
      <c r="E111" s="379">
        <v>17</v>
      </c>
      <c r="F111" s="381">
        <v>78344.179999999993</v>
      </c>
    </row>
    <row r="112" spans="1:6" x14ac:dyDescent="0.45">
      <c r="A112" s="400" t="s">
        <v>246</v>
      </c>
      <c r="B112" s="363" t="s">
        <v>247</v>
      </c>
      <c r="C112" s="365"/>
      <c r="D112" s="365"/>
      <c r="E112" s="365"/>
      <c r="F112" s="364"/>
    </row>
    <row r="113" spans="1:6" x14ac:dyDescent="0.45">
      <c r="A113" s="400" t="s">
        <v>248</v>
      </c>
      <c r="B113" s="363" t="s">
        <v>249</v>
      </c>
      <c r="C113" s="365"/>
      <c r="D113" s="365"/>
      <c r="E113" s="365"/>
      <c r="F113" s="364"/>
    </row>
    <row r="114" spans="1:6" x14ac:dyDescent="0.45">
      <c r="A114" s="400" t="s">
        <v>250</v>
      </c>
      <c r="B114" s="363" t="s">
        <v>251</v>
      </c>
      <c r="C114" s="365"/>
      <c r="D114" s="365"/>
      <c r="E114" s="365"/>
      <c r="F114" s="364"/>
    </row>
    <row r="115" spans="1:6" x14ac:dyDescent="0.45">
      <c r="A115" s="400" t="s">
        <v>252</v>
      </c>
      <c r="B115" s="363" t="s">
        <v>253</v>
      </c>
      <c r="C115" s="365"/>
      <c r="D115" s="365"/>
      <c r="E115" s="365"/>
      <c r="F115" s="364"/>
    </row>
    <row r="116" spans="1:6" x14ac:dyDescent="0.45">
      <c r="A116" s="396" t="s">
        <v>89</v>
      </c>
      <c r="B116" s="380" t="s">
        <v>25</v>
      </c>
      <c r="C116" s="379" t="s">
        <v>10</v>
      </c>
      <c r="D116" s="379"/>
      <c r="E116" s="379">
        <v>17</v>
      </c>
      <c r="F116" s="381">
        <v>84550</v>
      </c>
    </row>
    <row r="117" spans="1:6" x14ac:dyDescent="0.45">
      <c r="A117" s="396" t="s">
        <v>90</v>
      </c>
      <c r="B117" s="380" t="s">
        <v>11</v>
      </c>
      <c r="C117" s="379" t="s">
        <v>10</v>
      </c>
      <c r="D117" s="379"/>
      <c r="E117" s="379">
        <v>17</v>
      </c>
      <c r="F117" s="381">
        <v>79325</v>
      </c>
    </row>
    <row r="118" spans="1:6" x14ac:dyDescent="0.45">
      <c r="A118" s="396" t="s">
        <v>109</v>
      </c>
      <c r="B118" s="380" t="s">
        <v>5</v>
      </c>
      <c r="C118" s="379" t="s">
        <v>10</v>
      </c>
      <c r="D118" s="379"/>
      <c r="E118" s="379">
        <v>17</v>
      </c>
      <c r="F118" s="381">
        <v>47500</v>
      </c>
    </row>
    <row r="119" spans="1:6" ht="14.65" thickBot="1" x14ac:dyDescent="0.5">
      <c r="A119" s="422"/>
      <c r="B119" s="422"/>
      <c r="C119" s="422"/>
      <c r="D119" s="422"/>
      <c r="E119" s="423" t="s">
        <v>126</v>
      </c>
      <c r="F119" s="424">
        <f>SUM(F109,F111,F116,F117,F118)</f>
        <v>346719.18</v>
      </c>
    </row>
    <row r="120" spans="1:6" ht="8" customHeight="1" x14ac:dyDescent="0.45"/>
    <row r="121" spans="1:6" ht="16.5" x14ac:dyDescent="0.45">
      <c r="A121" s="337" t="s">
        <v>149</v>
      </c>
      <c r="B121" s="338"/>
      <c r="C121" s="338"/>
      <c r="D121" s="338"/>
      <c r="E121" s="338"/>
      <c r="F121" s="338"/>
    </row>
    <row r="122" spans="1:6" x14ac:dyDescent="0.45">
      <c r="A122" s="339" t="s">
        <v>121</v>
      </c>
      <c r="B122" s="340" t="s">
        <v>122</v>
      </c>
      <c r="C122" s="339" t="s">
        <v>123</v>
      </c>
      <c r="D122" s="339" t="s">
        <v>15</v>
      </c>
      <c r="E122" s="339" t="s">
        <v>124</v>
      </c>
      <c r="F122" s="341" t="s">
        <v>125</v>
      </c>
    </row>
    <row r="123" spans="1:6" x14ac:dyDescent="0.45">
      <c r="A123" s="397" t="s">
        <v>72</v>
      </c>
      <c r="B123" s="383" t="s">
        <v>8</v>
      </c>
      <c r="C123" s="382" t="s">
        <v>30</v>
      </c>
      <c r="D123" s="382"/>
      <c r="E123" s="382">
        <v>19</v>
      </c>
      <c r="F123" s="384">
        <v>20452.57</v>
      </c>
    </row>
    <row r="124" spans="1:6" x14ac:dyDescent="0.45">
      <c r="A124" s="397" t="s">
        <v>73</v>
      </c>
      <c r="B124" s="383" t="s">
        <v>134</v>
      </c>
      <c r="C124" s="382" t="s">
        <v>30</v>
      </c>
      <c r="D124" s="382"/>
      <c r="E124" s="382">
        <v>19</v>
      </c>
      <c r="F124" s="384">
        <v>30526.51</v>
      </c>
    </row>
    <row r="125" spans="1:6" x14ac:dyDescent="0.45">
      <c r="A125" s="397" t="s">
        <v>80</v>
      </c>
      <c r="B125" s="383" t="s">
        <v>36</v>
      </c>
      <c r="C125" s="382" t="s">
        <v>30</v>
      </c>
      <c r="D125" s="382"/>
      <c r="E125" s="382">
        <v>19</v>
      </c>
      <c r="F125" s="384">
        <v>195908.55</v>
      </c>
    </row>
    <row r="126" spans="1:6" x14ac:dyDescent="0.45">
      <c r="A126" s="400" t="s">
        <v>200</v>
      </c>
      <c r="B126" s="363" t="s">
        <v>201</v>
      </c>
      <c r="C126" s="365"/>
      <c r="D126" s="365"/>
      <c r="E126" s="365"/>
      <c r="F126" s="364"/>
    </row>
    <row r="127" spans="1:6" ht="14.65" thickBot="1" x14ac:dyDescent="0.5">
      <c r="A127" s="425"/>
      <c r="B127" s="425"/>
      <c r="C127" s="425"/>
      <c r="D127" s="425"/>
      <c r="E127" s="426" t="s">
        <v>126</v>
      </c>
      <c r="F127" s="427">
        <f>SUM(F123,F124,F125)</f>
        <v>246887.63</v>
      </c>
    </row>
    <row r="128" spans="1:6" ht="8" customHeight="1" x14ac:dyDescent="0.45"/>
    <row r="129" spans="1:6" ht="16.5" x14ac:dyDescent="0.45">
      <c r="A129" s="342" t="s">
        <v>202</v>
      </c>
      <c r="B129" s="343"/>
      <c r="C129" s="343"/>
      <c r="D129" s="343"/>
      <c r="E129" s="343"/>
      <c r="F129" s="343"/>
    </row>
    <row r="130" spans="1:6" x14ac:dyDescent="0.45">
      <c r="A130" s="344" t="s">
        <v>121</v>
      </c>
      <c r="B130" s="345" t="s">
        <v>122</v>
      </c>
      <c r="C130" s="344" t="s">
        <v>123</v>
      </c>
      <c r="D130" s="344" t="s">
        <v>15</v>
      </c>
      <c r="E130" s="344" t="s">
        <v>124</v>
      </c>
      <c r="F130" s="346" t="s">
        <v>125</v>
      </c>
    </row>
    <row r="131" spans="1:6" x14ac:dyDescent="0.45">
      <c r="A131" s="398" t="s">
        <v>54</v>
      </c>
      <c r="B131" s="280" t="s">
        <v>38</v>
      </c>
      <c r="C131" s="281" t="s">
        <v>29</v>
      </c>
      <c r="D131" s="281"/>
      <c r="E131" s="281">
        <v>21</v>
      </c>
      <c r="F131" s="385">
        <v>22479.63</v>
      </c>
    </row>
    <row r="132" spans="1:6" x14ac:dyDescent="0.45">
      <c r="A132" s="398" t="s">
        <v>56</v>
      </c>
      <c r="B132" s="280" t="s">
        <v>3</v>
      </c>
      <c r="C132" s="281" t="s">
        <v>29</v>
      </c>
      <c r="D132" s="281"/>
      <c r="E132" s="281">
        <v>21</v>
      </c>
      <c r="F132" s="385">
        <v>1306.1300000000001</v>
      </c>
    </row>
    <row r="133" spans="1:6" x14ac:dyDescent="0.45">
      <c r="A133" s="398" t="s">
        <v>58</v>
      </c>
      <c r="B133" s="280" t="s">
        <v>43</v>
      </c>
      <c r="C133" s="281" t="s">
        <v>29</v>
      </c>
      <c r="D133" s="281"/>
      <c r="E133" s="281">
        <v>21</v>
      </c>
      <c r="F133" s="385">
        <v>21663.4</v>
      </c>
    </row>
    <row r="134" spans="1:6" x14ac:dyDescent="0.45">
      <c r="A134" s="400" t="s">
        <v>203</v>
      </c>
      <c r="B134" s="363" t="s">
        <v>204</v>
      </c>
      <c r="C134" s="365"/>
      <c r="D134" s="365"/>
      <c r="E134" s="365"/>
      <c r="F134" s="364"/>
    </row>
    <row r="135" spans="1:6" x14ac:dyDescent="0.45">
      <c r="A135" s="400" t="s">
        <v>205</v>
      </c>
      <c r="B135" s="363" t="s">
        <v>206</v>
      </c>
      <c r="C135" s="365"/>
      <c r="D135" s="365"/>
      <c r="E135" s="365"/>
      <c r="F135" s="364"/>
    </row>
    <row r="136" spans="1:6" x14ac:dyDescent="0.45">
      <c r="A136" s="400" t="s">
        <v>207</v>
      </c>
      <c r="B136" s="363" t="s">
        <v>208</v>
      </c>
      <c r="C136" s="365"/>
      <c r="D136" s="365"/>
      <c r="E136" s="365"/>
      <c r="F136" s="364"/>
    </row>
    <row r="137" spans="1:6" x14ac:dyDescent="0.45">
      <c r="A137" s="398" t="s">
        <v>59</v>
      </c>
      <c r="B137" s="280" t="s">
        <v>37</v>
      </c>
      <c r="C137" s="281" t="s">
        <v>29</v>
      </c>
      <c r="D137" s="281"/>
      <c r="E137" s="281">
        <v>21</v>
      </c>
      <c r="F137" s="385">
        <v>14593.6</v>
      </c>
    </row>
    <row r="138" spans="1:6" x14ac:dyDescent="0.45">
      <c r="A138" s="400" t="s">
        <v>209</v>
      </c>
      <c r="B138" s="363" t="s">
        <v>210</v>
      </c>
      <c r="C138" s="365"/>
      <c r="D138" s="365"/>
      <c r="E138" s="365"/>
      <c r="F138" s="364"/>
    </row>
    <row r="139" spans="1:6" x14ac:dyDescent="0.45">
      <c r="A139" s="400" t="s">
        <v>211</v>
      </c>
      <c r="B139" s="363" t="s">
        <v>212</v>
      </c>
      <c r="C139" s="365"/>
      <c r="D139" s="365"/>
      <c r="E139" s="365"/>
      <c r="F139" s="364"/>
    </row>
    <row r="140" spans="1:6" x14ac:dyDescent="0.45">
      <c r="A140" s="398" t="s">
        <v>67</v>
      </c>
      <c r="B140" s="280" t="s">
        <v>49</v>
      </c>
      <c r="C140" s="281" t="s">
        <v>30</v>
      </c>
      <c r="D140" s="281"/>
      <c r="E140" s="281">
        <v>21</v>
      </c>
      <c r="F140" s="385">
        <v>35683.839999999997</v>
      </c>
    </row>
    <row r="141" spans="1:6" x14ac:dyDescent="0.45">
      <c r="A141" s="400" t="s">
        <v>254</v>
      </c>
      <c r="B141" s="363" t="s">
        <v>255</v>
      </c>
      <c r="C141" s="365"/>
      <c r="D141" s="365"/>
      <c r="E141" s="365"/>
      <c r="F141" s="364"/>
    </row>
    <row r="142" spans="1:6" x14ac:dyDescent="0.45">
      <c r="A142" s="400" t="s">
        <v>256</v>
      </c>
      <c r="B142" s="363" t="s">
        <v>257</v>
      </c>
      <c r="C142" s="365"/>
      <c r="D142" s="365"/>
      <c r="E142" s="365"/>
      <c r="F142" s="364"/>
    </row>
    <row r="143" spans="1:6" x14ac:dyDescent="0.45">
      <c r="A143" s="400" t="s">
        <v>258</v>
      </c>
      <c r="B143" s="363" t="s">
        <v>259</v>
      </c>
      <c r="C143" s="365"/>
      <c r="D143" s="365"/>
      <c r="E143" s="365"/>
      <c r="F143" s="364"/>
    </row>
    <row r="144" spans="1:6" x14ac:dyDescent="0.45">
      <c r="A144" s="400" t="s">
        <v>260</v>
      </c>
      <c r="B144" s="363" t="s">
        <v>261</v>
      </c>
      <c r="C144" s="365"/>
      <c r="D144" s="365"/>
      <c r="E144" s="365"/>
      <c r="F144" s="364"/>
    </row>
    <row r="145" spans="1:6" x14ac:dyDescent="0.45">
      <c r="A145" s="398" t="s">
        <v>71</v>
      </c>
      <c r="B145" s="280" t="s">
        <v>7</v>
      </c>
      <c r="C145" s="281" t="s">
        <v>30</v>
      </c>
      <c r="D145" s="281"/>
      <c r="E145" s="281">
        <v>21</v>
      </c>
      <c r="F145" s="385">
        <v>22620.58</v>
      </c>
    </row>
    <row r="146" spans="1:6" x14ac:dyDescent="0.45">
      <c r="A146" s="398" t="s">
        <v>75</v>
      </c>
      <c r="B146" s="280" t="s">
        <v>39</v>
      </c>
      <c r="C146" s="281" t="s">
        <v>30</v>
      </c>
      <c r="D146" s="281"/>
      <c r="E146" s="281">
        <v>21</v>
      </c>
      <c r="F146" s="385">
        <v>70643.570000000007</v>
      </c>
    </row>
    <row r="147" spans="1:6" x14ac:dyDescent="0.45">
      <c r="A147" s="400" t="s">
        <v>262</v>
      </c>
      <c r="B147" s="363" t="s">
        <v>263</v>
      </c>
      <c r="C147" s="365"/>
      <c r="D147" s="365"/>
      <c r="E147" s="365"/>
      <c r="F147" s="364"/>
    </row>
    <row r="148" spans="1:6" x14ac:dyDescent="0.45">
      <c r="A148" s="398" t="s">
        <v>93</v>
      </c>
      <c r="B148" s="280" t="s">
        <v>12</v>
      </c>
      <c r="C148" s="281" t="s">
        <v>10</v>
      </c>
      <c r="D148" s="281"/>
      <c r="E148" s="281">
        <v>21</v>
      </c>
      <c r="F148" s="385">
        <v>65075</v>
      </c>
    </row>
    <row r="149" spans="1:6" ht="14.65" thickBot="1" x14ac:dyDescent="0.5">
      <c r="A149" s="428"/>
      <c r="B149" s="428"/>
      <c r="C149" s="428"/>
      <c r="D149" s="428"/>
      <c r="E149" s="429" t="s">
        <v>126</v>
      </c>
      <c r="F149" s="430">
        <f>SUM(F131,F132,F133,F137,F140,F145,F146,F148)</f>
        <v>254065.75</v>
      </c>
    </row>
    <row r="150" spans="1:6" ht="8" customHeight="1" x14ac:dyDescent="0.45"/>
    <row r="151" spans="1:6" ht="16.5" x14ac:dyDescent="0.45">
      <c r="A151" s="295" t="s">
        <v>136</v>
      </c>
      <c r="B151" s="296"/>
      <c r="C151" s="296"/>
      <c r="D151" s="296"/>
      <c r="E151" s="296"/>
      <c r="F151" s="296"/>
    </row>
    <row r="152" spans="1:6" x14ac:dyDescent="0.45">
      <c r="A152" s="357" t="s">
        <v>121</v>
      </c>
      <c r="B152" s="358" t="s">
        <v>122</v>
      </c>
      <c r="C152" s="357" t="s">
        <v>123</v>
      </c>
      <c r="D152" s="357" t="s">
        <v>15</v>
      </c>
      <c r="E152" s="357" t="s">
        <v>124</v>
      </c>
      <c r="F152" s="359" t="s">
        <v>125</v>
      </c>
    </row>
    <row r="153" spans="1:6" x14ac:dyDescent="0.45">
      <c r="A153" s="399" t="s">
        <v>55</v>
      </c>
      <c r="B153" s="305" t="s">
        <v>2</v>
      </c>
      <c r="C153" s="306" t="s">
        <v>29</v>
      </c>
      <c r="D153" s="306"/>
      <c r="E153" s="306">
        <v>23</v>
      </c>
      <c r="F153" s="386">
        <v>25685.49</v>
      </c>
    </row>
    <row r="154" spans="1:6" x14ac:dyDescent="0.45">
      <c r="A154" s="399" t="s">
        <v>63</v>
      </c>
      <c r="B154" s="305" t="s">
        <v>41</v>
      </c>
      <c r="C154" s="306" t="s">
        <v>29</v>
      </c>
      <c r="D154" s="306"/>
      <c r="E154" s="306">
        <v>23</v>
      </c>
      <c r="F154" s="386">
        <v>7819.55</v>
      </c>
    </row>
    <row r="155" spans="1:6" x14ac:dyDescent="0.45">
      <c r="A155" s="400" t="s">
        <v>264</v>
      </c>
      <c r="B155" s="363" t="s">
        <v>265</v>
      </c>
      <c r="C155" s="365"/>
      <c r="D155" s="365"/>
      <c r="E155" s="365"/>
      <c r="F155" s="364"/>
    </row>
    <row r="156" spans="1:6" x14ac:dyDescent="0.45">
      <c r="A156" s="400" t="s">
        <v>266</v>
      </c>
      <c r="B156" s="363" t="s">
        <v>265</v>
      </c>
      <c r="C156" s="365"/>
      <c r="D156" s="365"/>
      <c r="E156" s="365"/>
      <c r="F156" s="364"/>
    </row>
    <row r="157" spans="1:6" x14ac:dyDescent="0.45">
      <c r="A157" s="306"/>
      <c r="B157" s="305" t="s">
        <v>142</v>
      </c>
      <c r="C157" s="306"/>
      <c r="D157" s="306"/>
      <c r="E157" s="306">
        <v>23</v>
      </c>
      <c r="F157" s="386">
        <v>73603.72</v>
      </c>
    </row>
    <row r="158" spans="1:6" x14ac:dyDescent="0.45">
      <c r="A158" s="306"/>
      <c r="B158" s="305" t="s">
        <v>143</v>
      </c>
      <c r="C158" s="306"/>
      <c r="D158" s="306"/>
      <c r="E158" s="306">
        <v>23</v>
      </c>
      <c r="F158" s="386">
        <v>46410.7</v>
      </c>
    </row>
    <row r="159" spans="1:6" ht="14.65" thickBot="1" x14ac:dyDescent="0.5">
      <c r="A159" s="431"/>
      <c r="B159" s="431"/>
      <c r="C159" s="431"/>
      <c r="D159" s="431"/>
      <c r="E159" s="432" t="s">
        <v>126</v>
      </c>
      <c r="F159" s="433">
        <f>SUM(F153,F154,F157,F158)</f>
        <v>153519.46000000002</v>
      </c>
    </row>
    <row r="160" spans="1:6" ht="8" customHeight="1" x14ac:dyDescent="0.45"/>
  </sheetData>
  <pageMargins left="0.7" right="0.7" top="0.75" bottom="0.75" header="0.3" footer="0.3"/>
  <pageSetup paperSize="9" scale="71" orientation="portrait" r:id="rId1"/>
  <rowBreaks count="2" manualBreakCount="2">
    <brk id="68" max="16383" man="1"/>
    <brk id="1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E2NS</vt:lpstr>
      <vt:lpstr>D1D2</vt:lpstr>
      <vt:lpstr>Claude Log</vt:lpstr>
      <vt:lpstr>Weekly Follow-Up</vt:lpstr>
      <vt:lpstr>Weekly Detailed Follow-Up</vt:lpstr>
      <vt:lpstr>E2NS!Print_Area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Cyrille ROMAIN Limited</dc:creator>
  <cp:lastModifiedBy>Umut Seçkin</cp:lastModifiedBy>
  <cp:lastPrinted>2026-02-10T14:32:31Z</cp:lastPrinted>
  <dcterms:created xsi:type="dcterms:W3CDTF">2026-01-13T13:15:38Z</dcterms:created>
  <dcterms:modified xsi:type="dcterms:W3CDTF">2026-02-10T14:54:08Z</dcterms:modified>
</cp:coreProperties>
</file>