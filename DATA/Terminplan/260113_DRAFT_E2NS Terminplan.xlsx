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UmutSeçkin\Desktop\"/>
    </mc:Choice>
  </mc:AlternateContent>
  <xr:revisionPtr revIDLastSave="0" documentId="13_ncr:1_{9C9CF846-111F-4584-8AEB-1A333BB4219A}" xr6:coauthVersionLast="47" xr6:coauthVersionMax="47" xr10:uidLastSave="{00000000-0000-0000-0000-000000000000}"/>
  <bookViews>
    <workbookView xWindow="-28920" yWindow="-30" windowWidth="29040" windowHeight="15720" xr2:uid="{79D20159-FE96-483D-9193-61BB00B32DC6}"/>
    <workbookView xWindow="-28920" yWindow="-30" windowWidth="29040" windowHeight="15720" activeTab="2" xr2:uid="{AB5F390D-6D56-4237-B1E3-E71076004276}"/>
  </bookViews>
  <sheets>
    <sheet name="Summary" sheetId="10" r:id="rId1"/>
    <sheet name="E2NS Terminplan" sheetId="5" r:id="rId2"/>
    <sheet name="260113_E2NS Terminplan" sheetId="11" r:id="rId3"/>
    <sheet name="Prerequisites" sheetId="8" r:id="rId4"/>
  </sheets>
  <externalReferences>
    <externalReference r:id="rId5"/>
  </externalReferences>
  <definedNames>
    <definedName name="Aufgabe">[1]Daten!$D$3:$D$128</definedName>
    <definedName name="FarbeA">#REF!</definedName>
    <definedName name="FarbeB">#REF!</definedName>
    <definedName name="FarbeC">#REF!</definedName>
    <definedName name="FarbeD">#REF!</definedName>
    <definedName name="FarbeE">#REF!</definedName>
    <definedName name="_xlnm.Print_Titles" localSheetId="2">'260113_E2NS Terminplan'!$3:$10</definedName>
    <definedName name="_xlnm.Print_Titles" localSheetId="1">'E2NS Terminplan'!$3:$10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7" i="11" l="1"/>
  <c r="T67" i="11" s="1"/>
  <c r="EY12" i="11"/>
  <c r="EX12" i="11"/>
  <c r="DO12" i="11"/>
  <c r="DN12" i="11"/>
  <c r="DJ12" i="11"/>
  <c r="DI12" i="11"/>
  <c r="DH12" i="11"/>
  <c r="DE12" i="11"/>
  <c r="DB12" i="11"/>
  <c r="CZ12" i="11"/>
  <c r="CC12" i="11"/>
  <c r="CB12" i="11"/>
  <c r="CA12" i="11"/>
  <c r="BZ12" i="11"/>
  <c r="BY12" i="11"/>
  <c r="BX12" i="11"/>
  <c r="CM12" i="11"/>
  <c r="CL12" i="11"/>
  <c r="CX12" i="11"/>
  <c r="CW12" i="11"/>
  <c r="CV12" i="11"/>
  <c r="CU12" i="11"/>
  <c r="CT12" i="11"/>
  <c r="CS12" i="11"/>
  <c r="R16" i="11"/>
  <c r="T16" i="11" s="1"/>
  <c r="T181" i="11"/>
  <c r="T177" i="11"/>
  <c r="T176" i="11"/>
  <c r="T175" i="11"/>
  <c r="T174" i="11"/>
  <c r="T173" i="11"/>
  <c r="T172" i="11"/>
  <c r="T171" i="11"/>
  <c r="T170" i="11"/>
  <c r="T169" i="11"/>
  <c r="T168" i="11"/>
  <c r="T167" i="11"/>
  <c r="D167" i="11"/>
  <c r="D168" i="11" s="1"/>
  <c r="D169" i="11" s="1"/>
  <c r="D170" i="11" s="1"/>
  <c r="D171" i="11" s="1"/>
  <c r="D172" i="11" s="1"/>
  <c r="D173" i="11" s="1"/>
  <c r="T166" i="11"/>
  <c r="U165" i="11"/>
  <c r="T165" i="11"/>
  <c r="P165" i="11"/>
  <c r="O165" i="11"/>
  <c r="L165" i="11"/>
  <c r="Y164" i="11"/>
  <c r="U164" i="11"/>
  <c r="V164" i="11" s="1"/>
  <c r="T164" i="11"/>
  <c r="P164" i="11"/>
  <c r="Q164" i="11" s="1"/>
  <c r="L164" i="11"/>
  <c r="Y163" i="11"/>
  <c r="V163" i="11"/>
  <c r="T163" i="11"/>
  <c r="U162" i="11"/>
  <c r="T162" i="11"/>
  <c r="P162" i="11"/>
  <c r="O162" i="11"/>
  <c r="L162" i="11"/>
  <c r="U161" i="11"/>
  <c r="T161" i="11"/>
  <c r="P161" i="11"/>
  <c r="O161" i="11"/>
  <c r="L161" i="11"/>
  <c r="D161" i="11"/>
  <c r="D162" i="11" s="1"/>
  <c r="D163" i="11" s="1"/>
  <c r="D164" i="11" s="1"/>
  <c r="D165" i="11" s="1"/>
  <c r="T160" i="11"/>
  <c r="U159" i="11"/>
  <c r="T159" i="11"/>
  <c r="P159" i="11"/>
  <c r="O159" i="11"/>
  <c r="V159" i="11" s="1"/>
  <c r="L159" i="11"/>
  <c r="Y158" i="11"/>
  <c r="U158" i="11"/>
  <c r="V158" i="11" s="1"/>
  <c r="T158" i="11"/>
  <c r="L158" i="11"/>
  <c r="Y157" i="11"/>
  <c r="V157" i="11"/>
  <c r="T157" i="11"/>
  <c r="D157" i="11"/>
  <c r="D158" i="11" s="1"/>
  <c r="D159" i="11" s="1"/>
  <c r="U156" i="11"/>
  <c r="T156" i="11"/>
  <c r="P156" i="11"/>
  <c r="O156" i="11"/>
  <c r="Q156" i="11" s="1"/>
  <c r="L156" i="11"/>
  <c r="D156" i="11"/>
  <c r="T155" i="11"/>
  <c r="U154" i="11"/>
  <c r="T154" i="11"/>
  <c r="P154" i="11"/>
  <c r="O154" i="11"/>
  <c r="Q154" i="11" s="1"/>
  <c r="L154" i="11"/>
  <c r="D154" i="11"/>
  <c r="T153" i="11"/>
  <c r="O153" i="11"/>
  <c r="U152" i="11"/>
  <c r="V152" i="11" s="1"/>
  <c r="T152" i="11"/>
  <c r="P152" i="11"/>
  <c r="O152" i="11"/>
  <c r="Q152" i="11" s="1"/>
  <c r="L152" i="11"/>
  <c r="U151" i="11"/>
  <c r="T151" i="11"/>
  <c r="P151" i="11"/>
  <c r="O151" i="11"/>
  <c r="Q151" i="11" s="1"/>
  <c r="L151" i="11"/>
  <c r="U150" i="11"/>
  <c r="T150" i="11"/>
  <c r="P150" i="11"/>
  <c r="O150" i="11"/>
  <c r="L150" i="11"/>
  <c r="D150" i="11"/>
  <c r="D151" i="11" s="1"/>
  <c r="D152" i="11" s="1"/>
  <c r="T149" i="11"/>
  <c r="U148" i="11"/>
  <c r="T148" i="11"/>
  <c r="P148" i="11"/>
  <c r="O148" i="11"/>
  <c r="L148" i="11"/>
  <c r="D148" i="11"/>
  <c r="T147" i="11"/>
  <c r="U146" i="11"/>
  <c r="T146" i="11"/>
  <c r="P146" i="11"/>
  <c r="O146" i="11"/>
  <c r="L146" i="11"/>
  <c r="U145" i="11"/>
  <c r="V145" i="11" s="1"/>
  <c r="T145" i="11"/>
  <c r="P145" i="11"/>
  <c r="O145" i="11"/>
  <c r="L145" i="11"/>
  <c r="D145" i="11"/>
  <c r="D146" i="11" s="1"/>
  <c r="T144" i="11"/>
  <c r="T143" i="11"/>
  <c r="P143" i="11"/>
  <c r="O143" i="11"/>
  <c r="J143" i="11"/>
  <c r="L143" i="11" s="1"/>
  <c r="U142" i="11"/>
  <c r="T142" i="11"/>
  <c r="P142" i="11"/>
  <c r="O142" i="11"/>
  <c r="Q142" i="11" s="1"/>
  <c r="J142" i="11"/>
  <c r="L142" i="11" s="1"/>
  <c r="U141" i="11"/>
  <c r="V141" i="11" s="1"/>
  <c r="T141" i="11"/>
  <c r="P141" i="11"/>
  <c r="O141" i="11"/>
  <c r="Q141" i="11" s="1"/>
  <c r="L141" i="11"/>
  <c r="D141" i="11"/>
  <c r="D142" i="11" s="1"/>
  <c r="D143" i="11" s="1"/>
  <c r="T140" i="11"/>
  <c r="U139" i="11"/>
  <c r="V139" i="11" s="1"/>
  <c r="T139" i="11"/>
  <c r="P139" i="11"/>
  <c r="Q139" i="11" s="1"/>
  <c r="O139" i="11"/>
  <c r="L139" i="11"/>
  <c r="U138" i="11"/>
  <c r="T138" i="11"/>
  <c r="P138" i="11"/>
  <c r="Q138" i="11" s="1"/>
  <c r="O138" i="11"/>
  <c r="L138" i="11"/>
  <c r="T137" i="11"/>
  <c r="P137" i="11"/>
  <c r="O137" i="11"/>
  <c r="L137" i="11"/>
  <c r="J137" i="11"/>
  <c r="U137" i="11" s="1"/>
  <c r="D137" i="11"/>
  <c r="D138" i="11" s="1"/>
  <c r="D139" i="11" s="1"/>
  <c r="T136" i="11"/>
  <c r="U135" i="11"/>
  <c r="T135" i="11"/>
  <c r="P135" i="11"/>
  <c r="O135" i="11"/>
  <c r="L135" i="11"/>
  <c r="U134" i="11"/>
  <c r="T134" i="11"/>
  <c r="P134" i="11"/>
  <c r="O134" i="11"/>
  <c r="L134" i="11"/>
  <c r="T133" i="11"/>
  <c r="P133" i="11"/>
  <c r="O133" i="11"/>
  <c r="J133" i="11"/>
  <c r="D133" i="11"/>
  <c r="D134" i="11" s="1"/>
  <c r="D135" i="11" s="1"/>
  <c r="T132" i="11"/>
  <c r="V131" i="11"/>
  <c r="U131" i="11"/>
  <c r="T131" i="11"/>
  <c r="P131" i="11"/>
  <c r="O131" i="11"/>
  <c r="L131" i="11"/>
  <c r="U130" i="11"/>
  <c r="T130" i="11"/>
  <c r="P130" i="11"/>
  <c r="O130" i="11"/>
  <c r="L130" i="11"/>
  <c r="Y129" i="11"/>
  <c r="V129" i="11"/>
  <c r="T129" i="11"/>
  <c r="C129" i="1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Y128" i="11"/>
  <c r="V128" i="11"/>
  <c r="T128" i="11"/>
  <c r="D128" i="11"/>
  <c r="D129" i="11" s="1"/>
  <c r="D130" i="11" s="1"/>
  <c r="D131" i="11" s="1"/>
  <c r="T127" i="11"/>
  <c r="C127" i="11"/>
  <c r="C128" i="11" s="1"/>
  <c r="Y125" i="11"/>
  <c r="V125" i="11"/>
  <c r="T125" i="11"/>
  <c r="U124" i="11"/>
  <c r="T124" i="11"/>
  <c r="P124" i="11"/>
  <c r="Q124" i="11" s="1"/>
  <c r="O124" i="11"/>
  <c r="L124" i="11"/>
  <c r="U123" i="11"/>
  <c r="T123" i="11"/>
  <c r="Q123" i="11"/>
  <c r="P123" i="11"/>
  <c r="O123" i="11"/>
  <c r="L123" i="11"/>
  <c r="U122" i="11"/>
  <c r="T122" i="11"/>
  <c r="P122" i="11"/>
  <c r="O122" i="11"/>
  <c r="L122" i="11"/>
  <c r="Y121" i="11"/>
  <c r="V121" i="11"/>
  <c r="T121" i="11"/>
  <c r="D121" i="11"/>
  <c r="D122" i="11" s="1"/>
  <c r="D123" i="11" s="1"/>
  <c r="D124" i="11" s="1"/>
  <c r="T120" i="11"/>
  <c r="U119" i="11"/>
  <c r="V119" i="11" s="1"/>
  <c r="T119" i="11"/>
  <c r="P119" i="11"/>
  <c r="O119" i="11"/>
  <c r="Q119" i="11" s="1"/>
  <c r="L119" i="11"/>
  <c r="U118" i="11"/>
  <c r="T118" i="11"/>
  <c r="P118" i="11"/>
  <c r="O118" i="11"/>
  <c r="L118" i="11"/>
  <c r="U117" i="11"/>
  <c r="T117" i="11"/>
  <c r="P117" i="11"/>
  <c r="O117" i="11"/>
  <c r="O112" i="11" s="1"/>
  <c r="L117" i="11"/>
  <c r="U116" i="11"/>
  <c r="V116" i="11" s="1"/>
  <c r="T116" i="11"/>
  <c r="P116" i="11"/>
  <c r="O116" i="11"/>
  <c r="Q116" i="11" s="1"/>
  <c r="L116" i="11"/>
  <c r="Y115" i="11"/>
  <c r="U115" i="11"/>
  <c r="V115" i="11" s="1"/>
  <c r="T115" i="11"/>
  <c r="L115" i="11"/>
  <c r="Y114" i="11"/>
  <c r="U114" i="11"/>
  <c r="V114" i="11" s="1"/>
  <c r="T114" i="11"/>
  <c r="L114" i="11"/>
  <c r="Y113" i="11"/>
  <c r="U113" i="11"/>
  <c r="V113" i="11" s="1"/>
  <c r="T113" i="11"/>
  <c r="L113" i="11"/>
  <c r="D113" i="11"/>
  <c r="D114" i="11" s="1"/>
  <c r="D115" i="11" s="1"/>
  <c r="D116" i="11" s="1"/>
  <c r="D117" i="11" s="1"/>
  <c r="D118" i="11" s="1"/>
  <c r="D119" i="11" s="1"/>
  <c r="T112" i="11"/>
  <c r="U111" i="11"/>
  <c r="T111" i="11"/>
  <c r="P111" i="11"/>
  <c r="O111" i="11"/>
  <c r="V111" i="11" s="1"/>
  <c r="L111" i="11"/>
  <c r="U110" i="11"/>
  <c r="T110" i="11"/>
  <c r="P110" i="11"/>
  <c r="O110" i="11"/>
  <c r="L110" i="11"/>
  <c r="U109" i="11"/>
  <c r="V109" i="11" s="1"/>
  <c r="T109" i="11"/>
  <c r="P109" i="11"/>
  <c r="Q109" i="11" s="1"/>
  <c r="O109" i="11"/>
  <c r="L109" i="11"/>
  <c r="U108" i="11"/>
  <c r="V108" i="11" s="1"/>
  <c r="T108" i="11"/>
  <c r="P108" i="11"/>
  <c r="O108" i="11"/>
  <c r="O105" i="11" s="1"/>
  <c r="L108" i="11"/>
  <c r="Y107" i="11"/>
  <c r="V107" i="11"/>
  <c r="T107" i="11"/>
  <c r="P107" i="11"/>
  <c r="Q107" i="11" s="1"/>
  <c r="U106" i="11"/>
  <c r="V106" i="11" s="1"/>
  <c r="T106" i="11"/>
  <c r="P106" i="11"/>
  <c r="O106" i="11"/>
  <c r="L106" i="11"/>
  <c r="D106" i="11"/>
  <c r="D107" i="11" s="1"/>
  <c r="D108" i="11" s="1"/>
  <c r="D109" i="11" s="1"/>
  <c r="D110" i="11" s="1"/>
  <c r="D111" i="11" s="1"/>
  <c r="T105" i="11"/>
  <c r="U104" i="11"/>
  <c r="V104" i="11" s="1"/>
  <c r="T104" i="11"/>
  <c r="P104" i="11"/>
  <c r="Q104" i="11" s="1"/>
  <c r="O104" i="11"/>
  <c r="L104" i="11"/>
  <c r="U103" i="11"/>
  <c r="T103" i="11"/>
  <c r="P103" i="11"/>
  <c r="Q103" i="11" s="1"/>
  <c r="O103" i="11"/>
  <c r="L103" i="11"/>
  <c r="U102" i="11"/>
  <c r="V102" i="11" s="1"/>
  <c r="T102" i="11"/>
  <c r="P102" i="11"/>
  <c r="O102" i="11"/>
  <c r="Q102" i="11" s="1"/>
  <c r="L102" i="11"/>
  <c r="U101" i="11"/>
  <c r="V101" i="11" s="1"/>
  <c r="T101" i="11"/>
  <c r="P101" i="11"/>
  <c r="O101" i="11"/>
  <c r="L101" i="11"/>
  <c r="U100" i="11"/>
  <c r="V100" i="11" s="1"/>
  <c r="T100" i="11"/>
  <c r="P100" i="11"/>
  <c r="Q100" i="11" s="1"/>
  <c r="O100" i="11"/>
  <c r="L100" i="11"/>
  <c r="D100" i="11"/>
  <c r="D101" i="11" s="1"/>
  <c r="D102" i="11" s="1"/>
  <c r="D103" i="11" s="1"/>
  <c r="D104" i="11" s="1"/>
  <c r="T99" i="11"/>
  <c r="U98" i="11"/>
  <c r="T98" i="11"/>
  <c r="P98" i="11"/>
  <c r="O98" i="11"/>
  <c r="Q98" i="11" s="1"/>
  <c r="L98" i="11"/>
  <c r="Y97" i="11"/>
  <c r="U97" i="11"/>
  <c r="V97" i="11" s="1"/>
  <c r="T97" i="11"/>
  <c r="P97" i="11"/>
  <c r="O97" i="11"/>
  <c r="L97" i="11"/>
  <c r="D97" i="11"/>
  <c r="D98" i="11" s="1"/>
  <c r="T96" i="11"/>
  <c r="U95" i="11"/>
  <c r="V95" i="11" s="1"/>
  <c r="T95" i="11"/>
  <c r="P95" i="11"/>
  <c r="Q95" i="11" s="1"/>
  <c r="O95" i="11"/>
  <c r="L95" i="11"/>
  <c r="U94" i="11"/>
  <c r="V94" i="11" s="1"/>
  <c r="T94" i="11"/>
  <c r="P94" i="11"/>
  <c r="O94" i="11"/>
  <c r="L94" i="11"/>
  <c r="U93" i="11"/>
  <c r="R93" i="11"/>
  <c r="T93" i="11" s="1"/>
  <c r="P93" i="11"/>
  <c r="O93" i="11"/>
  <c r="Q93" i="11" s="1"/>
  <c r="L93" i="11"/>
  <c r="U92" i="11"/>
  <c r="T92" i="11"/>
  <c r="P92" i="11"/>
  <c r="O92" i="11"/>
  <c r="L92" i="11"/>
  <c r="D92" i="11"/>
  <c r="D93" i="11" s="1"/>
  <c r="D94" i="11" s="1"/>
  <c r="D95" i="11" s="1"/>
  <c r="T91" i="11"/>
  <c r="C91" i="11"/>
  <c r="C92" i="11" s="1"/>
  <c r="C93" i="11" s="1"/>
  <c r="C94" i="11" s="1"/>
  <c r="Y89" i="11"/>
  <c r="V89" i="11"/>
  <c r="T89" i="11"/>
  <c r="U88" i="11"/>
  <c r="T88" i="11"/>
  <c r="P88" i="11"/>
  <c r="O88" i="11"/>
  <c r="L88" i="11"/>
  <c r="U87" i="11"/>
  <c r="T87" i="11"/>
  <c r="P87" i="11"/>
  <c r="O87" i="11"/>
  <c r="L87" i="11"/>
  <c r="D87" i="11"/>
  <c r="D88" i="11" s="1"/>
  <c r="T86" i="11"/>
  <c r="U85" i="11"/>
  <c r="T85" i="11"/>
  <c r="P85" i="11"/>
  <c r="O85" i="11"/>
  <c r="L85" i="11"/>
  <c r="U84" i="11"/>
  <c r="V84" i="11" s="1"/>
  <c r="T84" i="11"/>
  <c r="P84" i="11"/>
  <c r="O84" i="11"/>
  <c r="L84" i="11"/>
  <c r="D84" i="11"/>
  <c r="D85" i="11" s="1"/>
  <c r="U83" i="11"/>
  <c r="T83" i="11"/>
  <c r="P83" i="11"/>
  <c r="O83" i="11"/>
  <c r="O82" i="11" s="1"/>
  <c r="L83" i="11"/>
  <c r="D83" i="11"/>
  <c r="T82" i="11"/>
  <c r="U81" i="11"/>
  <c r="T81" i="11"/>
  <c r="O81" i="11"/>
  <c r="L81" i="11"/>
  <c r="U80" i="11"/>
  <c r="V80" i="11" s="1"/>
  <c r="T80" i="11"/>
  <c r="O80" i="11"/>
  <c r="L80" i="11"/>
  <c r="U79" i="11"/>
  <c r="V79" i="11" s="1"/>
  <c r="T79" i="11"/>
  <c r="P79" i="11"/>
  <c r="Q79" i="11" s="1"/>
  <c r="O79" i="11"/>
  <c r="L79" i="11"/>
  <c r="U78" i="11"/>
  <c r="T78" i="11"/>
  <c r="P78" i="11"/>
  <c r="O78" i="11"/>
  <c r="Y78" i="11" s="1"/>
  <c r="L78" i="11"/>
  <c r="Y77" i="11"/>
  <c r="V77" i="11"/>
  <c r="T77" i="11"/>
  <c r="Y76" i="11"/>
  <c r="V76" i="11"/>
  <c r="T76" i="11"/>
  <c r="D76" i="11"/>
  <c r="D77" i="11" s="1"/>
  <c r="D78" i="11" s="1"/>
  <c r="D79" i="11" s="1"/>
  <c r="T75" i="11"/>
  <c r="U74" i="11"/>
  <c r="T74" i="11"/>
  <c r="P74" i="11"/>
  <c r="O74" i="11"/>
  <c r="L74" i="11"/>
  <c r="U73" i="11"/>
  <c r="T73" i="11"/>
  <c r="O73" i="11"/>
  <c r="O70" i="11" s="1"/>
  <c r="L73" i="11"/>
  <c r="V72" i="11"/>
  <c r="T72" i="11"/>
  <c r="V71" i="11"/>
  <c r="T71" i="11"/>
  <c r="D71" i="11"/>
  <c r="D72" i="11" s="1"/>
  <c r="D73" i="11" s="1"/>
  <c r="D74" i="11" s="1"/>
  <c r="T70" i="11"/>
  <c r="U69" i="11"/>
  <c r="T69" i="11"/>
  <c r="O69" i="11"/>
  <c r="L69" i="11"/>
  <c r="U68" i="11"/>
  <c r="P68" i="11"/>
  <c r="O68" i="11"/>
  <c r="L68" i="11"/>
  <c r="U67" i="11"/>
  <c r="V67" i="11" s="1"/>
  <c r="P67" i="11"/>
  <c r="Q67" i="11" s="1"/>
  <c r="O67" i="11"/>
  <c r="L67" i="11"/>
  <c r="U66" i="11"/>
  <c r="T66" i="11"/>
  <c r="P66" i="11"/>
  <c r="O66" i="11"/>
  <c r="L66" i="11"/>
  <c r="D66" i="11"/>
  <c r="D67" i="11" s="1"/>
  <c r="D68" i="11" s="1"/>
  <c r="T65" i="11"/>
  <c r="U64" i="11"/>
  <c r="T64" i="11"/>
  <c r="O64" i="11"/>
  <c r="L64" i="11"/>
  <c r="U63" i="11"/>
  <c r="V63" i="11" s="1"/>
  <c r="T63" i="11"/>
  <c r="P63" i="11"/>
  <c r="O63" i="11"/>
  <c r="L63" i="11"/>
  <c r="U62" i="11"/>
  <c r="T62" i="11"/>
  <c r="P62" i="11"/>
  <c r="O62" i="11"/>
  <c r="L62" i="11"/>
  <c r="Y61" i="11"/>
  <c r="V61" i="11"/>
  <c r="T61" i="11"/>
  <c r="P61" i="11"/>
  <c r="Q61" i="11" s="1"/>
  <c r="T60" i="11"/>
  <c r="V59" i="11"/>
  <c r="U59" i="11"/>
  <c r="T59" i="11"/>
  <c r="P59" i="11"/>
  <c r="O59" i="11"/>
  <c r="L59" i="11"/>
  <c r="U58" i="11"/>
  <c r="T58" i="11"/>
  <c r="P58" i="11"/>
  <c r="O58" i="11"/>
  <c r="L58" i="11"/>
  <c r="D58" i="11"/>
  <c r="D59" i="11" s="1"/>
  <c r="D60" i="11" s="1"/>
  <c r="D61" i="11" s="1"/>
  <c r="D62" i="11" s="1"/>
  <c r="D63" i="11" s="1"/>
  <c r="T57" i="11"/>
  <c r="U56" i="11"/>
  <c r="V56" i="11" s="1"/>
  <c r="T56" i="11"/>
  <c r="P56" i="11"/>
  <c r="Q56" i="11" s="1"/>
  <c r="O56" i="11"/>
  <c r="L56" i="11"/>
  <c r="U55" i="11"/>
  <c r="T55" i="11"/>
  <c r="P55" i="11"/>
  <c r="O55" i="11"/>
  <c r="L55" i="11"/>
  <c r="D55" i="11"/>
  <c r="D56" i="11" s="1"/>
  <c r="U54" i="11"/>
  <c r="T54" i="11"/>
  <c r="P54" i="11"/>
  <c r="O54" i="11"/>
  <c r="L54" i="11"/>
  <c r="T53" i="11"/>
  <c r="C53" i="11"/>
  <c r="C54" i="11" s="1"/>
  <c r="U52" i="11"/>
  <c r="T52" i="11"/>
  <c r="P52" i="11"/>
  <c r="O52" i="11"/>
  <c r="L52" i="11"/>
  <c r="T51" i="11"/>
  <c r="C51" i="11"/>
  <c r="C52" i="11" s="1"/>
  <c r="U50" i="11"/>
  <c r="T50" i="11"/>
  <c r="P50" i="11"/>
  <c r="O50" i="11"/>
  <c r="Q50" i="11" s="1"/>
  <c r="L50" i="11"/>
  <c r="U49" i="11"/>
  <c r="T49" i="11"/>
  <c r="P49" i="11"/>
  <c r="O49" i="11"/>
  <c r="L49" i="11"/>
  <c r="U48" i="11"/>
  <c r="T48" i="11"/>
  <c r="P48" i="11"/>
  <c r="O48" i="11"/>
  <c r="Q48" i="11" s="1"/>
  <c r="L48" i="11"/>
  <c r="C48" i="11"/>
  <c r="C49" i="11" s="1"/>
  <c r="C50" i="11" s="1"/>
  <c r="T47" i="11"/>
  <c r="B46" i="11"/>
  <c r="B47" i="11" s="1"/>
  <c r="Y45" i="11"/>
  <c r="V45" i="11"/>
  <c r="T45" i="11"/>
  <c r="T44" i="11"/>
  <c r="O44" i="11"/>
  <c r="Y44" i="11" s="1"/>
  <c r="T43" i="11"/>
  <c r="O43" i="11"/>
  <c r="V43" i="11" s="1"/>
  <c r="T42" i="11"/>
  <c r="O42" i="11"/>
  <c r="D42" i="11"/>
  <c r="D43" i="11" s="1"/>
  <c r="D44" i="11" s="1"/>
  <c r="Y41" i="11"/>
  <c r="V41" i="11"/>
  <c r="T41" i="11"/>
  <c r="U40" i="11"/>
  <c r="V40" i="11" s="1"/>
  <c r="T40" i="11"/>
  <c r="P40" i="11"/>
  <c r="O40" i="11"/>
  <c r="Q40" i="11" s="1"/>
  <c r="L40" i="11"/>
  <c r="U39" i="11"/>
  <c r="T39" i="11"/>
  <c r="P39" i="11"/>
  <c r="O39" i="11"/>
  <c r="V39" i="11" s="1"/>
  <c r="L39" i="11"/>
  <c r="D39" i="11"/>
  <c r="D40" i="11" s="1"/>
  <c r="U38" i="11"/>
  <c r="T38" i="11"/>
  <c r="P38" i="11"/>
  <c r="O38" i="11"/>
  <c r="L38" i="11"/>
  <c r="D38" i="11"/>
  <c r="T37" i="11"/>
  <c r="U36" i="11"/>
  <c r="T36" i="11"/>
  <c r="P36" i="11"/>
  <c r="O36" i="11"/>
  <c r="L36" i="11"/>
  <c r="U35" i="11"/>
  <c r="V35" i="11" s="1"/>
  <c r="T35" i="11"/>
  <c r="P35" i="11"/>
  <c r="O35" i="11"/>
  <c r="L35" i="11"/>
  <c r="T34" i="11"/>
  <c r="U33" i="11"/>
  <c r="V33" i="11" s="1"/>
  <c r="T33" i="11"/>
  <c r="P33" i="11"/>
  <c r="O33" i="11"/>
  <c r="Q33" i="11" s="1"/>
  <c r="L33" i="11"/>
  <c r="U32" i="11"/>
  <c r="T32" i="11"/>
  <c r="P32" i="11"/>
  <c r="O32" i="11"/>
  <c r="Q32" i="11" s="1"/>
  <c r="L32" i="11"/>
  <c r="U31" i="11"/>
  <c r="T31" i="11"/>
  <c r="P31" i="11"/>
  <c r="O31" i="11"/>
  <c r="L31" i="11"/>
  <c r="U30" i="11"/>
  <c r="V30" i="11" s="1"/>
  <c r="T30" i="11"/>
  <c r="P30" i="11"/>
  <c r="O30" i="11"/>
  <c r="L30" i="11"/>
  <c r="U29" i="11"/>
  <c r="T29" i="11"/>
  <c r="P29" i="11"/>
  <c r="O29" i="11"/>
  <c r="L29" i="11"/>
  <c r="U28" i="11"/>
  <c r="V28" i="11" s="1"/>
  <c r="T28" i="11"/>
  <c r="P28" i="11"/>
  <c r="O28" i="11"/>
  <c r="L28" i="11"/>
  <c r="U27" i="11"/>
  <c r="V27" i="11" s="1"/>
  <c r="T27" i="11"/>
  <c r="P27" i="11"/>
  <c r="Q27" i="11" s="1"/>
  <c r="O27" i="11"/>
  <c r="L27" i="11"/>
  <c r="U26" i="11"/>
  <c r="T26" i="11"/>
  <c r="P26" i="11"/>
  <c r="O26" i="11"/>
  <c r="L26" i="11"/>
  <c r="U25" i="11"/>
  <c r="V25" i="11" s="1"/>
  <c r="T25" i="11"/>
  <c r="P25" i="11"/>
  <c r="O25" i="11"/>
  <c r="Q25" i="11" s="1"/>
  <c r="L25" i="11"/>
  <c r="T24" i="11"/>
  <c r="U23" i="11"/>
  <c r="T23" i="11"/>
  <c r="O23" i="11"/>
  <c r="L23" i="11"/>
  <c r="T22" i="11"/>
  <c r="P22" i="11"/>
  <c r="O22" i="11"/>
  <c r="T21" i="11"/>
  <c r="P21" i="11"/>
  <c r="O21" i="11"/>
  <c r="J21" i="11"/>
  <c r="D21" i="11"/>
  <c r="D22" i="11" s="1"/>
  <c r="U20" i="11"/>
  <c r="V20" i="11" s="1"/>
  <c r="T20" i="11"/>
  <c r="P20" i="11"/>
  <c r="Q20" i="11" s="1"/>
  <c r="O20" i="11"/>
  <c r="L20" i="11"/>
  <c r="D20" i="11"/>
  <c r="T19" i="11"/>
  <c r="O19" i="11"/>
  <c r="C19" i="11"/>
  <c r="C20" i="11" s="1"/>
  <c r="T18" i="11"/>
  <c r="P18" i="11"/>
  <c r="O18" i="11"/>
  <c r="Y18" i="11" s="1"/>
  <c r="P17" i="11"/>
  <c r="O17" i="11"/>
  <c r="D17" i="11"/>
  <c r="D18" i="11" s="1"/>
  <c r="P16" i="11"/>
  <c r="Q16" i="11" s="1"/>
  <c r="O16" i="11"/>
  <c r="J16" i="11"/>
  <c r="U15" i="11"/>
  <c r="T15" i="11"/>
  <c r="P15" i="11"/>
  <c r="O15" i="11"/>
  <c r="L15" i="11"/>
  <c r="T14" i="11"/>
  <c r="B14" i="11"/>
  <c r="B15" i="11" s="1"/>
  <c r="E15" i="11" s="1"/>
  <c r="W13" i="11"/>
  <c r="E13" i="11"/>
  <c r="HG11" i="11"/>
  <c r="HF11" i="11"/>
  <c r="HE11" i="11"/>
  <c r="HD11" i="11"/>
  <c r="HC11" i="11"/>
  <c r="HB11" i="11"/>
  <c r="HA11" i="11"/>
  <c r="GZ11" i="11"/>
  <c r="GY11" i="11"/>
  <c r="GX11" i="11"/>
  <c r="GW11" i="11"/>
  <c r="GV11" i="11"/>
  <c r="GU11" i="11"/>
  <c r="GT11" i="11"/>
  <c r="GS11" i="11"/>
  <c r="GR11" i="11"/>
  <c r="GQ11" i="11"/>
  <c r="GP11" i="11"/>
  <c r="GO11" i="11"/>
  <c r="GN11" i="11"/>
  <c r="GM11" i="11"/>
  <c r="GL11" i="11"/>
  <c r="GK11" i="11"/>
  <c r="GJ11" i="11"/>
  <c r="GI11" i="11"/>
  <c r="GH11" i="11"/>
  <c r="GG11" i="11"/>
  <c r="GF11" i="11"/>
  <c r="GE11" i="11"/>
  <c r="GD11" i="11"/>
  <c r="GC11" i="11"/>
  <c r="GB11" i="11"/>
  <c r="GA11" i="11"/>
  <c r="FZ11" i="11"/>
  <c r="FY11" i="11"/>
  <c r="FX11" i="11"/>
  <c r="FW11" i="11"/>
  <c r="FV11" i="11"/>
  <c r="FU11" i="11"/>
  <c r="FT11" i="11"/>
  <c r="FS11" i="11"/>
  <c r="FR11" i="11"/>
  <c r="FQ11" i="11"/>
  <c r="FP11" i="11"/>
  <c r="FO11" i="11"/>
  <c r="FN11" i="11"/>
  <c r="FM11" i="11"/>
  <c r="FL11" i="11"/>
  <c r="FK11" i="11"/>
  <c r="FJ11" i="11"/>
  <c r="FI11" i="11"/>
  <c r="FH11" i="11"/>
  <c r="FG11" i="11"/>
  <c r="FF11" i="11"/>
  <c r="FE11" i="11"/>
  <c r="FD11" i="11"/>
  <c r="FC11" i="11"/>
  <c r="FB11" i="11"/>
  <c r="FB12" i="11" s="1"/>
  <c r="FA11" i="11"/>
  <c r="FA12" i="11" s="1"/>
  <c r="EZ11" i="11"/>
  <c r="EZ12" i="11" s="1"/>
  <c r="EY11" i="11"/>
  <c r="EX11" i="11"/>
  <c r="EW11" i="11"/>
  <c r="EW12" i="11" s="1"/>
  <c r="EV11" i="11"/>
  <c r="EU11" i="11"/>
  <c r="EU12" i="11" s="1"/>
  <c r="ET11" i="11"/>
  <c r="ET12" i="11" s="1"/>
  <c r="ES11" i="11"/>
  <c r="ES12" i="11" s="1"/>
  <c r="ER11" i="11"/>
  <c r="ER12" i="11" s="1"/>
  <c r="EQ11" i="11"/>
  <c r="EQ12" i="11" s="1"/>
  <c r="EP11" i="11"/>
  <c r="EP12" i="11" s="1"/>
  <c r="EO11" i="11"/>
  <c r="EN11" i="11"/>
  <c r="EN12" i="11" s="1"/>
  <c r="EM11" i="11"/>
  <c r="EM12" i="11" s="1"/>
  <c r="EL11" i="11"/>
  <c r="EL12" i="11" s="1"/>
  <c r="EK11" i="11"/>
  <c r="EK12" i="11" s="1"/>
  <c r="EJ11" i="11"/>
  <c r="EJ12" i="11" s="1"/>
  <c r="EI11" i="11"/>
  <c r="EI12" i="11" s="1"/>
  <c r="EH11" i="11"/>
  <c r="EG11" i="11"/>
  <c r="EG12" i="11" s="1"/>
  <c r="EF11" i="11"/>
  <c r="EF12" i="11" s="1"/>
  <c r="EE11" i="11"/>
  <c r="EE12" i="11" s="1"/>
  <c r="ED11" i="11"/>
  <c r="ED12" i="11" s="1"/>
  <c r="EC11" i="11"/>
  <c r="EC12" i="11" s="1"/>
  <c r="EB11" i="11"/>
  <c r="EB12" i="11" s="1"/>
  <c r="EA11" i="11"/>
  <c r="DZ11" i="11"/>
  <c r="DZ12" i="11" s="1"/>
  <c r="DY11" i="11"/>
  <c r="DY12" i="11" s="1"/>
  <c r="DX11" i="11"/>
  <c r="DX12" i="11" s="1"/>
  <c r="DW11" i="11"/>
  <c r="DW12" i="11" s="1"/>
  <c r="DV11" i="11"/>
  <c r="DV12" i="11" s="1"/>
  <c r="DU11" i="11"/>
  <c r="DU12" i="11" s="1"/>
  <c r="DT11" i="11"/>
  <c r="DS11" i="11"/>
  <c r="DS12" i="11" s="1"/>
  <c r="DR11" i="11"/>
  <c r="DR12" i="11" s="1"/>
  <c r="DQ11" i="11"/>
  <c r="DQ12" i="11" s="1"/>
  <c r="DP11" i="11"/>
  <c r="DP12" i="11" s="1"/>
  <c r="DO11" i="11"/>
  <c r="DN11" i="11"/>
  <c r="DM11" i="11"/>
  <c r="DL11" i="11"/>
  <c r="DL12" i="11" s="1"/>
  <c r="DK11" i="11"/>
  <c r="DK12" i="11" s="1"/>
  <c r="DJ11" i="11"/>
  <c r="DI11" i="11"/>
  <c r="DH11" i="11"/>
  <c r="DG11" i="11"/>
  <c r="DG12" i="11" s="1"/>
  <c r="DF11" i="11"/>
  <c r="DE11" i="11"/>
  <c r="DD11" i="11"/>
  <c r="DD12" i="11" s="1"/>
  <c r="DC11" i="11"/>
  <c r="DC12" i="11" s="1"/>
  <c r="DB11" i="11"/>
  <c r="DA11" i="11"/>
  <c r="DA12" i="11" s="1"/>
  <c r="CZ11" i="11"/>
  <c r="CY11" i="11"/>
  <c r="CX11" i="11"/>
  <c r="CW11" i="11"/>
  <c r="CV11" i="11"/>
  <c r="CU11" i="11"/>
  <c r="CT11" i="11"/>
  <c r="CS11" i="11"/>
  <c r="CR11" i="11"/>
  <c r="CQ11" i="11"/>
  <c r="CQ12" i="11" s="1"/>
  <c r="CP11" i="11"/>
  <c r="CP12" i="11" s="1"/>
  <c r="CO11" i="11"/>
  <c r="CO12" i="11" s="1"/>
  <c r="CN11" i="11"/>
  <c r="CN12" i="11" s="1"/>
  <c r="CM11" i="11"/>
  <c r="CL11" i="11"/>
  <c r="CK11" i="11"/>
  <c r="CJ11" i="11"/>
  <c r="CJ12" i="11" s="1"/>
  <c r="CI11" i="11"/>
  <c r="CI12" i="11" s="1"/>
  <c r="CH11" i="11"/>
  <c r="CH12" i="11" s="1"/>
  <c r="CG11" i="11"/>
  <c r="CG12" i="11" s="1"/>
  <c r="CF11" i="11"/>
  <c r="CF12" i="11" s="1"/>
  <c r="CE11" i="11"/>
  <c r="CE12" i="11" s="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X10" i="11"/>
  <c r="W10" i="11"/>
  <c r="S10" i="11"/>
  <c r="AB9" i="11"/>
  <c r="AB7" i="11" s="1"/>
  <c r="AB8" i="11"/>
  <c r="AA8" i="11"/>
  <c r="AA7" i="11"/>
  <c r="Y163" i="5"/>
  <c r="Y162" i="5"/>
  <c r="Y157" i="5"/>
  <c r="Y156" i="5"/>
  <c r="Y128" i="5"/>
  <c r="Y127" i="5"/>
  <c r="Y124" i="5"/>
  <c r="Y120" i="5"/>
  <c r="Y114" i="5"/>
  <c r="Y113" i="5"/>
  <c r="Y112" i="5"/>
  <c r="Y106" i="5"/>
  <c r="Y88" i="5"/>
  <c r="Y76" i="5"/>
  <c r="Y75" i="5"/>
  <c r="Y60" i="5"/>
  <c r="Y44" i="5"/>
  <c r="Y40" i="5"/>
  <c r="W12" i="5"/>
  <c r="V162" i="5"/>
  <c r="V156" i="5"/>
  <c r="V128" i="5"/>
  <c r="V127" i="5"/>
  <c r="V124" i="5"/>
  <c r="V120" i="5"/>
  <c r="V106" i="5"/>
  <c r="V88" i="5"/>
  <c r="V76" i="5"/>
  <c r="V75" i="5"/>
  <c r="V71" i="5"/>
  <c r="V70" i="5"/>
  <c r="V60" i="5"/>
  <c r="V44" i="5"/>
  <c r="V40" i="5"/>
  <c r="Q68" i="11" l="1"/>
  <c r="R68" i="11"/>
  <c r="T68" i="11"/>
  <c r="P60" i="11"/>
  <c r="Q106" i="11"/>
  <c r="C23" i="1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21" i="11"/>
  <c r="C22" i="11" s="1"/>
  <c r="U82" i="11"/>
  <c r="V82" i="11" s="1"/>
  <c r="Q83" i="11"/>
  <c r="Q21" i="11"/>
  <c r="Q28" i="11"/>
  <c r="Q31" i="11"/>
  <c r="Q35" i="11"/>
  <c r="E46" i="11"/>
  <c r="V124" i="11"/>
  <c r="O140" i="11"/>
  <c r="Q18" i="11"/>
  <c r="Q159" i="11"/>
  <c r="V142" i="11"/>
  <c r="V156" i="11"/>
  <c r="Q84" i="11"/>
  <c r="Q36" i="11"/>
  <c r="Q74" i="11"/>
  <c r="Q108" i="11"/>
  <c r="Q111" i="11"/>
  <c r="Q118" i="11"/>
  <c r="V130" i="11"/>
  <c r="V138" i="11"/>
  <c r="U143" i="11"/>
  <c r="V143" i="11" s="1"/>
  <c r="V151" i="11"/>
  <c r="B16" i="11"/>
  <c r="B18" i="11" s="1"/>
  <c r="V50" i="11"/>
  <c r="V78" i="11"/>
  <c r="O155" i="11"/>
  <c r="U155" i="11" s="1"/>
  <c r="V155" i="11" s="1"/>
  <c r="Q39" i="11"/>
  <c r="Q143" i="11"/>
  <c r="V36" i="11"/>
  <c r="Q59" i="11"/>
  <c r="V69" i="11"/>
  <c r="O75" i="11"/>
  <c r="U75" i="11" s="1"/>
  <c r="V75" i="11" s="1"/>
  <c r="V93" i="11"/>
  <c r="Q131" i="11"/>
  <c r="Q135" i="11"/>
  <c r="Q165" i="11"/>
  <c r="V98" i="11"/>
  <c r="V26" i="11"/>
  <c r="V29" i="11"/>
  <c r="Y43" i="11"/>
  <c r="V118" i="11"/>
  <c r="V23" i="11"/>
  <c r="O96" i="11"/>
  <c r="U96" i="11" s="1"/>
  <c r="V96" i="11" s="1"/>
  <c r="E14" i="11"/>
  <c r="V68" i="11"/>
  <c r="V74" i="11"/>
  <c r="V122" i="11"/>
  <c r="Q30" i="11"/>
  <c r="V44" i="11"/>
  <c r="Q63" i="11"/>
  <c r="R17" i="11"/>
  <c r="T17" i="11" s="1"/>
  <c r="Q17" i="11"/>
  <c r="V15" i="11"/>
  <c r="Q15" i="11"/>
  <c r="O14" i="11"/>
  <c r="Y52" i="11"/>
  <c r="Q52" i="11"/>
  <c r="O51" i="11"/>
  <c r="V51" i="11" s="1"/>
  <c r="Q66" i="11"/>
  <c r="O65" i="11"/>
  <c r="U112" i="11"/>
  <c r="V112" i="11" s="1"/>
  <c r="Y88" i="11"/>
  <c r="Q88" i="11"/>
  <c r="V88" i="11"/>
  <c r="Q55" i="11"/>
  <c r="V52" i="11"/>
  <c r="C55" i="11"/>
  <c r="C56" i="11" s="1"/>
  <c r="C57" i="1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L16" i="11"/>
  <c r="U16" i="11"/>
  <c r="V16" i="11" s="1"/>
  <c r="J18" i="11"/>
  <c r="J17" i="11"/>
  <c r="V48" i="11"/>
  <c r="O47" i="11"/>
  <c r="O53" i="11"/>
  <c r="V55" i="11"/>
  <c r="L21" i="11"/>
  <c r="J22" i="11"/>
  <c r="U21" i="11"/>
  <c r="V21" i="11" s="1"/>
  <c r="V134" i="11"/>
  <c r="Q54" i="11"/>
  <c r="U53" i="11"/>
  <c r="V53" i="11" s="1"/>
  <c r="V54" i="11"/>
  <c r="Q94" i="11"/>
  <c r="O91" i="11"/>
  <c r="U91" i="11" s="1"/>
  <c r="V91" i="11" s="1"/>
  <c r="Q134" i="11"/>
  <c r="U70" i="11"/>
  <c r="V70" i="11" s="1"/>
  <c r="Y19" i="11"/>
  <c r="V73" i="11"/>
  <c r="AC9" i="11"/>
  <c r="Q49" i="11"/>
  <c r="O120" i="11"/>
  <c r="O24" i="11"/>
  <c r="U24" i="11" s="1"/>
  <c r="V24" i="11" s="1"/>
  <c r="Q26" i="11"/>
  <c r="V32" i="11"/>
  <c r="Y42" i="11"/>
  <c r="V42" i="11"/>
  <c r="V81" i="11"/>
  <c r="E47" i="11"/>
  <c r="B48" i="11"/>
  <c r="Q62" i="11"/>
  <c r="O60" i="11"/>
  <c r="O57" i="11" s="1"/>
  <c r="Q122" i="11"/>
  <c r="V31" i="11"/>
  <c r="U34" i="11"/>
  <c r="V34" i="11" s="1"/>
  <c r="Q58" i="11"/>
  <c r="C95" i="11"/>
  <c r="C96" i="11"/>
  <c r="C97" i="11" s="1"/>
  <c r="O132" i="11"/>
  <c r="Q133" i="11"/>
  <c r="Q38" i="11"/>
  <c r="O37" i="11"/>
  <c r="T90" i="11"/>
  <c r="Q117" i="11"/>
  <c r="T126" i="11"/>
  <c r="O160" i="11"/>
  <c r="U160" i="11" s="1"/>
  <c r="V160" i="11" s="1"/>
  <c r="Q161" i="11"/>
  <c r="V161" i="11"/>
  <c r="U140" i="11"/>
  <c r="V140" i="11" s="1"/>
  <c r="T46" i="11"/>
  <c r="V66" i="11"/>
  <c r="Y130" i="11"/>
  <c r="O127" i="11"/>
  <c r="U153" i="11"/>
  <c r="V153" i="11" s="1"/>
  <c r="V154" i="11"/>
  <c r="V38" i="11"/>
  <c r="V49" i="11"/>
  <c r="V58" i="11"/>
  <c r="V62" i="11"/>
  <c r="V64" i="11"/>
  <c r="Q130" i="11"/>
  <c r="U133" i="11"/>
  <c r="V133" i="11" s="1"/>
  <c r="L133" i="11"/>
  <c r="O144" i="11"/>
  <c r="Q145" i="11"/>
  <c r="U144" i="11"/>
  <c r="V144" i="11" s="1"/>
  <c r="V165" i="11"/>
  <c r="Q101" i="11"/>
  <c r="O99" i="11"/>
  <c r="Q29" i="11"/>
  <c r="O34" i="11"/>
  <c r="Q78" i="11"/>
  <c r="V83" i="11"/>
  <c r="Q22" i="11"/>
  <c r="Y22" i="11"/>
  <c r="V85" i="11"/>
  <c r="Q85" i="11"/>
  <c r="V137" i="11"/>
  <c r="O86" i="11"/>
  <c r="V117" i="11"/>
  <c r="O136" i="11"/>
  <c r="Q137" i="11"/>
  <c r="V148" i="11"/>
  <c r="O147" i="11"/>
  <c r="Q148" i="11"/>
  <c r="O149" i="11"/>
  <c r="Q87" i="11"/>
  <c r="Q92" i="11"/>
  <c r="V103" i="11"/>
  <c r="Q162" i="11"/>
  <c r="T13" i="11"/>
  <c r="U105" i="11"/>
  <c r="V105" i="11" s="1"/>
  <c r="V110" i="11"/>
  <c r="Q110" i="11"/>
  <c r="V123" i="11"/>
  <c r="V135" i="11"/>
  <c r="Q146" i="11"/>
  <c r="Q150" i="11"/>
  <c r="V87" i="11"/>
  <c r="V162" i="11"/>
  <c r="V92" i="11"/>
  <c r="Q97" i="11"/>
  <c r="V146" i="11"/>
  <c r="V150" i="11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6" i="8"/>
  <c r="HG11" i="5"/>
  <c r="GZ11" i="5"/>
  <c r="GS11" i="5"/>
  <c r="GL11" i="5"/>
  <c r="GE11" i="5"/>
  <c r="AG11" i="5"/>
  <c r="AN11" i="5"/>
  <c r="AU11" i="5"/>
  <c r="BB11" i="5"/>
  <c r="CD11" i="5"/>
  <c r="CK11" i="5"/>
  <c r="CR11" i="5"/>
  <c r="DF11" i="5"/>
  <c r="CY11" i="5"/>
  <c r="DM11" i="5"/>
  <c r="DT11" i="5"/>
  <c r="EA11" i="5"/>
  <c r="EH11" i="5"/>
  <c r="EV11" i="5"/>
  <c r="EO11" i="5"/>
  <c r="FC11" i="5"/>
  <c r="FJ11" i="5"/>
  <c r="FQ11" i="5"/>
  <c r="S10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1" i="5"/>
  <c r="T90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X10" i="5"/>
  <c r="W10" i="5"/>
  <c r="P47" i="5"/>
  <c r="O47" i="5"/>
  <c r="U112" i="5"/>
  <c r="V112" i="5" s="1"/>
  <c r="U113" i="5"/>
  <c r="V113" i="5" s="1"/>
  <c r="U114" i="5"/>
  <c r="V114" i="5" s="1"/>
  <c r="U80" i="5"/>
  <c r="U79" i="5"/>
  <c r="U68" i="5"/>
  <c r="U63" i="5"/>
  <c r="V63" i="5" s="1"/>
  <c r="HF11" i="5"/>
  <c r="HE11" i="5"/>
  <c r="HD11" i="5"/>
  <c r="HC11" i="5"/>
  <c r="GA11" i="5"/>
  <c r="GB11" i="5"/>
  <c r="GC11" i="5"/>
  <c r="GD11" i="5"/>
  <c r="GF11" i="5"/>
  <c r="GG11" i="5"/>
  <c r="GH11" i="5"/>
  <c r="GI11" i="5"/>
  <c r="GJ11" i="5"/>
  <c r="GK11" i="5"/>
  <c r="GM11" i="5"/>
  <c r="GN11" i="5"/>
  <c r="GO11" i="5"/>
  <c r="GP11" i="5"/>
  <c r="GQ11" i="5"/>
  <c r="GR11" i="5"/>
  <c r="GT11" i="5"/>
  <c r="GU11" i="5"/>
  <c r="GV11" i="5"/>
  <c r="GW11" i="5"/>
  <c r="GX11" i="5"/>
  <c r="GY11" i="5"/>
  <c r="HA11" i="5"/>
  <c r="HB11" i="5"/>
  <c r="P115" i="5"/>
  <c r="P116" i="5"/>
  <c r="P117" i="5"/>
  <c r="R92" i="5"/>
  <c r="T92" i="5" s="1"/>
  <c r="R67" i="5"/>
  <c r="T67" i="5" s="1"/>
  <c r="P164" i="5"/>
  <c r="P163" i="5"/>
  <c r="Q163" i="5" s="1"/>
  <c r="P161" i="5"/>
  <c r="P160" i="5"/>
  <c r="P158" i="5"/>
  <c r="P155" i="5"/>
  <c r="P153" i="5"/>
  <c r="P151" i="5"/>
  <c r="P150" i="5"/>
  <c r="P149" i="5"/>
  <c r="P147" i="5"/>
  <c r="P145" i="5"/>
  <c r="P144" i="5"/>
  <c r="P142" i="5"/>
  <c r="P141" i="5"/>
  <c r="P140" i="5"/>
  <c r="P138" i="5"/>
  <c r="P137" i="5"/>
  <c r="P136" i="5"/>
  <c r="P134" i="5"/>
  <c r="P133" i="5"/>
  <c r="P132" i="5"/>
  <c r="P130" i="5"/>
  <c r="P129" i="5"/>
  <c r="P123" i="5"/>
  <c r="P122" i="5"/>
  <c r="P121" i="5"/>
  <c r="P118" i="5"/>
  <c r="T173" i="5"/>
  <c r="U94" i="5"/>
  <c r="O94" i="5"/>
  <c r="L94" i="5"/>
  <c r="U55" i="5"/>
  <c r="O55" i="5"/>
  <c r="L55" i="5"/>
  <c r="L39" i="5"/>
  <c r="L38" i="5"/>
  <c r="L37" i="5"/>
  <c r="D86" i="5"/>
  <c r="D87" i="5" s="1"/>
  <c r="FX11" i="5"/>
  <c r="FW11" i="5"/>
  <c r="FV11" i="5"/>
  <c r="FU11" i="5"/>
  <c r="FT11" i="5"/>
  <c r="FS11" i="5"/>
  <c r="FR11" i="5"/>
  <c r="FP11" i="5"/>
  <c r="FO11" i="5"/>
  <c r="FN11" i="5"/>
  <c r="FM11" i="5"/>
  <c r="FL11" i="5"/>
  <c r="FK11" i="5"/>
  <c r="FI11" i="5"/>
  <c r="FH11" i="5"/>
  <c r="FG11" i="5"/>
  <c r="FF11" i="5"/>
  <c r="FE11" i="5"/>
  <c r="FD11" i="5"/>
  <c r="FB11" i="5"/>
  <c r="FA11" i="5"/>
  <c r="EZ11" i="5"/>
  <c r="EY11" i="5"/>
  <c r="EX11" i="5"/>
  <c r="EW11" i="5"/>
  <c r="EU11" i="5"/>
  <c r="ET11" i="5"/>
  <c r="ES11" i="5"/>
  <c r="ER11" i="5"/>
  <c r="EQ11" i="5"/>
  <c r="EP11" i="5"/>
  <c r="EN11" i="5"/>
  <c r="EM11" i="5"/>
  <c r="T172" i="5"/>
  <c r="T171" i="5"/>
  <c r="T170" i="5"/>
  <c r="T169" i="5"/>
  <c r="T168" i="5"/>
  <c r="T167" i="5"/>
  <c r="T166" i="5"/>
  <c r="T165" i="5"/>
  <c r="T13" i="5"/>
  <c r="O103" i="5"/>
  <c r="O102" i="5"/>
  <c r="O101" i="5"/>
  <c r="O100" i="5"/>
  <c r="O99" i="5"/>
  <c r="O84" i="5"/>
  <c r="O82" i="5"/>
  <c r="O80" i="5"/>
  <c r="O79" i="5"/>
  <c r="L80" i="5"/>
  <c r="L79" i="5"/>
  <c r="O68" i="5"/>
  <c r="O63" i="5"/>
  <c r="O164" i="5"/>
  <c r="O161" i="5"/>
  <c r="O160" i="5"/>
  <c r="O158" i="5"/>
  <c r="O155" i="5"/>
  <c r="O153" i="5"/>
  <c r="O152" i="5" s="1"/>
  <c r="O151" i="5"/>
  <c r="O150" i="5"/>
  <c r="O149" i="5"/>
  <c r="O147" i="5"/>
  <c r="O146" i="5" s="1"/>
  <c r="O145" i="5"/>
  <c r="O144" i="5"/>
  <c r="O142" i="5"/>
  <c r="O141" i="5"/>
  <c r="O140" i="5"/>
  <c r="O138" i="5"/>
  <c r="O137" i="5"/>
  <c r="O136" i="5"/>
  <c r="O134" i="5"/>
  <c r="O133" i="5"/>
  <c r="O132" i="5"/>
  <c r="O130" i="5"/>
  <c r="O129" i="5"/>
  <c r="Y129" i="5" s="1"/>
  <c r="O123" i="5"/>
  <c r="O122" i="5"/>
  <c r="O121" i="5"/>
  <c r="O118" i="5"/>
  <c r="O117" i="5"/>
  <c r="O116" i="5"/>
  <c r="O115" i="5"/>
  <c r="O87" i="5"/>
  <c r="Y87" i="5" s="1"/>
  <c r="O86" i="5"/>
  <c r="O110" i="5"/>
  <c r="O109" i="5"/>
  <c r="O108" i="5"/>
  <c r="O107" i="5"/>
  <c r="O105" i="5"/>
  <c r="O93" i="5"/>
  <c r="O92" i="5"/>
  <c r="O91" i="5"/>
  <c r="B17" i="11" l="1"/>
  <c r="E17" i="11" s="1"/>
  <c r="E16" i="11"/>
  <c r="U132" i="11"/>
  <c r="V132" i="11" s="1"/>
  <c r="O46" i="11"/>
  <c r="U47" i="11"/>
  <c r="V47" i="11" s="1"/>
  <c r="C98" i="11"/>
  <c r="C99" i="1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O90" i="11"/>
  <c r="Y90" i="11" s="1"/>
  <c r="L17" i="11"/>
  <c r="U17" i="11"/>
  <c r="V17" i="11" s="1"/>
  <c r="U149" i="11"/>
  <c r="V149" i="11" s="1"/>
  <c r="U18" i="11"/>
  <c r="V18" i="11" s="1"/>
  <c r="L18" i="11"/>
  <c r="U65" i="11"/>
  <c r="V65" i="11" s="1"/>
  <c r="U99" i="11"/>
  <c r="V99" i="11" s="1"/>
  <c r="AD9" i="11"/>
  <c r="AC7" i="11"/>
  <c r="AC8" i="11"/>
  <c r="Y14" i="11"/>
  <c r="O13" i="11"/>
  <c r="U147" i="11"/>
  <c r="V147" i="11" s="1"/>
  <c r="U136" i="11"/>
  <c r="V136" i="11" s="1"/>
  <c r="Q60" i="11"/>
  <c r="U60" i="11"/>
  <c r="V60" i="11" s="1"/>
  <c r="U22" i="11"/>
  <c r="L22" i="11"/>
  <c r="U120" i="11"/>
  <c r="V120" i="11" s="1"/>
  <c r="U37" i="11"/>
  <c r="V37" i="11" s="1"/>
  <c r="U86" i="11"/>
  <c r="V86" i="11" s="1"/>
  <c r="U127" i="11"/>
  <c r="V127" i="11" s="1"/>
  <c r="O126" i="11"/>
  <c r="Y126" i="11" s="1"/>
  <c r="B49" i="11"/>
  <c r="E48" i="11"/>
  <c r="E18" i="11"/>
  <c r="B19" i="11"/>
  <c r="V68" i="5"/>
  <c r="V79" i="5"/>
  <c r="V80" i="5"/>
  <c r="V55" i="5"/>
  <c r="V94" i="5"/>
  <c r="T45" i="5"/>
  <c r="T125" i="5"/>
  <c r="T89" i="5"/>
  <c r="Q136" i="5"/>
  <c r="Q130" i="5"/>
  <c r="Q122" i="5"/>
  <c r="Q123" i="5"/>
  <c r="Q132" i="5"/>
  <c r="Q129" i="5"/>
  <c r="Q133" i="5"/>
  <c r="Q134" i="5"/>
  <c r="Q138" i="5"/>
  <c r="Q121" i="5"/>
  <c r="Q144" i="5"/>
  <c r="Q147" i="5"/>
  <c r="Q149" i="5"/>
  <c r="Q151" i="5"/>
  <c r="Q153" i="5"/>
  <c r="Q155" i="5"/>
  <c r="Q115" i="5"/>
  <c r="Q158" i="5"/>
  <c r="Q145" i="5"/>
  <c r="Q116" i="5"/>
  <c r="Q137" i="5"/>
  <c r="Q160" i="5"/>
  <c r="Q117" i="5"/>
  <c r="Q161" i="5"/>
  <c r="Q118" i="5"/>
  <c r="O90" i="5"/>
  <c r="Q140" i="5"/>
  <c r="Q164" i="5"/>
  <c r="Q142" i="5"/>
  <c r="Q150" i="5"/>
  <c r="Q141" i="5"/>
  <c r="O126" i="5"/>
  <c r="O111" i="5"/>
  <c r="O154" i="5"/>
  <c r="O139" i="5"/>
  <c r="O85" i="5"/>
  <c r="O119" i="5"/>
  <c r="O98" i="5"/>
  <c r="O135" i="5"/>
  <c r="O159" i="5"/>
  <c r="O131" i="5"/>
  <c r="O104" i="5"/>
  <c r="O148" i="5"/>
  <c r="O143" i="5"/>
  <c r="U57" i="11" l="1"/>
  <c r="V57" i="11" s="1"/>
  <c r="AA4" i="11"/>
  <c r="AE9" i="11"/>
  <c r="AD8" i="11"/>
  <c r="AD7" i="11"/>
  <c r="U90" i="11"/>
  <c r="V90" i="11" s="1"/>
  <c r="U14" i="11"/>
  <c r="V22" i="11"/>
  <c r="U19" i="11"/>
  <c r="V19" i="11" s="1"/>
  <c r="U46" i="11"/>
  <c r="V46" i="11" s="1"/>
  <c r="O11" i="11"/>
  <c r="E19" i="11"/>
  <c r="B20" i="11"/>
  <c r="E49" i="11"/>
  <c r="B50" i="11"/>
  <c r="U126" i="11"/>
  <c r="V126" i="11" s="1"/>
  <c r="P109" i="5"/>
  <c r="Q109" i="5" s="1"/>
  <c r="O125" i="5"/>
  <c r="Y125" i="5" s="1"/>
  <c r="E20" i="11" l="1"/>
  <c r="B21" i="11"/>
  <c r="B51" i="11"/>
  <c r="E50" i="11"/>
  <c r="V14" i="11"/>
  <c r="U13" i="11"/>
  <c r="AE8" i="11"/>
  <c r="AF9" i="11"/>
  <c r="AE7" i="11"/>
  <c r="P110" i="5"/>
  <c r="Q110" i="5" s="1"/>
  <c r="V13" i="11" l="1"/>
  <c r="U11" i="11"/>
  <c r="B22" i="11"/>
  <c r="E21" i="11"/>
  <c r="AG9" i="11"/>
  <c r="AF7" i="11"/>
  <c r="AF8" i="11"/>
  <c r="AA5" i="11"/>
  <c r="B52" i="11"/>
  <c r="E51" i="11"/>
  <c r="P107" i="5"/>
  <c r="Q107" i="5" s="1"/>
  <c r="P108" i="5"/>
  <c r="Q108" i="5" s="1"/>
  <c r="B53" i="11" l="1"/>
  <c r="E52" i="11"/>
  <c r="B23" i="11"/>
  <c r="E22" i="11"/>
  <c r="AH9" i="11"/>
  <c r="AG8" i="11"/>
  <c r="AG7" i="11"/>
  <c r="P105" i="5"/>
  <c r="Q105" i="5" s="1"/>
  <c r="P106" i="5"/>
  <c r="Q106" i="5" s="1"/>
  <c r="AI9" i="11" l="1"/>
  <c r="AH8" i="11"/>
  <c r="AH7" i="11"/>
  <c r="B24" i="11"/>
  <c r="E23" i="11"/>
  <c r="B54" i="11"/>
  <c r="E53" i="11"/>
  <c r="P103" i="5"/>
  <c r="Q103" i="5" s="1"/>
  <c r="P102" i="5"/>
  <c r="Q102" i="5" s="1"/>
  <c r="E24" i="11" l="1"/>
  <c r="B25" i="11"/>
  <c r="AJ9" i="11"/>
  <c r="AI8" i="11"/>
  <c r="AI7" i="11"/>
  <c r="B55" i="11"/>
  <c r="E54" i="11"/>
  <c r="P100" i="5"/>
  <c r="Q100" i="5" s="1"/>
  <c r="P101" i="5"/>
  <c r="Q101" i="5" s="1"/>
  <c r="B26" i="11" l="1"/>
  <c r="E25" i="11"/>
  <c r="AK9" i="11"/>
  <c r="AJ7" i="11"/>
  <c r="AJ8" i="11"/>
  <c r="B56" i="11"/>
  <c r="E56" i="11" s="1"/>
  <c r="B57" i="11"/>
  <c r="E55" i="11"/>
  <c r="P99" i="5"/>
  <c r="Q99" i="5" s="1"/>
  <c r="AK8" i="11" l="1"/>
  <c r="AL9" i="11"/>
  <c r="AK7" i="11"/>
  <c r="E57" i="11"/>
  <c r="B58" i="11"/>
  <c r="B27" i="11"/>
  <c r="E26" i="11"/>
  <c r="P96" i="5"/>
  <c r="P97" i="5"/>
  <c r="E27" i="11" l="1"/>
  <c r="B28" i="11"/>
  <c r="E58" i="11"/>
  <c r="B90" i="11"/>
  <c r="B59" i="11"/>
  <c r="AL8" i="11"/>
  <c r="AL7" i="11"/>
  <c r="AM9" i="11"/>
  <c r="P93" i="5"/>
  <c r="Q93" i="5" s="1"/>
  <c r="P94" i="5"/>
  <c r="Q94" i="5" s="1"/>
  <c r="AN9" i="11" l="1"/>
  <c r="AM8" i="11"/>
  <c r="AH4" i="11"/>
  <c r="AH5" i="11"/>
  <c r="AM7" i="11"/>
  <c r="E90" i="11"/>
  <c r="B91" i="11"/>
  <c r="B60" i="11"/>
  <c r="E59" i="11"/>
  <c r="B29" i="11"/>
  <c r="E28" i="11"/>
  <c r="P92" i="5"/>
  <c r="Q92" i="5" s="1"/>
  <c r="P91" i="5"/>
  <c r="Q91" i="5" s="1"/>
  <c r="E29" i="11" l="1"/>
  <c r="B30" i="11"/>
  <c r="B61" i="11"/>
  <c r="B62" i="11" s="1"/>
  <c r="B63" i="11" s="1"/>
  <c r="B64" i="11" s="1"/>
  <c r="E60" i="11"/>
  <c r="B92" i="11"/>
  <c r="E91" i="11"/>
  <c r="AN8" i="11"/>
  <c r="AN7" i="11"/>
  <c r="AO9" i="11"/>
  <c r="P87" i="5"/>
  <c r="Q87" i="5" s="1"/>
  <c r="AO7" i="11" l="1"/>
  <c r="AP9" i="11"/>
  <c r="AO8" i="11"/>
  <c r="E92" i="11"/>
  <c r="B93" i="11"/>
  <c r="B65" i="11"/>
  <c r="E64" i="11"/>
  <c r="B31" i="11"/>
  <c r="E30" i="11"/>
  <c r="P83" i="5"/>
  <c r="P86" i="5"/>
  <c r="Q86" i="5" s="1"/>
  <c r="B32" i="11" l="1"/>
  <c r="E31" i="11"/>
  <c r="E65" i="11"/>
  <c r="B66" i="11"/>
  <c r="E93" i="11"/>
  <c r="B94" i="11"/>
  <c r="AP7" i="11"/>
  <c r="AP8" i="11"/>
  <c r="AQ9" i="11"/>
  <c r="P84" i="5"/>
  <c r="Q84" i="5" s="1"/>
  <c r="AQ8" i="11" l="1"/>
  <c r="AQ7" i="11"/>
  <c r="AR9" i="11"/>
  <c r="E66" i="11"/>
  <c r="B67" i="11"/>
  <c r="B95" i="11"/>
  <c r="E95" i="11" s="1"/>
  <c r="B126" i="11"/>
  <c r="E94" i="11"/>
  <c r="B96" i="11"/>
  <c r="E32" i="11"/>
  <c r="B33" i="11"/>
  <c r="P82" i="5"/>
  <c r="Q82" i="5" s="1"/>
  <c r="E96" i="11" l="1"/>
  <c r="B97" i="11"/>
  <c r="E126" i="11"/>
  <c r="B127" i="11"/>
  <c r="B34" i="11"/>
  <c r="E33" i="11"/>
  <c r="AR7" i="11"/>
  <c r="AR8" i="11"/>
  <c r="AS9" i="11"/>
  <c r="B68" i="11"/>
  <c r="E67" i="11"/>
  <c r="P77" i="5"/>
  <c r="P78" i="5"/>
  <c r="FZ11" i="5"/>
  <c r="B69" i="11" l="1"/>
  <c r="E68" i="11"/>
  <c r="AS7" i="11"/>
  <c r="AT9" i="11"/>
  <c r="AS8" i="11"/>
  <c r="E34" i="11"/>
  <c r="B35" i="11"/>
  <c r="B128" i="11"/>
  <c r="E127" i="11"/>
  <c r="B99" i="11"/>
  <c r="E97" i="11"/>
  <c r="B98" i="11"/>
  <c r="E98" i="11" s="1"/>
  <c r="P73" i="5"/>
  <c r="B36" i="11" l="1"/>
  <c r="E35" i="11"/>
  <c r="B100" i="11"/>
  <c r="E99" i="11"/>
  <c r="B129" i="11"/>
  <c r="E128" i="11"/>
  <c r="AO5" i="11"/>
  <c r="AO4" i="11"/>
  <c r="AT7" i="11"/>
  <c r="AU9" i="11"/>
  <c r="AT8" i="11"/>
  <c r="B70" i="11"/>
  <c r="E69" i="11"/>
  <c r="P66" i="5"/>
  <c r="AV9" i="11" l="1"/>
  <c r="AU7" i="11"/>
  <c r="AU8" i="11"/>
  <c r="E70" i="11"/>
  <c r="B71" i="11"/>
  <c r="E129" i="11"/>
  <c r="B130" i="11"/>
  <c r="E100" i="11"/>
  <c r="B101" i="11"/>
  <c r="E36" i="11"/>
  <c r="B37" i="11"/>
  <c r="P67" i="5"/>
  <c r="E71" i="11" l="1"/>
  <c r="B72" i="11"/>
  <c r="E37" i="11"/>
  <c r="B38" i="11"/>
  <c r="B102" i="11"/>
  <c r="E101" i="11"/>
  <c r="B131" i="11"/>
  <c r="E130" i="11"/>
  <c r="AV8" i="11"/>
  <c r="AW9" i="11"/>
  <c r="AV7" i="11"/>
  <c r="P62" i="5"/>
  <c r="P65" i="5"/>
  <c r="AW7" i="11" l="1"/>
  <c r="AX9" i="11"/>
  <c r="AW8" i="11"/>
  <c r="E38" i="11"/>
  <c r="B39" i="11"/>
  <c r="B132" i="11"/>
  <c r="E131" i="11"/>
  <c r="B103" i="11"/>
  <c r="E102" i="11"/>
  <c r="E72" i="11"/>
  <c r="B73" i="11"/>
  <c r="P60" i="5"/>
  <c r="P61" i="5"/>
  <c r="E73" i="11" l="1"/>
  <c r="B74" i="11"/>
  <c r="E132" i="11"/>
  <c r="B133" i="11"/>
  <c r="B40" i="11"/>
  <c r="E39" i="11"/>
  <c r="AY9" i="11"/>
  <c r="AX8" i="11"/>
  <c r="AX7" i="11"/>
  <c r="E103" i="11"/>
  <c r="B104" i="11"/>
  <c r="Q60" i="5"/>
  <c r="P59" i="5"/>
  <c r="P58" i="5"/>
  <c r="E104" i="11" l="1"/>
  <c r="B105" i="11"/>
  <c r="AZ9" i="11"/>
  <c r="AY8" i="11"/>
  <c r="AY7" i="11"/>
  <c r="B41" i="11"/>
  <c r="E40" i="11"/>
  <c r="B134" i="11"/>
  <c r="E133" i="11"/>
  <c r="B75" i="11"/>
  <c r="E74" i="11"/>
  <c r="P57" i="5"/>
  <c r="P54" i="5"/>
  <c r="B42" i="11" l="1"/>
  <c r="E41" i="11"/>
  <c r="E105" i="11"/>
  <c r="B106" i="11"/>
  <c r="B76" i="11"/>
  <c r="E75" i="11"/>
  <c r="B135" i="11"/>
  <c r="E134" i="11"/>
  <c r="BA9" i="11"/>
  <c r="AZ7" i="11"/>
  <c r="AZ8" i="11"/>
  <c r="P55" i="5"/>
  <c r="Q55" i="5" s="1"/>
  <c r="BB9" i="11" l="1"/>
  <c r="BA8" i="11"/>
  <c r="BA7" i="11"/>
  <c r="AV5" i="11"/>
  <c r="AV4" i="11"/>
  <c r="E135" i="11"/>
  <c r="B136" i="11"/>
  <c r="B77" i="11"/>
  <c r="E76" i="11"/>
  <c r="B107" i="11"/>
  <c r="E106" i="11"/>
  <c r="E42" i="11"/>
  <c r="B43" i="11"/>
  <c r="P53" i="5"/>
  <c r="E43" i="11" l="1"/>
  <c r="B44" i="11"/>
  <c r="E44" i="11" s="1"/>
  <c r="E136" i="11"/>
  <c r="B137" i="11"/>
  <c r="E107" i="11"/>
  <c r="B108" i="11"/>
  <c r="B78" i="11"/>
  <c r="E77" i="11"/>
  <c r="BB8" i="11"/>
  <c r="BC9" i="11"/>
  <c r="BB7" i="11"/>
  <c r="P48" i="5"/>
  <c r="P51" i="5"/>
  <c r="BD9" i="11" l="1"/>
  <c r="BC8" i="11"/>
  <c r="BC7" i="11"/>
  <c r="B79" i="11"/>
  <c r="E78" i="11"/>
  <c r="B109" i="11"/>
  <c r="E108" i="11"/>
  <c r="E137" i="11"/>
  <c r="B138" i="11"/>
  <c r="P49" i="5"/>
  <c r="B110" i="11" l="1"/>
  <c r="E109" i="11"/>
  <c r="E79" i="11"/>
  <c r="B80" i="11"/>
  <c r="E138" i="11"/>
  <c r="B139" i="11"/>
  <c r="BE9" i="11"/>
  <c r="BD8" i="11"/>
  <c r="BD7" i="11"/>
  <c r="P38" i="5"/>
  <c r="BE8" i="11" l="1"/>
  <c r="BF9" i="11"/>
  <c r="BE7" i="11"/>
  <c r="B140" i="11"/>
  <c r="E139" i="11"/>
  <c r="E80" i="11"/>
  <c r="B81" i="11"/>
  <c r="B111" i="11"/>
  <c r="E110" i="11"/>
  <c r="P39" i="5"/>
  <c r="E111" i="11" l="1"/>
  <c r="B112" i="11"/>
  <c r="B141" i="11"/>
  <c r="E140" i="11"/>
  <c r="E81" i="11"/>
  <c r="B82" i="11"/>
  <c r="BG9" i="11"/>
  <c r="BF8" i="11"/>
  <c r="BF7" i="11"/>
  <c r="P34" i="5"/>
  <c r="P37" i="5"/>
  <c r="B83" i="11" l="1"/>
  <c r="E82" i="11"/>
  <c r="BG7" i="11"/>
  <c r="BG8" i="11"/>
  <c r="BH9" i="11"/>
  <c r="B142" i="11"/>
  <c r="E141" i="11"/>
  <c r="B113" i="11"/>
  <c r="E112" i="11"/>
  <c r="P35" i="5"/>
  <c r="BC4" i="11" l="1"/>
  <c r="BH8" i="11"/>
  <c r="BC5" i="11"/>
  <c r="BH7" i="11"/>
  <c r="BI9" i="11"/>
  <c r="E113" i="11"/>
  <c r="B114" i="11"/>
  <c r="B143" i="11"/>
  <c r="E142" i="11"/>
  <c r="B84" i="11"/>
  <c r="E83" i="11"/>
  <c r="P32" i="5"/>
  <c r="P31" i="5"/>
  <c r="B144" i="11" l="1"/>
  <c r="E143" i="11"/>
  <c r="E114" i="11"/>
  <c r="B115" i="11"/>
  <c r="BI8" i="11"/>
  <c r="BJ9" i="11"/>
  <c r="BI7" i="11"/>
  <c r="B85" i="11"/>
  <c r="E84" i="11"/>
  <c r="P30" i="5"/>
  <c r="P29" i="5"/>
  <c r="BJ7" i="11" l="1"/>
  <c r="BK9" i="11"/>
  <c r="BJ8" i="11"/>
  <c r="B86" i="11"/>
  <c r="E85" i="11"/>
  <c r="B116" i="11"/>
  <c r="E115" i="11"/>
  <c r="E144" i="11"/>
  <c r="B145" i="11"/>
  <c r="P27" i="5"/>
  <c r="P28" i="5"/>
  <c r="B87" i="11" l="1"/>
  <c r="E86" i="11"/>
  <c r="B117" i="11"/>
  <c r="E116" i="11"/>
  <c r="BK8" i="11"/>
  <c r="BK7" i="11"/>
  <c r="BL9" i="11"/>
  <c r="B146" i="11"/>
  <c r="E145" i="11"/>
  <c r="P26" i="5"/>
  <c r="P25" i="5"/>
  <c r="BL8" i="11" l="1"/>
  <c r="BM9" i="11"/>
  <c r="BL7" i="11"/>
  <c r="B147" i="11"/>
  <c r="E146" i="11"/>
  <c r="E117" i="11"/>
  <c r="B118" i="11"/>
  <c r="B88" i="11"/>
  <c r="E88" i="11" s="1"/>
  <c r="E87" i="11"/>
  <c r="P21" i="5"/>
  <c r="P24" i="5"/>
  <c r="B119" i="11" l="1"/>
  <c r="E118" i="11"/>
  <c r="E147" i="11"/>
  <c r="B148" i="11"/>
  <c r="BM8" i="11"/>
  <c r="BM7" i="11"/>
  <c r="BN9" i="11"/>
  <c r="P20" i="5"/>
  <c r="BN7" i="11" l="1"/>
  <c r="BO9" i="11"/>
  <c r="BN8" i="11"/>
  <c r="E148" i="11"/>
  <c r="B149" i="11"/>
  <c r="B120" i="11"/>
  <c r="E119" i="11"/>
  <c r="P16" i="5"/>
  <c r="P19" i="5"/>
  <c r="B150" i="11" l="1"/>
  <c r="E149" i="11"/>
  <c r="E120" i="11"/>
  <c r="B121" i="11"/>
  <c r="BJ4" i="11"/>
  <c r="BJ5" i="11"/>
  <c r="BO8" i="11"/>
  <c r="BO7" i="11"/>
  <c r="BP9" i="11"/>
  <c r="P17" i="5"/>
  <c r="BQ9" i="11" l="1"/>
  <c r="BP7" i="11"/>
  <c r="BP8" i="11"/>
  <c r="B122" i="11"/>
  <c r="E121" i="11"/>
  <c r="B151" i="11"/>
  <c r="E150" i="11"/>
  <c r="FY11" i="5"/>
  <c r="P15" i="5"/>
  <c r="P14" i="5"/>
  <c r="E151" i="11" l="1"/>
  <c r="B152" i="11"/>
  <c r="B123" i="11"/>
  <c r="E122" i="11"/>
  <c r="BQ7" i="11"/>
  <c r="BR9" i="11"/>
  <c r="BQ8" i="11"/>
  <c r="L54" i="5"/>
  <c r="U28" i="5"/>
  <c r="O28" i="5"/>
  <c r="L28" i="5"/>
  <c r="U31" i="5"/>
  <c r="O31" i="5"/>
  <c r="L31" i="5"/>
  <c r="J142" i="5"/>
  <c r="L142" i="5" s="1"/>
  <c r="J141" i="5"/>
  <c r="U141" i="5" s="1"/>
  <c r="V141" i="5" s="1"/>
  <c r="L140" i="5"/>
  <c r="D140" i="5"/>
  <c r="D141" i="5" s="1"/>
  <c r="D142" i="5" s="1"/>
  <c r="J136" i="5"/>
  <c r="L136" i="5" s="1"/>
  <c r="U138" i="5"/>
  <c r="V138" i="5" s="1"/>
  <c r="L138" i="5"/>
  <c r="U137" i="5"/>
  <c r="V137" i="5" s="1"/>
  <c r="L137" i="5"/>
  <c r="D136" i="5"/>
  <c r="D137" i="5" s="1"/>
  <c r="D138" i="5" s="1"/>
  <c r="J132" i="5"/>
  <c r="U132" i="5" s="1"/>
  <c r="V132" i="5" s="1"/>
  <c r="D132" i="5"/>
  <c r="D133" i="5" s="1"/>
  <c r="D134" i="5" s="1"/>
  <c r="U133" i="5"/>
  <c r="V133" i="5" s="1"/>
  <c r="L133" i="5"/>
  <c r="L53" i="5"/>
  <c r="U97" i="5"/>
  <c r="O97" i="5"/>
  <c r="L97" i="5"/>
  <c r="D99" i="5"/>
  <c r="D100" i="5" s="1"/>
  <c r="D101" i="5" s="1"/>
  <c r="D102" i="5" s="1"/>
  <c r="D103" i="5" s="1"/>
  <c r="D96" i="5"/>
  <c r="D97" i="5" s="1"/>
  <c r="U96" i="5"/>
  <c r="O96" i="5"/>
  <c r="L96" i="5"/>
  <c r="L32" i="5"/>
  <c r="U164" i="5"/>
  <c r="V164" i="5" s="1"/>
  <c r="U163" i="5"/>
  <c r="V163" i="5" s="1"/>
  <c r="U161" i="5"/>
  <c r="V161" i="5" s="1"/>
  <c r="U160" i="5"/>
  <c r="V160" i="5" s="1"/>
  <c r="U158" i="5"/>
  <c r="V158" i="5" s="1"/>
  <c r="U157" i="5"/>
  <c r="V157" i="5" s="1"/>
  <c r="U155" i="5"/>
  <c r="V155" i="5" s="1"/>
  <c r="U153" i="5"/>
  <c r="U151" i="5"/>
  <c r="V151" i="5" s="1"/>
  <c r="U150" i="5"/>
  <c r="V150" i="5" s="1"/>
  <c r="U149" i="5"/>
  <c r="U147" i="5"/>
  <c r="U145" i="5"/>
  <c r="V145" i="5" s="1"/>
  <c r="U144" i="5"/>
  <c r="V144" i="5" s="1"/>
  <c r="U134" i="5"/>
  <c r="V134" i="5" s="1"/>
  <c r="U130" i="5"/>
  <c r="V130" i="5" s="1"/>
  <c r="U129" i="5"/>
  <c r="L123" i="5"/>
  <c r="L122" i="5"/>
  <c r="L121" i="5"/>
  <c r="L118" i="5"/>
  <c r="L117" i="5"/>
  <c r="L116" i="5"/>
  <c r="L115" i="5"/>
  <c r="L114" i="5"/>
  <c r="L113" i="5"/>
  <c r="L112" i="5"/>
  <c r="L87" i="5"/>
  <c r="L86" i="5"/>
  <c r="L110" i="5"/>
  <c r="L109" i="5"/>
  <c r="L108" i="5"/>
  <c r="L107" i="5"/>
  <c r="L105" i="5"/>
  <c r="U123" i="5"/>
  <c r="V123" i="5" s="1"/>
  <c r="U122" i="5"/>
  <c r="V122" i="5" s="1"/>
  <c r="U121" i="5"/>
  <c r="V121" i="5" s="1"/>
  <c r="U118" i="5"/>
  <c r="V118" i="5" s="1"/>
  <c r="U117" i="5"/>
  <c r="V117" i="5" s="1"/>
  <c r="U116" i="5"/>
  <c r="V116" i="5" s="1"/>
  <c r="U115" i="5"/>
  <c r="U87" i="5"/>
  <c r="V87" i="5" s="1"/>
  <c r="U86" i="5"/>
  <c r="V86" i="5" s="1"/>
  <c r="U110" i="5"/>
  <c r="V110" i="5" s="1"/>
  <c r="U109" i="5"/>
  <c r="V109" i="5" s="1"/>
  <c r="U108" i="5"/>
  <c r="V108" i="5" s="1"/>
  <c r="U107" i="5"/>
  <c r="V107" i="5" s="1"/>
  <c r="U105" i="5"/>
  <c r="V105" i="5" s="1"/>
  <c r="U103" i="5"/>
  <c r="V103" i="5" s="1"/>
  <c r="U102" i="5"/>
  <c r="V102" i="5" s="1"/>
  <c r="U101" i="5"/>
  <c r="V101" i="5" s="1"/>
  <c r="U100" i="5"/>
  <c r="V100" i="5" s="1"/>
  <c r="U99" i="5"/>
  <c r="V99" i="5" s="1"/>
  <c r="U93" i="5"/>
  <c r="V93" i="5" s="1"/>
  <c r="U92" i="5"/>
  <c r="V92" i="5" s="1"/>
  <c r="U91" i="5"/>
  <c r="L84" i="5"/>
  <c r="L83" i="5"/>
  <c r="L82" i="5"/>
  <c r="U84" i="5"/>
  <c r="V84" i="5" s="1"/>
  <c r="U83" i="5"/>
  <c r="U82" i="5"/>
  <c r="V82" i="5" s="1"/>
  <c r="U78" i="5"/>
  <c r="U77" i="5"/>
  <c r="U73" i="5"/>
  <c r="U72" i="5"/>
  <c r="L68" i="5"/>
  <c r="U67" i="5"/>
  <c r="U66" i="5"/>
  <c r="U65" i="5"/>
  <c r="U62" i="5"/>
  <c r="U61" i="5"/>
  <c r="U58" i="5"/>
  <c r="U57" i="5"/>
  <c r="U54" i="5"/>
  <c r="U53" i="5"/>
  <c r="U51" i="5"/>
  <c r="U49" i="5"/>
  <c r="U48" i="5"/>
  <c r="U47" i="5"/>
  <c r="V47" i="5" s="1"/>
  <c r="U39" i="5"/>
  <c r="U38" i="5"/>
  <c r="U37" i="5"/>
  <c r="U35" i="5"/>
  <c r="U34" i="5"/>
  <c r="U32" i="5"/>
  <c r="U30" i="5"/>
  <c r="U29" i="5"/>
  <c r="U27" i="5"/>
  <c r="U26" i="5"/>
  <c r="U25" i="5"/>
  <c r="U24" i="5"/>
  <c r="U22" i="5"/>
  <c r="U19" i="5"/>
  <c r="U14" i="5"/>
  <c r="D166" i="5"/>
  <c r="D167" i="5" s="1"/>
  <c r="D168" i="5" s="1"/>
  <c r="D169" i="5" s="1"/>
  <c r="D170" i="5" s="1"/>
  <c r="D171" i="5" s="1"/>
  <c r="D172" i="5" s="1"/>
  <c r="D160" i="5"/>
  <c r="D161" i="5" s="1"/>
  <c r="D162" i="5" s="1"/>
  <c r="D163" i="5" s="1"/>
  <c r="D164" i="5" s="1"/>
  <c r="D155" i="5"/>
  <c r="D156" i="5" s="1"/>
  <c r="D157" i="5" s="1"/>
  <c r="D158" i="5" s="1"/>
  <c r="D153" i="5"/>
  <c r="D149" i="5"/>
  <c r="D150" i="5" s="1"/>
  <c r="D151" i="5" s="1"/>
  <c r="D147" i="5"/>
  <c r="D144" i="5"/>
  <c r="D145" i="5" s="1"/>
  <c r="D127" i="5"/>
  <c r="D128" i="5" s="1"/>
  <c r="D129" i="5" s="1"/>
  <c r="D130" i="5" s="1"/>
  <c r="C126" i="5"/>
  <c r="C127" i="5" s="1"/>
  <c r="C128" i="5" s="1"/>
  <c r="C129" i="5" s="1"/>
  <c r="C130" i="5" s="1"/>
  <c r="C131" i="5" s="1"/>
  <c r="C132" i="5" s="1"/>
  <c r="C133" i="5" s="1"/>
  <c r="C134" i="5" s="1"/>
  <c r="D120" i="5"/>
  <c r="D121" i="5" s="1"/>
  <c r="D122" i="5" s="1"/>
  <c r="D123" i="5" s="1"/>
  <c r="D112" i="5"/>
  <c r="D113" i="5" s="1"/>
  <c r="D114" i="5" s="1"/>
  <c r="D115" i="5" s="1"/>
  <c r="D116" i="5" s="1"/>
  <c r="D117" i="5" s="1"/>
  <c r="D118" i="5" s="1"/>
  <c r="D105" i="5"/>
  <c r="D106" i="5" s="1"/>
  <c r="D107" i="5" s="1"/>
  <c r="D108" i="5" s="1"/>
  <c r="D109" i="5" s="1"/>
  <c r="D110" i="5" s="1"/>
  <c r="D91" i="5"/>
  <c r="D92" i="5" s="1"/>
  <c r="D93" i="5" s="1"/>
  <c r="D94" i="5" s="1"/>
  <c r="C90" i="5"/>
  <c r="C91" i="5" s="1"/>
  <c r="C92" i="5" s="1"/>
  <c r="C93" i="5" s="1"/>
  <c r="D82" i="5"/>
  <c r="D83" i="5" s="1"/>
  <c r="D84" i="5" s="1"/>
  <c r="D75" i="5"/>
  <c r="D76" i="5" s="1"/>
  <c r="D77" i="5" s="1"/>
  <c r="D78" i="5" s="1"/>
  <c r="D70" i="5"/>
  <c r="D71" i="5" s="1"/>
  <c r="D72" i="5" s="1"/>
  <c r="D73" i="5" s="1"/>
  <c r="D65" i="5"/>
  <c r="D66" i="5" s="1"/>
  <c r="D67" i="5" s="1"/>
  <c r="D57" i="5"/>
  <c r="D58" i="5" s="1"/>
  <c r="D59" i="5" s="1"/>
  <c r="D60" i="5" s="1"/>
  <c r="D61" i="5" s="1"/>
  <c r="D62" i="5" s="1"/>
  <c r="L164" i="5"/>
  <c r="L163" i="5"/>
  <c r="L161" i="5"/>
  <c r="L160" i="5"/>
  <c r="L158" i="5"/>
  <c r="L157" i="5"/>
  <c r="L155" i="5"/>
  <c r="L153" i="5"/>
  <c r="L151" i="5"/>
  <c r="L150" i="5"/>
  <c r="L149" i="5"/>
  <c r="L147" i="5"/>
  <c r="L145" i="5"/>
  <c r="L144" i="5"/>
  <c r="L134" i="5"/>
  <c r="L130" i="5"/>
  <c r="L129" i="5"/>
  <c r="L103" i="5"/>
  <c r="L102" i="5"/>
  <c r="L101" i="5"/>
  <c r="L100" i="5"/>
  <c r="L99" i="5"/>
  <c r="L93" i="5"/>
  <c r="L92" i="5"/>
  <c r="L91" i="5"/>
  <c r="L78" i="5"/>
  <c r="L77" i="5"/>
  <c r="L73" i="5"/>
  <c r="L72" i="5"/>
  <c r="L67" i="5"/>
  <c r="L66" i="5"/>
  <c r="L65" i="5"/>
  <c r="L63" i="5"/>
  <c r="L62" i="5"/>
  <c r="L61" i="5"/>
  <c r="L58" i="5"/>
  <c r="L57" i="5"/>
  <c r="L51" i="5"/>
  <c r="L48" i="5"/>
  <c r="L49" i="5"/>
  <c r="L47" i="5"/>
  <c r="L30" i="5"/>
  <c r="L29" i="5"/>
  <c r="B124" i="11" l="1"/>
  <c r="E124" i="11" s="1"/>
  <c r="E123" i="11"/>
  <c r="B153" i="11"/>
  <c r="E152" i="11"/>
  <c r="BR7" i="11"/>
  <c r="BS9" i="11"/>
  <c r="BR8" i="11"/>
  <c r="Q96" i="5"/>
  <c r="Y96" i="5"/>
  <c r="U126" i="5"/>
  <c r="V126" i="5" s="1"/>
  <c r="V129" i="5"/>
  <c r="V96" i="5"/>
  <c r="V97" i="5"/>
  <c r="U148" i="5"/>
  <c r="V148" i="5" s="1"/>
  <c r="V149" i="5"/>
  <c r="U90" i="5"/>
  <c r="V90" i="5" s="1"/>
  <c r="V91" i="5"/>
  <c r="U152" i="5"/>
  <c r="V152" i="5" s="1"/>
  <c r="V153" i="5"/>
  <c r="U146" i="5"/>
  <c r="V146" i="5" s="1"/>
  <c r="V147" i="5"/>
  <c r="V31" i="5"/>
  <c r="U111" i="5"/>
  <c r="V111" i="5" s="1"/>
  <c r="V115" i="5"/>
  <c r="V28" i="5"/>
  <c r="U154" i="5"/>
  <c r="V154" i="5" s="1"/>
  <c r="U143" i="5"/>
  <c r="V143" i="5" s="1"/>
  <c r="U104" i="5"/>
  <c r="V104" i="5" s="1"/>
  <c r="Q97" i="5"/>
  <c r="Q31" i="5"/>
  <c r="Q28" i="5"/>
  <c r="U98" i="5"/>
  <c r="V98" i="5" s="1"/>
  <c r="U119" i="5"/>
  <c r="V119" i="5" s="1"/>
  <c r="U159" i="5"/>
  <c r="V159" i="5" s="1"/>
  <c r="U131" i="5"/>
  <c r="V131" i="5" s="1"/>
  <c r="U85" i="5"/>
  <c r="V85" i="5" s="1"/>
  <c r="O95" i="5"/>
  <c r="O89" i="5" s="1"/>
  <c r="Y89" i="5" s="1"/>
  <c r="C95" i="5"/>
  <c r="C96" i="5" s="1"/>
  <c r="C97" i="5" s="1"/>
  <c r="C94" i="5"/>
  <c r="U142" i="5"/>
  <c r="V142" i="5" s="1"/>
  <c r="L141" i="5"/>
  <c r="U140" i="5"/>
  <c r="V140" i="5" s="1"/>
  <c r="U136" i="5"/>
  <c r="L132" i="5"/>
  <c r="C135" i="5"/>
  <c r="BT9" i="11" l="1"/>
  <c r="BS8" i="11"/>
  <c r="BS7" i="11"/>
  <c r="B154" i="11"/>
  <c r="E153" i="11"/>
  <c r="U135" i="5"/>
  <c r="V135" i="5" s="1"/>
  <c r="V136" i="5"/>
  <c r="C98" i="5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U139" i="5"/>
  <c r="U95" i="5"/>
  <c r="V95" i="5" s="1"/>
  <c r="C136" i="5"/>
  <c r="C137" i="5" s="1"/>
  <c r="C138" i="5" s="1"/>
  <c r="C139" i="5" s="1"/>
  <c r="C140" i="5" s="1"/>
  <c r="C141" i="5" s="1"/>
  <c r="C142" i="5" s="1"/>
  <c r="C143" i="5" s="1"/>
  <c r="B155" i="11" l="1"/>
  <c r="E154" i="11"/>
  <c r="BT8" i="11"/>
  <c r="BU9" i="11"/>
  <c r="BT7" i="11"/>
  <c r="U125" i="5"/>
  <c r="V125" i="5" s="1"/>
  <c r="V139" i="5"/>
  <c r="U89" i="5"/>
  <c r="V89" i="5" s="1"/>
  <c r="C144" i="5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BV9" i="11" l="1"/>
  <c r="BU8" i="11"/>
  <c r="BU7" i="11"/>
  <c r="B156" i="11"/>
  <c r="E155" i="11"/>
  <c r="L27" i="5"/>
  <c r="L26" i="5"/>
  <c r="D16" i="5"/>
  <c r="D17" i="5" s="1"/>
  <c r="O16" i="5"/>
  <c r="O78" i="5"/>
  <c r="V78" i="5" s="1"/>
  <c r="O77" i="5"/>
  <c r="O73" i="5"/>
  <c r="V73" i="5" s="1"/>
  <c r="O72" i="5"/>
  <c r="V72" i="5" s="1"/>
  <c r="O67" i="5"/>
  <c r="V67" i="5" s="1"/>
  <c r="O66" i="5"/>
  <c r="V66" i="5" s="1"/>
  <c r="O65" i="5"/>
  <c r="V65" i="5" s="1"/>
  <c r="O62" i="5"/>
  <c r="V62" i="5" s="1"/>
  <c r="O61" i="5"/>
  <c r="V61" i="5" s="1"/>
  <c r="O58" i="5"/>
  <c r="V58" i="5" s="1"/>
  <c r="O57" i="5"/>
  <c r="V57" i="5" s="1"/>
  <c r="O54" i="5"/>
  <c r="V54" i="5" s="1"/>
  <c r="O53" i="5"/>
  <c r="V53" i="5" s="1"/>
  <c r="O51" i="5"/>
  <c r="O49" i="5"/>
  <c r="V49" i="5" s="1"/>
  <c r="O48" i="5"/>
  <c r="V48" i="5" s="1"/>
  <c r="L35" i="5"/>
  <c r="L34" i="5"/>
  <c r="O32" i="5"/>
  <c r="V32" i="5" s="1"/>
  <c r="O30" i="5"/>
  <c r="V30" i="5" s="1"/>
  <c r="O29" i="5"/>
  <c r="V29" i="5" s="1"/>
  <c r="O27" i="5"/>
  <c r="V27" i="5" s="1"/>
  <c r="O26" i="5"/>
  <c r="V26" i="5" s="1"/>
  <c r="O25" i="5"/>
  <c r="V25" i="5" s="1"/>
  <c r="O24" i="5"/>
  <c r="V24" i="5" s="1"/>
  <c r="O22" i="5"/>
  <c r="O21" i="5"/>
  <c r="O20" i="5"/>
  <c r="O19" i="5"/>
  <c r="V19" i="5" s="1"/>
  <c r="O17" i="5"/>
  <c r="O15" i="5"/>
  <c r="O43" i="5"/>
  <c r="O42" i="5"/>
  <c r="O41" i="5"/>
  <c r="D41" i="5"/>
  <c r="D42" i="5" s="1"/>
  <c r="D43" i="5" s="1"/>
  <c r="D54" i="5"/>
  <c r="D55" i="5" s="1"/>
  <c r="C47" i="5"/>
  <c r="C50" i="5"/>
  <c r="B45" i="5"/>
  <c r="E45" i="5" s="1"/>
  <c r="D37" i="5"/>
  <c r="D38" i="5" s="1"/>
  <c r="D39" i="5" s="1"/>
  <c r="B13" i="5"/>
  <c r="E13" i="5" s="1"/>
  <c r="C18" i="5"/>
  <c r="C19" i="5" s="1"/>
  <c r="D19" i="5"/>
  <c r="D20" i="5" s="1"/>
  <c r="D21" i="5" s="1"/>
  <c r="E12" i="5"/>
  <c r="L25" i="5"/>
  <c r="L24" i="5"/>
  <c r="L22" i="5"/>
  <c r="J20" i="5"/>
  <c r="L19" i="5"/>
  <c r="J15" i="5"/>
  <c r="L14" i="5"/>
  <c r="O39" i="5"/>
  <c r="V39" i="5" s="1"/>
  <c r="O38" i="5"/>
  <c r="V38" i="5" s="1"/>
  <c r="O37" i="5"/>
  <c r="O83" i="5"/>
  <c r="V83" i="5" s="1"/>
  <c r="O35" i="5"/>
  <c r="V35" i="5" s="1"/>
  <c r="O34" i="5"/>
  <c r="V34" i="5" s="1"/>
  <c r="O14" i="5"/>
  <c r="EL11" i="5"/>
  <c r="EK11" i="5"/>
  <c r="EJ11" i="5"/>
  <c r="EI11" i="5"/>
  <c r="EG11" i="5"/>
  <c r="EF11" i="5"/>
  <c r="EE11" i="5"/>
  <c r="ED11" i="5"/>
  <c r="EC11" i="5"/>
  <c r="EB11" i="5"/>
  <c r="DZ11" i="5"/>
  <c r="DY11" i="5"/>
  <c r="DX11" i="5"/>
  <c r="DW11" i="5"/>
  <c r="DV11" i="5"/>
  <c r="DU11" i="5"/>
  <c r="DS11" i="5"/>
  <c r="DR11" i="5"/>
  <c r="DQ11" i="5"/>
  <c r="DP11" i="5"/>
  <c r="DO11" i="5"/>
  <c r="DN11" i="5"/>
  <c r="DL11" i="5"/>
  <c r="DK11" i="5"/>
  <c r="DJ11" i="5"/>
  <c r="DI11" i="5"/>
  <c r="DH11" i="5"/>
  <c r="DG11" i="5"/>
  <c r="DE11" i="5"/>
  <c r="DD11" i="5"/>
  <c r="DC11" i="5"/>
  <c r="DB11" i="5"/>
  <c r="T176" i="5"/>
  <c r="T175" i="5"/>
  <c r="T174" i="5"/>
  <c r="AF11" i="5"/>
  <c r="AE11" i="5"/>
  <c r="AD11" i="5"/>
  <c r="AC11" i="5"/>
  <c r="AB11" i="5"/>
  <c r="AA11" i="5"/>
  <c r="CZ11" i="5"/>
  <c r="CX11" i="5"/>
  <c r="CW11" i="5"/>
  <c r="CV11" i="5"/>
  <c r="CU11" i="5"/>
  <c r="CT11" i="5"/>
  <c r="CS11" i="5"/>
  <c r="CQ11" i="5"/>
  <c r="CP11" i="5"/>
  <c r="CO11" i="5"/>
  <c r="CN11" i="5"/>
  <c r="CM11" i="5"/>
  <c r="CL11" i="5"/>
  <c r="CJ11" i="5"/>
  <c r="CI11" i="5"/>
  <c r="CH11" i="5"/>
  <c r="CG11" i="5"/>
  <c r="CF11" i="5"/>
  <c r="CE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A11" i="5"/>
  <c r="AZ11" i="5"/>
  <c r="AY11" i="5"/>
  <c r="AX11" i="5"/>
  <c r="AW11" i="5"/>
  <c r="AV11" i="5"/>
  <c r="AT11" i="5"/>
  <c r="AS11" i="5"/>
  <c r="AR11" i="5"/>
  <c r="AQ11" i="5"/>
  <c r="AP11" i="5"/>
  <c r="AO11" i="5"/>
  <c r="AM11" i="5"/>
  <c r="AL11" i="5"/>
  <c r="AK11" i="5"/>
  <c r="AJ11" i="5"/>
  <c r="AI11" i="5"/>
  <c r="AH11" i="5"/>
  <c r="B157" i="11" l="1"/>
  <c r="E156" i="11"/>
  <c r="BV8" i="11"/>
  <c r="BQ4" i="11"/>
  <c r="BW9" i="11"/>
  <c r="BQ5" i="11"/>
  <c r="BV7" i="11"/>
  <c r="Q21" i="5"/>
  <c r="Y21" i="5"/>
  <c r="V42" i="5"/>
  <c r="Y42" i="5"/>
  <c r="V43" i="5"/>
  <c r="Y43" i="5"/>
  <c r="V77" i="5"/>
  <c r="Y77" i="5"/>
  <c r="Q17" i="5"/>
  <c r="Y17" i="5"/>
  <c r="V51" i="5"/>
  <c r="Y51" i="5"/>
  <c r="V41" i="5"/>
  <c r="Y41" i="5"/>
  <c r="Q14" i="5"/>
  <c r="D9" i="10"/>
  <c r="V14" i="5"/>
  <c r="D10" i="10"/>
  <c r="V22" i="5"/>
  <c r="E10" i="10" s="1"/>
  <c r="F10" i="10" s="1"/>
  <c r="V37" i="5"/>
  <c r="D11" i="10"/>
  <c r="Q35" i="5"/>
  <c r="Q25" i="5"/>
  <c r="Q62" i="5"/>
  <c r="Q54" i="5"/>
  <c r="Q26" i="5"/>
  <c r="Q27" i="5"/>
  <c r="Q67" i="5"/>
  <c r="Q32" i="5"/>
  <c r="Q39" i="5"/>
  <c r="Q30" i="5"/>
  <c r="Q78" i="5"/>
  <c r="Q20" i="5"/>
  <c r="Q57" i="5"/>
  <c r="Q48" i="5"/>
  <c r="Q49" i="5"/>
  <c r="Q66" i="5"/>
  <c r="Q38" i="5"/>
  <c r="Q29" i="5"/>
  <c r="Q58" i="5"/>
  <c r="Q73" i="5"/>
  <c r="Q19" i="5"/>
  <c r="Q34" i="5"/>
  <c r="Q24" i="5"/>
  <c r="Q61" i="5"/>
  <c r="Q65" i="5"/>
  <c r="Q37" i="5"/>
  <c r="Q77" i="5"/>
  <c r="Q53" i="5"/>
  <c r="Q16" i="5"/>
  <c r="Q15" i="5"/>
  <c r="O81" i="5"/>
  <c r="Q83" i="5"/>
  <c r="O69" i="5"/>
  <c r="O46" i="5"/>
  <c r="Q47" i="5"/>
  <c r="O50" i="5"/>
  <c r="V50" i="5" s="1"/>
  <c r="Q51" i="5"/>
  <c r="O52" i="5"/>
  <c r="U52" i="5" s="1"/>
  <c r="V52" i="5" s="1"/>
  <c r="O64" i="5"/>
  <c r="O74" i="5"/>
  <c r="U74" i="5" s="1"/>
  <c r="V74" i="5" s="1"/>
  <c r="O59" i="5"/>
  <c r="O18" i="5"/>
  <c r="Y18" i="5" s="1"/>
  <c r="L15" i="5"/>
  <c r="U15" i="5"/>
  <c r="V15" i="5" s="1"/>
  <c r="C52" i="5"/>
  <c r="C53" i="5" s="1"/>
  <c r="L20" i="5"/>
  <c r="U20" i="5"/>
  <c r="V20" i="5" s="1"/>
  <c r="O23" i="5"/>
  <c r="O13" i="5"/>
  <c r="O33" i="5"/>
  <c r="O36" i="5"/>
  <c r="U36" i="5" s="1"/>
  <c r="V36" i="5" s="1"/>
  <c r="J16" i="5"/>
  <c r="B14" i="5"/>
  <c r="C51" i="5"/>
  <c r="C20" i="5"/>
  <c r="C21" i="5" s="1"/>
  <c r="C22" i="5"/>
  <c r="C23" i="5" s="1"/>
  <c r="C24" i="5" s="1"/>
  <c r="C25" i="5" s="1"/>
  <c r="C26" i="5" s="1"/>
  <c r="C27" i="5" s="1"/>
  <c r="C28" i="5" s="1"/>
  <c r="C29" i="5" s="1"/>
  <c r="C48" i="5"/>
  <c r="C49" i="5" s="1"/>
  <c r="B46" i="5"/>
  <c r="J17" i="5"/>
  <c r="J21" i="5"/>
  <c r="DA11" i="5"/>
  <c r="BW7" i="11" l="1"/>
  <c r="BX9" i="11"/>
  <c r="BW8" i="11"/>
  <c r="B158" i="11"/>
  <c r="E157" i="11"/>
  <c r="B15" i="5"/>
  <c r="E11" i="10"/>
  <c r="F11" i="10" s="1"/>
  <c r="O12" i="5"/>
  <c r="Y13" i="5"/>
  <c r="D12" i="10"/>
  <c r="U59" i="5"/>
  <c r="V59" i="5" s="1"/>
  <c r="U64" i="5"/>
  <c r="V64" i="5" s="1"/>
  <c r="U23" i="5"/>
  <c r="V23" i="5" s="1"/>
  <c r="U33" i="5"/>
  <c r="V33" i="5" s="1"/>
  <c r="U69" i="5"/>
  <c r="V69" i="5" s="1"/>
  <c r="U81" i="5"/>
  <c r="V81" i="5" s="1"/>
  <c r="U46" i="5"/>
  <c r="V46" i="5" s="1"/>
  <c r="O56" i="5"/>
  <c r="Q59" i="5"/>
  <c r="O45" i="5"/>
  <c r="C56" i="5"/>
  <c r="C57" i="5" s="1"/>
  <c r="C54" i="5"/>
  <c r="C55" i="5" s="1"/>
  <c r="L17" i="5"/>
  <c r="U17" i="5"/>
  <c r="V17" i="5" s="1"/>
  <c r="L16" i="5"/>
  <c r="U16" i="5"/>
  <c r="V16" i="5" s="1"/>
  <c r="L21" i="5"/>
  <c r="U21" i="5"/>
  <c r="E15" i="5"/>
  <c r="B16" i="5"/>
  <c r="E16" i="5" s="1"/>
  <c r="E14" i="5"/>
  <c r="B17" i="5"/>
  <c r="B18" i="5" s="1"/>
  <c r="C30" i="5"/>
  <c r="C31" i="5" s="1"/>
  <c r="C32" i="5" s="1"/>
  <c r="B47" i="5"/>
  <c r="E46" i="5"/>
  <c r="T180" i="5"/>
  <c r="T12" i="5"/>
  <c r="B159" i="11" l="1"/>
  <c r="E158" i="11"/>
  <c r="BX8" i="11"/>
  <c r="BX7" i="11"/>
  <c r="BY9" i="11"/>
  <c r="U18" i="5"/>
  <c r="V18" i="5" s="1"/>
  <c r="V21" i="5"/>
  <c r="E9" i="10" s="1"/>
  <c r="U13" i="5"/>
  <c r="V13" i="5" s="1"/>
  <c r="U56" i="5"/>
  <c r="V56" i="5" s="1"/>
  <c r="O11" i="5"/>
  <c r="C33" i="5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E17" i="5"/>
  <c r="C58" i="5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B48" i="5"/>
  <c r="E47" i="5"/>
  <c r="B19" i="5"/>
  <c r="E18" i="5"/>
  <c r="BZ9" i="11" l="1"/>
  <c r="BY8" i="11"/>
  <c r="BY7" i="11"/>
  <c r="B160" i="11"/>
  <c r="E159" i="11"/>
  <c r="U12" i="5"/>
  <c r="V12" i="5" s="1"/>
  <c r="F9" i="10"/>
  <c r="E12" i="10"/>
  <c r="F12" i="10" s="1"/>
  <c r="U45" i="5"/>
  <c r="V45" i="5" s="1"/>
  <c r="B49" i="5"/>
  <c r="E48" i="5"/>
  <c r="B20" i="5"/>
  <c r="E19" i="5"/>
  <c r="E160" i="11" l="1"/>
  <c r="B161" i="11"/>
  <c r="CA9" i="11"/>
  <c r="BZ7" i="11"/>
  <c r="BZ8" i="11"/>
  <c r="U11" i="5"/>
  <c r="E20" i="5"/>
  <c r="B21" i="5"/>
  <c r="E49" i="5"/>
  <c r="B50" i="5"/>
  <c r="CA7" i="11" l="1"/>
  <c r="CB9" i="11"/>
  <c r="CA8" i="11"/>
  <c r="B162" i="11"/>
  <c r="E161" i="11"/>
  <c r="B22" i="5"/>
  <c r="E21" i="5"/>
  <c r="E50" i="5"/>
  <c r="B51" i="5"/>
  <c r="B163" i="11" l="1"/>
  <c r="E162" i="11"/>
  <c r="CB8" i="11"/>
  <c r="CC9" i="11"/>
  <c r="CB7" i="11"/>
  <c r="B52" i="5"/>
  <c r="E52" i="5" s="1"/>
  <c r="E51" i="5"/>
  <c r="B23" i="5"/>
  <c r="E22" i="5"/>
  <c r="BX5" i="11" l="1"/>
  <c r="CC8" i="11"/>
  <c r="CC7" i="11"/>
  <c r="CD9" i="11"/>
  <c r="BX4" i="11"/>
  <c r="E163" i="11"/>
  <c r="B164" i="11"/>
  <c r="E23" i="5"/>
  <c r="B24" i="5"/>
  <c r="B53" i="5"/>
  <c r="B165" i="11" l="1"/>
  <c r="E164" i="11"/>
  <c r="CD8" i="11"/>
  <c r="CD7" i="11"/>
  <c r="CE9" i="11"/>
  <c r="B54" i="5"/>
  <c r="B55" i="5" s="1"/>
  <c r="E55" i="5" s="1"/>
  <c r="E53" i="5"/>
  <c r="B25" i="5"/>
  <c r="E24" i="5"/>
  <c r="CE8" i="11" l="1"/>
  <c r="CE7" i="11"/>
  <c r="CF9" i="11"/>
  <c r="B166" i="11"/>
  <c r="E165" i="11"/>
  <c r="B26" i="5"/>
  <c r="E25" i="5"/>
  <c r="B56" i="5"/>
  <c r="E54" i="5"/>
  <c r="B167" i="11" l="1"/>
  <c r="E166" i="11"/>
  <c r="CG9" i="11"/>
  <c r="CF7" i="11"/>
  <c r="CF8" i="11"/>
  <c r="E56" i="5"/>
  <c r="B57" i="5"/>
  <c r="E26" i="5"/>
  <c r="B27" i="5"/>
  <c r="CG8" i="11" l="1"/>
  <c r="CG7" i="11"/>
  <c r="CH9" i="11"/>
  <c r="B168" i="11"/>
  <c r="E167" i="11"/>
  <c r="B28" i="5"/>
  <c r="B58" i="5"/>
  <c r="B59" i="5" s="1"/>
  <c r="B89" i="5"/>
  <c r="E57" i="5"/>
  <c r="E27" i="5"/>
  <c r="E168" i="11" l="1"/>
  <c r="B169" i="11"/>
  <c r="CH8" i="11"/>
  <c r="CH7" i="11"/>
  <c r="CI9" i="11"/>
  <c r="B29" i="5"/>
  <c r="E28" i="5"/>
  <c r="B90" i="5"/>
  <c r="E89" i="5"/>
  <c r="E58" i="5"/>
  <c r="B30" i="5"/>
  <c r="B31" i="5" s="1"/>
  <c r="B32" i="5" s="1"/>
  <c r="E29" i="5"/>
  <c r="CI7" i="11" l="1"/>
  <c r="CJ9" i="11"/>
  <c r="CI8" i="11"/>
  <c r="B170" i="11"/>
  <c r="E169" i="11"/>
  <c r="E30" i="5"/>
  <c r="E31" i="5"/>
  <c r="B60" i="5"/>
  <c r="E59" i="5"/>
  <c r="B91" i="5"/>
  <c r="E90" i="5"/>
  <c r="E32" i="5"/>
  <c r="B33" i="5"/>
  <c r="B171" i="11" l="1"/>
  <c r="E170" i="11"/>
  <c r="CE5" i="11"/>
  <c r="CJ8" i="11"/>
  <c r="CJ7" i="11"/>
  <c r="CE4" i="11"/>
  <c r="CK9" i="11"/>
  <c r="B92" i="5"/>
  <c r="E91" i="5"/>
  <c r="B61" i="5"/>
  <c r="B34" i="5"/>
  <c r="E33" i="5"/>
  <c r="CL9" i="11" l="1"/>
  <c r="CK8" i="11"/>
  <c r="CK7" i="11"/>
  <c r="B172" i="11"/>
  <c r="E171" i="11"/>
  <c r="B62" i="5"/>
  <c r="B93" i="5"/>
  <c r="E92" i="5"/>
  <c r="B35" i="5"/>
  <c r="E34" i="5"/>
  <c r="B173" i="11" l="1"/>
  <c r="E172" i="11"/>
  <c r="CL8" i="11"/>
  <c r="CL7" i="11"/>
  <c r="CM9" i="11"/>
  <c r="B95" i="5"/>
  <c r="B96" i="5" s="1"/>
  <c r="B98" i="5" s="1"/>
  <c r="B99" i="5" s="1"/>
  <c r="B94" i="5"/>
  <c r="E94" i="5" s="1"/>
  <c r="B97" i="5"/>
  <c r="E97" i="5" s="1"/>
  <c r="B125" i="5"/>
  <c r="E93" i="5"/>
  <c r="B63" i="5"/>
  <c r="B36" i="5"/>
  <c r="E35" i="5"/>
  <c r="CM8" i="11" l="1"/>
  <c r="CM7" i="11"/>
  <c r="CN9" i="11"/>
  <c r="B174" i="11"/>
  <c r="E174" i="11" s="1"/>
  <c r="E173" i="11"/>
  <c r="E96" i="5"/>
  <c r="E95" i="5"/>
  <c r="B64" i="5"/>
  <c r="E63" i="5"/>
  <c r="B126" i="5"/>
  <c r="E125" i="5"/>
  <c r="E98" i="5"/>
  <c r="E36" i="5"/>
  <c r="B37" i="5"/>
  <c r="CO9" i="11" l="1"/>
  <c r="CN7" i="11"/>
  <c r="CN8" i="11"/>
  <c r="B100" i="5"/>
  <c r="E99" i="5"/>
  <c r="B127" i="5"/>
  <c r="E126" i="5"/>
  <c r="B65" i="5"/>
  <c r="E64" i="5"/>
  <c r="B38" i="5"/>
  <c r="E37" i="5"/>
  <c r="CP9" i="11" l="1"/>
  <c r="CO7" i="11"/>
  <c r="CO8" i="11"/>
  <c r="B66" i="5"/>
  <c r="E65" i="5"/>
  <c r="B128" i="5"/>
  <c r="E127" i="5"/>
  <c r="B101" i="5"/>
  <c r="E100" i="5"/>
  <c r="E38" i="5"/>
  <c r="B39" i="5"/>
  <c r="CP8" i="11" l="1"/>
  <c r="CQ9" i="11"/>
  <c r="CP7" i="11"/>
  <c r="B102" i="5"/>
  <c r="E101" i="5"/>
  <c r="B129" i="5"/>
  <c r="E128" i="5"/>
  <c r="B67" i="5"/>
  <c r="E66" i="5"/>
  <c r="E39" i="5"/>
  <c r="B40" i="5"/>
  <c r="CL5" i="11" l="1"/>
  <c r="CR9" i="11"/>
  <c r="CQ7" i="11"/>
  <c r="CL4" i="11"/>
  <c r="CQ8" i="11"/>
  <c r="B68" i="5"/>
  <c r="E67" i="5"/>
  <c r="B130" i="5"/>
  <c r="E129" i="5"/>
  <c r="B103" i="5"/>
  <c r="E102" i="5"/>
  <c r="B41" i="5"/>
  <c r="E40" i="5"/>
  <c r="CR8" i="11" l="1"/>
  <c r="CS9" i="11"/>
  <c r="CR7" i="11"/>
  <c r="B131" i="5"/>
  <c r="B132" i="5" s="1"/>
  <c r="B133" i="5" s="1"/>
  <c r="B134" i="5" s="1"/>
  <c r="E130" i="5"/>
  <c r="B104" i="5"/>
  <c r="E103" i="5"/>
  <c r="B69" i="5"/>
  <c r="E68" i="5"/>
  <c r="B42" i="5"/>
  <c r="E41" i="5"/>
  <c r="CT9" i="11" l="1"/>
  <c r="CS8" i="11"/>
  <c r="CS7" i="11"/>
  <c r="E133" i="5"/>
  <c r="E132" i="5"/>
  <c r="B70" i="5"/>
  <c r="E69" i="5"/>
  <c r="B105" i="5"/>
  <c r="E104" i="5"/>
  <c r="E131" i="5"/>
  <c r="B43" i="5"/>
  <c r="E42" i="5"/>
  <c r="CU9" i="11" l="1"/>
  <c r="CT8" i="11"/>
  <c r="CT7" i="11"/>
  <c r="E43" i="5"/>
  <c r="B135" i="5"/>
  <c r="B136" i="5" s="1"/>
  <c r="E134" i="5"/>
  <c r="B106" i="5"/>
  <c r="E105" i="5"/>
  <c r="B71" i="5"/>
  <c r="E70" i="5"/>
  <c r="CV9" i="11" l="1"/>
  <c r="CU8" i="11"/>
  <c r="CU7" i="11"/>
  <c r="E136" i="5"/>
  <c r="B137" i="5"/>
  <c r="B107" i="5"/>
  <c r="E106" i="5"/>
  <c r="B72" i="5"/>
  <c r="E71" i="5"/>
  <c r="E135" i="5"/>
  <c r="CW9" i="11" l="1"/>
  <c r="CV7" i="11"/>
  <c r="CV8" i="11"/>
  <c r="E137" i="5"/>
  <c r="B138" i="5"/>
  <c r="B73" i="5"/>
  <c r="E72" i="5"/>
  <c r="B108" i="5"/>
  <c r="E107" i="5"/>
  <c r="CX9" i="11" l="1"/>
  <c r="CW8" i="11"/>
  <c r="CW7" i="11"/>
  <c r="E138" i="5"/>
  <c r="B139" i="5"/>
  <c r="B140" i="5" s="1"/>
  <c r="B109" i="5"/>
  <c r="E108" i="5"/>
  <c r="B74" i="5"/>
  <c r="E73" i="5"/>
  <c r="CS5" i="11" l="1"/>
  <c r="CY9" i="11"/>
  <c r="CX8" i="11"/>
  <c r="CX7" i="11"/>
  <c r="CS4" i="11"/>
  <c r="E139" i="5"/>
  <c r="E140" i="5"/>
  <c r="B141" i="5"/>
  <c r="B75" i="5"/>
  <c r="E74" i="5"/>
  <c r="B110" i="5"/>
  <c r="B111" i="5" s="1"/>
  <c r="E109" i="5"/>
  <c r="CZ9" i="11" l="1"/>
  <c r="CY8" i="11"/>
  <c r="CY7" i="11"/>
  <c r="E141" i="5"/>
  <c r="B142" i="5"/>
  <c r="E110" i="5"/>
  <c r="B76" i="5"/>
  <c r="E75" i="5"/>
  <c r="CZ8" i="11" l="1"/>
  <c r="CZ7" i="11"/>
  <c r="DA9" i="11"/>
  <c r="E142" i="5"/>
  <c r="B143" i="5"/>
  <c r="B77" i="5"/>
  <c r="E76" i="5"/>
  <c r="B144" i="5"/>
  <c r="E143" i="5"/>
  <c r="DA7" i="11" l="1"/>
  <c r="DA8" i="11"/>
  <c r="DB9" i="11"/>
  <c r="B145" i="5"/>
  <c r="E145" i="5" s="1"/>
  <c r="E144" i="5"/>
  <c r="B78" i="5"/>
  <c r="E77" i="5"/>
  <c r="DB8" i="11" l="1"/>
  <c r="DB7" i="11"/>
  <c r="DC9" i="11"/>
  <c r="B79" i="5"/>
  <c r="E78" i="5"/>
  <c r="B146" i="5"/>
  <c r="DD9" i="11" l="1"/>
  <c r="DC8" i="11"/>
  <c r="DC7" i="11"/>
  <c r="B147" i="5"/>
  <c r="E146" i="5"/>
  <c r="B112" i="5"/>
  <c r="E111" i="5"/>
  <c r="B80" i="5"/>
  <c r="E79" i="5"/>
  <c r="DD8" i="11" l="1"/>
  <c r="DE9" i="11"/>
  <c r="DD7" i="11"/>
  <c r="B81" i="5"/>
  <c r="E80" i="5"/>
  <c r="B113" i="5"/>
  <c r="E112" i="5"/>
  <c r="B148" i="5"/>
  <c r="E147" i="5"/>
  <c r="DE8" i="11" l="1"/>
  <c r="DE7" i="11"/>
  <c r="DF9" i="11"/>
  <c r="CZ5" i="11"/>
  <c r="CZ4" i="11"/>
  <c r="B149" i="5"/>
  <c r="E148" i="5"/>
  <c r="B114" i="5"/>
  <c r="E113" i="5"/>
  <c r="B82" i="5"/>
  <c r="E81" i="5"/>
  <c r="DF7" i="11" l="1"/>
  <c r="DF8" i="11"/>
  <c r="DG9" i="11"/>
  <c r="B83" i="5"/>
  <c r="E82" i="5"/>
  <c r="B115" i="5"/>
  <c r="E114" i="5"/>
  <c r="B150" i="5"/>
  <c r="E149" i="5"/>
  <c r="DH9" i="11" l="1"/>
  <c r="DG7" i="11"/>
  <c r="DG8" i="11"/>
  <c r="D23" i="10"/>
  <c r="D27" i="10"/>
  <c r="D19" i="10"/>
  <c r="D31" i="10"/>
  <c r="E27" i="10"/>
  <c r="F27" i="10" s="1"/>
  <c r="E31" i="10"/>
  <c r="E19" i="10"/>
  <c r="F19" i="10" s="1"/>
  <c r="E23" i="10"/>
  <c r="F23" i="10" s="1"/>
  <c r="B116" i="5"/>
  <c r="E115" i="5"/>
  <c r="B151" i="5"/>
  <c r="E150" i="5"/>
  <c r="B84" i="5"/>
  <c r="E83" i="5"/>
  <c r="DH8" i="11" l="1"/>
  <c r="DI9" i="11"/>
  <c r="DH7" i="11"/>
  <c r="F31" i="10"/>
  <c r="B85" i="5"/>
  <c r="B86" i="5"/>
  <c r="E85" i="5"/>
  <c r="E84" i="5"/>
  <c r="B152" i="5"/>
  <c r="E151" i="5"/>
  <c r="B117" i="5"/>
  <c r="E116" i="5"/>
  <c r="DI8" i="11" l="1"/>
  <c r="DI7" i="11"/>
  <c r="DJ9" i="11"/>
  <c r="B87" i="5"/>
  <c r="E87" i="5" s="1"/>
  <c r="E86" i="5"/>
  <c r="B118" i="5"/>
  <c r="E117" i="5"/>
  <c r="B153" i="5"/>
  <c r="E152" i="5"/>
  <c r="DK9" i="11" l="1"/>
  <c r="DJ7" i="11"/>
  <c r="DJ8" i="11"/>
  <c r="B154" i="5"/>
  <c r="E153" i="5"/>
  <c r="B119" i="5"/>
  <c r="E118" i="5"/>
  <c r="AA8" i="5"/>
  <c r="DL9" i="11" l="1"/>
  <c r="DK8" i="11"/>
  <c r="DK7" i="11"/>
  <c r="B120" i="5"/>
  <c r="E119" i="5"/>
  <c r="B155" i="5"/>
  <c r="E154" i="5"/>
  <c r="AB9" i="5"/>
  <c r="AB8" i="5" s="1"/>
  <c r="AA7" i="5"/>
  <c r="DM9" i="11" l="1"/>
  <c r="DL7" i="11"/>
  <c r="DG4" i="11"/>
  <c r="DL8" i="11"/>
  <c r="DG5" i="11"/>
  <c r="B156" i="5"/>
  <c r="E155" i="5"/>
  <c r="B121" i="5"/>
  <c r="E120" i="5"/>
  <c r="AC9" i="5"/>
  <c r="AC8" i="5" s="1"/>
  <c r="AB7" i="5"/>
  <c r="DN9" i="11" l="1"/>
  <c r="DM7" i="11"/>
  <c r="DM8" i="11"/>
  <c r="B157" i="5"/>
  <c r="E156" i="5"/>
  <c r="B122" i="5"/>
  <c r="E121" i="5"/>
  <c r="AD9" i="5"/>
  <c r="AC7" i="5"/>
  <c r="DN8" i="11" l="1"/>
  <c r="DO9" i="11"/>
  <c r="DN7" i="11"/>
  <c r="AA4" i="5"/>
  <c r="AD8" i="5"/>
  <c r="B123" i="5"/>
  <c r="E123" i="5" s="1"/>
  <c r="E122" i="5"/>
  <c r="B158" i="5"/>
  <c r="E157" i="5"/>
  <c r="AD7" i="5"/>
  <c r="AE9" i="5"/>
  <c r="AE8" i="5" s="1"/>
  <c r="DP9" i="11" l="1"/>
  <c r="DO7" i="11"/>
  <c r="DO8" i="11"/>
  <c r="B159" i="5"/>
  <c r="E158" i="5"/>
  <c r="AF9" i="5"/>
  <c r="AF8" i="5" s="1"/>
  <c r="AE7" i="5"/>
  <c r="DQ9" i="11" l="1"/>
  <c r="DP8" i="11"/>
  <c r="DP7" i="11"/>
  <c r="B160" i="5"/>
  <c r="E159" i="5"/>
  <c r="AG9" i="5"/>
  <c r="AG8" i="5" s="1"/>
  <c r="AA5" i="5"/>
  <c r="AF7" i="5"/>
  <c r="DR9" i="11" l="1"/>
  <c r="DQ7" i="11"/>
  <c r="DQ8" i="11"/>
  <c r="B161" i="5"/>
  <c r="E160" i="5"/>
  <c r="AH9" i="5"/>
  <c r="AH8" i="5" s="1"/>
  <c r="AG7" i="5"/>
  <c r="DS9" i="11" l="1"/>
  <c r="DR8" i="11"/>
  <c r="DR7" i="11"/>
  <c r="B162" i="5"/>
  <c r="E161" i="5"/>
  <c r="AI9" i="5"/>
  <c r="AI8" i="5" s="1"/>
  <c r="AH7" i="5"/>
  <c r="DN5" i="11" l="1"/>
  <c r="DT9" i="11"/>
  <c r="DS8" i="11"/>
  <c r="DS7" i="11"/>
  <c r="DN4" i="11"/>
  <c r="B163" i="5"/>
  <c r="E162" i="5"/>
  <c r="AJ9" i="5"/>
  <c r="AJ8" i="5" s="1"/>
  <c r="AI7" i="5"/>
  <c r="DU9" i="11" l="1"/>
  <c r="DT8" i="11"/>
  <c r="DT7" i="11"/>
  <c r="B164" i="5"/>
  <c r="E163" i="5"/>
  <c r="AK9" i="5"/>
  <c r="AK8" i="5" s="1"/>
  <c r="AJ7" i="5"/>
  <c r="DV9" i="11" l="1"/>
  <c r="DU8" i="11"/>
  <c r="DU7" i="11"/>
  <c r="E29" i="10"/>
  <c r="D29" i="10"/>
  <c r="D17" i="10"/>
  <c r="D25" i="10"/>
  <c r="E17" i="10"/>
  <c r="D21" i="10"/>
  <c r="E25" i="10"/>
  <c r="E21" i="10"/>
  <c r="B165" i="5"/>
  <c r="E164" i="5"/>
  <c r="AL9" i="5"/>
  <c r="AL8" i="5" s="1"/>
  <c r="AK7" i="5"/>
  <c r="DV8" i="11" l="1"/>
  <c r="DV7" i="11"/>
  <c r="DW9" i="11"/>
  <c r="F21" i="10"/>
  <c r="F25" i="10"/>
  <c r="F17" i="10"/>
  <c r="F29" i="10"/>
  <c r="B166" i="5"/>
  <c r="E165" i="5"/>
  <c r="AM9" i="5"/>
  <c r="AL7" i="5"/>
  <c r="DW8" i="11" l="1"/>
  <c r="DW7" i="11"/>
  <c r="DX9" i="11"/>
  <c r="AH5" i="5"/>
  <c r="AM8" i="5"/>
  <c r="B167" i="5"/>
  <c r="E166" i="5"/>
  <c r="AM7" i="5"/>
  <c r="AN9" i="5"/>
  <c r="AN8" i="5" s="1"/>
  <c r="AH4" i="5"/>
  <c r="DX8" i="11" l="1"/>
  <c r="DY9" i="11"/>
  <c r="DX7" i="11"/>
  <c r="B168" i="5"/>
  <c r="E167" i="5"/>
  <c r="AN7" i="5"/>
  <c r="AO9" i="5"/>
  <c r="AO8" i="5" s="1"/>
  <c r="DY8" i="11" l="1"/>
  <c r="DY7" i="11"/>
  <c r="DZ9" i="11"/>
  <c r="B169" i="5"/>
  <c r="E168" i="5"/>
  <c r="AO7" i="5"/>
  <c r="AP9" i="5"/>
  <c r="AP8" i="5" s="1"/>
  <c r="DZ7" i="11" l="1"/>
  <c r="DU4" i="11"/>
  <c r="EA9" i="11"/>
  <c r="DU5" i="11"/>
  <c r="DZ8" i="11"/>
  <c r="B170" i="5"/>
  <c r="E169" i="5"/>
  <c r="AP7" i="5"/>
  <c r="AQ9" i="5"/>
  <c r="AQ8" i="5" s="1"/>
  <c r="EA8" i="11" l="1"/>
  <c r="EB9" i="11"/>
  <c r="EA7" i="11"/>
  <c r="B171" i="5"/>
  <c r="E170" i="5"/>
  <c r="AR9" i="5"/>
  <c r="AR8" i="5" s="1"/>
  <c r="AQ7" i="5"/>
  <c r="EC9" i="11" l="1"/>
  <c r="EB7" i="11"/>
  <c r="EB8" i="11"/>
  <c r="B172" i="5"/>
  <c r="E171" i="5"/>
  <c r="AS9" i="5"/>
  <c r="AS8" i="5" s="1"/>
  <c r="AR7" i="5"/>
  <c r="ED9" i="11" l="1"/>
  <c r="EC8" i="11"/>
  <c r="EC7" i="11"/>
  <c r="E172" i="5"/>
  <c r="B173" i="5"/>
  <c r="AT9" i="5"/>
  <c r="AT8" i="5" s="1"/>
  <c r="AS7" i="5"/>
  <c r="ED7" i="11" l="1"/>
  <c r="EE9" i="11"/>
  <c r="ED8" i="11"/>
  <c r="E173" i="5"/>
  <c r="E22" i="10"/>
  <c r="D18" i="10"/>
  <c r="D16" i="10" s="1"/>
  <c r="E26" i="10"/>
  <c r="E24" i="10" s="1"/>
  <c r="E18" i="10"/>
  <c r="D22" i="10"/>
  <c r="D20" i="10" s="1"/>
  <c r="E30" i="10"/>
  <c r="D30" i="10"/>
  <c r="D28" i="10" s="1"/>
  <c r="D26" i="10"/>
  <c r="AO4" i="5"/>
  <c r="AO5" i="5"/>
  <c r="AT7" i="5"/>
  <c r="AU9" i="5"/>
  <c r="AU8" i="5" s="1"/>
  <c r="EF9" i="11" l="1"/>
  <c r="EE7" i="11"/>
  <c r="EE8" i="11"/>
  <c r="F30" i="10"/>
  <c r="E28" i="10"/>
  <c r="F18" i="10"/>
  <c r="E16" i="10"/>
  <c r="F16" i="10" s="1"/>
  <c r="F22" i="10"/>
  <c r="E20" i="10"/>
  <c r="F20" i="10" s="1"/>
  <c r="F26" i="10"/>
  <c r="D24" i="10"/>
  <c r="D32" i="10" s="1"/>
  <c r="F24" i="10"/>
  <c r="AV9" i="5"/>
  <c r="AV8" i="5" s="1"/>
  <c r="AU7" i="5"/>
  <c r="EG9" i="11" l="1"/>
  <c r="EF8" i="11"/>
  <c r="EF7" i="11"/>
  <c r="F28" i="10"/>
  <c r="E32" i="10"/>
  <c r="F32" i="10" s="1"/>
  <c r="AW9" i="5"/>
  <c r="AW8" i="5" s="1"/>
  <c r="AV7" i="5"/>
  <c r="EB5" i="11" l="1"/>
  <c r="EH9" i="11"/>
  <c r="EG8" i="11"/>
  <c r="EG7" i="11"/>
  <c r="EB4" i="11"/>
  <c r="AX9" i="5"/>
  <c r="AX8" i="5" s="1"/>
  <c r="AW7" i="5"/>
  <c r="EH8" i="11" l="1"/>
  <c r="EH7" i="11"/>
  <c r="EI9" i="11"/>
  <c r="AY9" i="5"/>
  <c r="AY8" i="5" s="1"/>
  <c r="AX7" i="5"/>
  <c r="EJ9" i="11" l="1"/>
  <c r="EI8" i="11"/>
  <c r="EI7" i="11"/>
  <c r="AZ9" i="5"/>
  <c r="AZ8" i="5" s="1"/>
  <c r="AY7" i="5"/>
  <c r="EJ7" i="11" l="1"/>
  <c r="EJ8" i="11"/>
  <c r="EK9" i="11"/>
  <c r="BA9" i="5"/>
  <c r="BA8" i="5" s="1"/>
  <c r="AZ7" i="5"/>
  <c r="EL9" i="11" l="1"/>
  <c r="EK8" i="11"/>
  <c r="EK7" i="11"/>
  <c r="AV4" i="5"/>
  <c r="AV5" i="5"/>
  <c r="BB9" i="5"/>
  <c r="BB8" i="5" s="1"/>
  <c r="BA7" i="5"/>
  <c r="EL8" i="11" l="1"/>
  <c r="EM9" i="11"/>
  <c r="EL7" i="11"/>
  <c r="BB7" i="5"/>
  <c r="BC9" i="5"/>
  <c r="BC8" i="5" s="1"/>
  <c r="EN9" i="11" l="1"/>
  <c r="EM7" i="11"/>
  <c r="EM8" i="11"/>
  <c r="BC7" i="5"/>
  <c r="BD9" i="5"/>
  <c r="BD8" i="5" s="1"/>
  <c r="EN8" i="11" l="1"/>
  <c r="EO9" i="11"/>
  <c r="EN7" i="11"/>
  <c r="EI5" i="11"/>
  <c r="EI4" i="11"/>
  <c r="BD7" i="5"/>
  <c r="BE9" i="5"/>
  <c r="BE8" i="5" s="1"/>
  <c r="EO8" i="11" l="1"/>
  <c r="EP9" i="11"/>
  <c r="EO7" i="11"/>
  <c r="BE7" i="5"/>
  <c r="BF9" i="5"/>
  <c r="BF8" i="5" s="1"/>
  <c r="EP8" i="11" l="1"/>
  <c r="EQ9" i="11"/>
  <c r="EP7" i="11"/>
  <c r="BF7" i="5"/>
  <c r="BG9" i="5"/>
  <c r="BG8" i="5" s="1"/>
  <c r="EQ7" i="11" l="1"/>
  <c r="ER9" i="11"/>
  <c r="EQ8" i="11"/>
  <c r="BH9" i="5"/>
  <c r="BH8" i="5" s="1"/>
  <c r="BG7" i="5"/>
  <c r="ES9" i="11" l="1"/>
  <c r="ER7" i="11"/>
  <c r="ER8" i="11"/>
  <c r="BC4" i="5"/>
  <c r="BC5" i="5"/>
  <c r="BI9" i="5"/>
  <c r="BI8" i="5" s="1"/>
  <c r="BH7" i="5"/>
  <c r="ES8" i="11" l="1"/>
  <c r="ET9" i="11"/>
  <c r="ES7" i="11"/>
  <c r="BJ9" i="5"/>
  <c r="BJ8" i="5" s="1"/>
  <c r="BI7" i="5"/>
  <c r="EU9" i="11" l="1"/>
  <c r="ET8" i="11"/>
  <c r="ET7" i="11"/>
  <c r="BJ7" i="5"/>
  <c r="BK9" i="5"/>
  <c r="BK8" i="5" s="1"/>
  <c r="EV9" i="11" l="1"/>
  <c r="EU8" i="11"/>
  <c r="EU7" i="11"/>
  <c r="EP4" i="11"/>
  <c r="EP5" i="11"/>
  <c r="BL9" i="5"/>
  <c r="BL8" i="5" s="1"/>
  <c r="BK7" i="5"/>
  <c r="EW9" i="11" l="1"/>
  <c r="EV8" i="11"/>
  <c r="EV7" i="11"/>
  <c r="BM9" i="5"/>
  <c r="BM8" i="5" s="1"/>
  <c r="BL7" i="5"/>
  <c r="EW7" i="11" l="1"/>
  <c r="EW8" i="11"/>
  <c r="EX9" i="11"/>
  <c r="BN9" i="5"/>
  <c r="BN8" i="5" s="1"/>
  <c r="BM7" i="5"/>
  <c r="EX8" i="11" l="1"/>
  <c r="EX7" i="11"/>
  <c r="EY9" i="11"/>
  <c r="BO9" i="5"/>
  <c r="BN7" i="5"/>
  <c r="EZ9" i="11" l="1"/>
  <c r="EY8" i="11"/>
  <c r="EY7" i="11"/>
  <c r="BJ5" i="5"/>
  <c r="BO8" i="5"/>
  <c r="BP9" i="5"/>
  <c r="BP8" i="5" s="1"/>
  <c r="BJ4" i="5"/>
  <c r="BO7" i="5"/>
  <c r="EZ8" i="11" l="1"/>
  <c r="FA9" i="11"/>
  <c r="EZ7" i="11"/>
  <c r="BQ9" i="5"/>
  <c r="BQ8" i="5" s="1"/>
  <c r="BP7" i="5"/>
  <c r="FB9" i="11" l="1"/>
  <c r="FA7" i="11"/>
  <c r="FA8" i="11"/>
  <c r="BQ7" i="5"/>
  <c r="BR9" i="5"/>
  <c r="BR8" i="5" s="1"/>
  <c r="EW4" i="11" l="1"/>
  <c r="FC9" i="11"/>
  <c r="FB8" i="11"/>
  <c r="EW5" i="11"/>
  <c r="FB7" i="11"/>
  <c r="BS9" i="5"/>
  <c r="BS8" i="5" s="1"/>
  <c r="BR7" i="5"/>
  <c r="FD9" i="11" l="1"/>
  <c r="FC8" i="11"/>
  <c r="FC7" i="11"/>
  <c r="BS7" i="5"/>
  <c r="BT9" i="5"/>
  <c r="BT8" i="5" s="1"/>
  <c r="FD8" i="11" l="1"/>
  <c r="FE9" i="11"/>
  <c r="FD7" i="11"/>
  <c r="BT7" i="5"/>
  <c r="BU9" i="5"/>
  <c r="BU8" i="5" s="1"/>
  <c r="FE8" i="11" l="1"/>
  <c r="FE7" i="11"/>
  <c r="FF9" i="11"/>
  <c r="BU7" i="5"/>
  <c r="BV9" i="5"/>
  <c r="FG9" i="11" l="1"/>
  <c r="FF7" i="11"/>
  <c r="FF8" i="11"/>
  <c r="BQ5" i="5"/>
  <c r="BV8" i="5"/>
  <c r="BV7" i="5"/>
  <c r="BW9" i="5"/>
  <c r="BW8" i="5" s="1"/>
  <c r="BQ4" i="5"/>
  <c r="FH9" i="11" l="1"/>
  <c r="FG8" i="11"/>
  <c r="FG7" i="11"/>
  <c r="BX9" i="5"/>
  <c r="BX8" i="5" s="1"/>
  <c r="BW7" i="5"/>
  <c r="FI9" i="11" l="1"/>
  <c r="FH7" i="11"/>
  <c r="FH8" i="11"/>
  <c r="BY9" i="5"/>
  <c r="BY8" i="5" s="1"/>
  <c r="BX7" i="5"/>
  <c r="FI7" i="11" l="1"/>
  <c r="FD5" i="11"/>
  <c r="FI8" i="11"/>
  <c r="FD4" i="11"/>
  <c r="FJ9" i="11"/>
  <c r="BZ9" i="5"/>
  <c r="BZ8" i="5" s="1"/>
  <c r="BY7" i="5"/>
  <c r="FK9" i="11" l="1"/>
  <c r="FJ7" i="11"/>
  <c r="FJ8" i="11"/>
  <c r="BZ7" i="5"/>
  <c r="CA9" i="5"/>
  <c r="CA8" i="5" s="1"/>
  <c r="FL9" i="11" l="1"/>
  <c r="FK8" i="11"/>
  <c r="FK7" i="11"/>
  <c r="CB9" i="5"/>
  <c r="CB8" i="5" s="1"/>
  <c r="CA7" i="5"/>
  <c r="FL8" i="11" l="1"/>
  <c r="FL7" i="11"/>
  <c r="FM9" i="11"/>
  <c r="CC9" i="5"/>
  <c r="CB7" i="5"/>
  <c r="FN9" i="11" l="1"/>
  <c r="FM7" i="11"/>
  <c r="FM8" i="11"/>
  <c r="BX5" i="5"/>
  <c r="CC8" i="5"/>
  <c r="CD9" i="5"/>
  <c r="CD8" i="5" s="1"/>
  <c r="CC7" i="5"/>
  <c r="BX4" i="5"/>
  <c r="FO9" i="11" l="1"/>
  <c r="FN7" i="11"/>
  <c r="FN8" i="11"/>
  <c r="CE9" i="5"/>
  <c r="CE8" i="5" s="1"/>
  <c r="CD7" i="5"/>
  <c r="FP9" i="11" l="1"/>
  <c r="FO7" i="11"/>
  <c r="FO8" i="11"/>
  <c r="CF9" i="5"/>
  <c r="CF8" i="5" s="1"/>
  <c r="CE7" i="5"/>
  <c r="FP8" i="11" l="1"/>
  <c r="FQ9" i="11"/>
  <c r="FK4" i="11"/>
  <c r="FK5" i="11"/>
  <c r="FP7" i="11"/>
  <c r="CG9" i="5"/>
  <c r="CG8" i="5" s="1"/>
  <c r="CF7" i="5"/>
  <c r="FR9" i="11" l="1"/>
  <c r="FQ7" i="11"/>
  <c r="FQ8" i="11"/>
  <c r="CG7" i="5"/>
  <c r="CH9" i="5"/>
  <c r="CH8" i="5" s="1"/>
  <c r="FS9" i="11" l="1"/>
  <c r="FR7" i="11"/>
  <c r="FR8" i="11"/>
  <c r="CH7" i="5"/>
  <c r="CI9" i="5"/>
  <c r="CI8" i="5" s="1"/>
  <c r="FT9" i="11" l="1"/>
  <c r="FS7" i="11"/>
  <c r="FS8" i="11"/>
  <c r="CI7" i="5"/>
  <c r="CJ9" i="5"/>
  <c r="CJ8" i="5" s="1"/>
  <c r="FT8" i="11" l="1"/>
  <c r="FU9" i="11"/>
  <c r="FT7" i="11"/>
  <c r="CE4" i="5"/>
  <c r="CE5" i="5"/>
  <c r="CJ7" i="5"/>
  <c r="CK9" i="5"/>
  <c r="CK8" i="5" s="1"/>
  <c r="FU7" i="11" l="1"/>
  <c r="FU8" i="11"/>
  <c r="FV9" i="11"/>
  <c r="CK7" i="5"/>
  <c r="CL9" i="5"/>
  <c r="CL8" i="5" s="1"/>
  <c r="FV7" i="11" l="1"/>
  <c r="FV8" i="11"/>
  <c r="FW9" i="11"/>
  <c r="CL7" i="5"/>
  <c r="CM9" i="5"/>
  <c r="CM8" i="5" s="1"/>
  <c r="FW8" i="11" l="1"/>
  <c r="FX9" i="11"/>
  <c r="FW7" i="11"/>
  <c r="FR5" i="11"/>
  <c r="FR4" i="11"/>
  <c r="CN9" i="5"/>
  <c r="CN8" i="5" s="1"/>
  <c r="CM7" i="5"/>
  <c r="FY9" i="11" l="1"/>
  <c r="FX7" i="11"/>
  <c r="FX8" i="11"/>
  <c r="CO9" i="5"/>
  <c r="CO8" i="5" s="1"/>
  <c r="CN7" i="5"/>
  <c r="FZ9" i="11" l="1"/>
  <c r="FY7" i="11"/>
  <c r="FY8" i="11"/>
  <c r="CP9" i="5"/>
  <c r="CP8" i="5" s="1"/>
  <c r="CO7" i="5"/>
  <c r="FZ7" i="11" l="1"/>
  <c r="GA9" i="11"/>
  <c r="FZ8" i="11"/>
  <c r="CP7" i="5"/>
  <c r="CQ9" i="5"/>
  <c r="CQ8" i="5" s="1"/>
  <c r="GA8" i="11" l="1"/>
  <c r="GB9" i="11"/>
  <c r="GA7" i="11"/>
  <c r="CL4" i="5"/>
  <c r="CL5" i="5"/>
  <c r="CR9" i="5"/>
  <c r="CR8" i="5" s="1"/>
  <c r="CQ7" i="5"/>
  <c r="GB8" i="11" l="1"/>
  <c r="GC9" i="11"/>
  <c r="GB7" i="11"/>
  <c r="CS9" i="5"/>
  <c r="CS8" i="5" s="1"/>
  <c r="CR7" i="5"/>
  <c r="GD9" i="11" l="1"/>
  <c r="GC8" i="11"/>
  <c r="GC7" i="11"/>
  <c r="CT9" i="5"/>
  <c r="CT8" i="5" s="1"/>
  <c r="CS7" i="5"/>
  <c r="FY4" i="11" l="1"/>
  <c r="GE9" i="11"/>
  <c r="GD7" i="11"/>
  <c r="FY5" i="11"/>
  <c r="GD8" i="11"/>
  <c r="CU9" i="5"/>
  <c r="CU8" i="5" s="1"/>
  <c r="CT7" i="5"/>
  <c r="GE8" i="11" l="1"/>
  <c r="GF9" i="11"/>
  <c r="GE7" i="11"/>
  <c r="CV9" i="5"/>
  <c r="CV8" i="5" s="1"/>
  <c r="CU7" i="5"/>
  <c r="GF8" i="11" l="1"/>
  <c r="GG9" i="11"/>
  <c r="GF7" i="11"/>
  <c r="CW9" i="5"/>
  <c r="CW8" i="5" s="1"/>
  <c r="CV7" i="5"/>
  <c r="GH9" i="11" l="1"/>
  <c r="GG7" i="11"/>
  <c r="GG8" i="11"/>
  <c r="CX9" i="5"/>
  <c r="CX8" i="5" s="1"/>
  <c r="CW7" i="5"/>
  <c r="GI9" i="11" l="1"/>
  <c r="GH7" i="11"/>
  <c r="GH8" i="11"/>
  <c r="CS4" i="5"/>
  <c r="CS5" i="5"/>
  <c r="CX7" i="5"/>
  <c r="CY9" i="5"/>
  <c r="CY8" i="5" s="1"/>
  <c r="GI7" i="11" l="1"/>
  <c r="GJ9" i="11"/>
  <c r="GI8" i="11"/>
  <c r="CY7" i="5"/>
  <c r="CZ9" i="5"/>
  <c r="CZ8" i="5" s="1"/>
  <c r="GJ8" i="11" l="1"/>
  <c r="GK9" i="11"/>
  <c r="GJ7" i="11"/>
  <c r="CZ7" i="5"/>
  <c r="DA9" i="5"/>
  <c r="DA8" i="5" s="1"/>
  <c r="GK7" i="11" l="1"/>
  <c r="GF4" i="11"/>
  <c r="GL9" i="11"/>
  <c r="GF5" i="11"/>
  <c r="GK8" i="11"/>
  <c r="DA7" i="5"/>
  <c r="DB9" i="5"/>
  <c r="DB8" i="5" s="1"/>
  <c r="GM9" i="11" l="1"/>
  <c r="GL7" i="11"/>
  <c r="GL8" i="11"/>
  <c r="DB7" i="5"/>
  <c r="DC9" i="5"/>
  <c r="DC8" i="5" s="1"/>
  <c r="GM7" i="11" l="1"/>
  <c r="GN9" i="11"/>
  <c r="GM8" i="11"/>
  <c r="DD9" i="5"/>
  <c r="DD8" i="5" s="1"/>
  <c r="DC7" i="5"/>
  <c r="GO9" i="11" l="1"/>
  <c r="GN7" i="11"/>
  <c r="GN8" i="11"/>
  <c r="DE9" i="5"/>
  <c r="DE8" i="5" s="1"/>
  <c r="DD7" i="5"/>
  <c r="GO8" i="11" l="1"/>
  <c r="GO7" i="11"/>
  <c r="GP9" i="11"/>
  <c r="CZ4" i="5"/>
  <c r="CZ5" i="5"/>
  <c r="DF9" i="5"/>
  <c r="DF8" i="5" s="1"/>
  <c r="DE7" i="5"/>
  <c r="GQ9" i="11" l="1"/>
  <c r="GP8" i="11"/>
  <c r="GP7" i="11"/>
  <c r="DF7" i="5"/>
  <c r="DG9" i="5"/>
  <c r="DG8" i="5" s="1"/>
  <c r="GR9" i="11" l="1"/>
  <c r="GQ7" i="11"/>
  <c r="GQ8" i="11"/>
  <c r="DH9" i="5"/>
  <c r="DH8" i="5" s="1"/>
  <c r="DG7" i="5"/>
  <c r="GS9" i="11" l="1"/>
  <c r="GM4" i="11"/>
  <c r="GR8" i="11"/>
  <c r="GM5" i="11"/>
  <c r="GR7" i="11"/>
  <c r="DI9" i="5"/>
  <c r="DI8" i="5" s="1"/>
  <c r="DH7" i="5"/>
  <c r="GS8" i="11" l="1"/>
  <c r="GS7" i="11"/>
  <c r="GT9" i="11"/>
  <c r="DJ9" i="5"/>
  <c r="DJ8" i="5" s="1"/>
  <c r="DI7" i="5"/>
  <c r="GT8" i="11" l="1"/>
  <c r="GT7" i="11"/>
  <c r="GU9" i="11"/>
  <c r="DK9" i="5"/>
  <c r="DK8" i="5" s="1"/>
  <c r="DJ7" i="5"/>
  <c r="GU8" i="11" l="1"/>
  <c r="GV9" i="11"/>
  <c r="GU7" i="11"/>
  <c r="DL9" i="5"/>
  <c r="DL8" i="5" s="1"/>
  <c r="DK7" i="5"/>
  <c r="GV8" i="11" l="1"/>
  <c r="GV7" i="11"/>
  <c r="GW9" i="11"/>
  <c r="DG5" i="5"/>
  <c r="DG4" i="5"/>
  <c r="DM9" i="5"/>
  <c r="DM8" i="5" s="1"/>
  <c r="DL7" i="5"/>
  <c r="GX9" i="11" l="1"/>
  <c r="GW8" i="11"/>
  <c r="GW7" i="11"/>
  <c r="DN9" i="5"/>
  <c r="DN8" i="5" s="1"/>
  <c r="DM7" i="5"/>
  <c r="GX7" i="11" l="1"/>
  <c r="GY9" i="11"/>
  <c r="GX8" i="11"/>
  <c r="DN7" i="5"/>
  <c r="DO9" i="5"/>
  <c r="DO8" i="5" s="1"/>
  <c r="GY8" i="11" l="1"/>
  <c r="GT5" i="11"/>
  <c r="GZ9" i="11"/>
  <c r="GT4" i="11"/>
  <c r="GY7" i="11"/>
  <c r="DO7" i="5"/>
  <c r="DP9" i="5"/>
  <c r="DP8" i="5" s="1"/>
  <c r="GZ8" i="11" l="1"/>
  <c r="HA9" i="11"/>
  <c r="GZ7" i="11"/>
  <c r="DP7" i="5"/>
  <c r="DQ9" i="5"/>
  <c r="DQ8" i="5" s="1"/>
  <c r="HB9" i="11" l="1"/>
  <c r="HA7" i="11"/>
  <c r="HA8" i="11"/>
  <c r="DQ7" i="5"/>
  <c r="DR9" i="5"/>
  <c r="DR8" i="5" s="1"/>
  <c r="HC9" i="11" l="1"/>
  <c r="HB7" i="11"/>
  <c r="HB8" i="11"/>
  <c r="DR7" i="5"/>
  <c r="DS9" i="5"/>
  <c r="DS8" i="5" s="1"/>
  <c r="HC7" i="11" l="1"/>
  <c r="HD9" i="11"/>
  <c r="HC8" i="11"/>
  <c r="DN5" i="5"/>
  <c r="DN4" i="5"/>
  <c r="DT9" i="5"/>
  <c r="DT8" i="5" s="1"/>
  <c r="DS7" i="5"/>
  <c r="HE9" i="11" l="1"/>
  <c r="HD7" i="11"/>
  <c r="HD8" i="11"/>
  <c r="DU9" i="5"/>
  <c r="DU8" i="5" s="1"/>
  <c r="DT7" i="5"/>
  <c r="HE7" i="11" l="1"/>
  <c r="HE8" i="11"/>
  <c r="HF9" i="11"/>
  <c r="DV9" i="5"/>
  <c r="DV8" i="5" s="1"/>
  <c r="DU7" i="5"/>
  <c r="HG9" i="11" l="1"/>
  <c r="HF7" i="11"/>
  <c r="HA5" i="11"/>
  <c r="HF8" i="11"/>
  <c r="HA4" i="11"/>
  <c r="DV7" i="5"/>
  <c r="DW9" i="5"/>
  <c r="DW8" i="5" s="1"/>
  <c r="HG8" i="11" l="1"/>
  <c r="HH9" i="11"/>
  <c r="HG7" i="11"/>
  <c r="DX9" i="5"/>
  <c r="DX8" i="5" s="1"/>
  <c r="DW7" i="5"/>
  <c r="HH7" i="11" l="1"/>
  <c r="HI9" i="11"/>
  <c r="HH8" i="11"/>
  <c r="DY9" i="5"/>
  <c r="DY8" i="5" s="1"/>
  <c r="DX7" i="5"/>
  <c r="HJ9" i="11" l="1"/>
  <c r="HI7" i="11"/>
  <c r="HI8" i="11"/>
  <c r="DZ9" i="5"/>
  <c r="DZ8" i="5" s="1"/>
  <c r="DY7" i="5"/>
  <c r="HJ7" i="11" l="1"/>
  <c r="HJ8" i="11"/>
  <c r="HK9" i="11"/>
  <c r="DU5" i="5"/>
  <c r="DU4" i="5"/>
  <c r="EA9" i="5"/>
  <c r="EA8" i="5" s="1"/>
  <c r="DZ7" i="5"/>
  <c r="HL9" i="11" l="1"/>
  <c r="HK8" i="11"/>
  <c r="HK7" i="11"/>
  <c r="EB9" i="5"/>
  <c r="EB8" i="5" s="1"/>
  <c r="EA7" i="5"/>
  <c r="HL8" i="11" l="1"/>
  <c r="HM9" i="11"/>
  <c r="HL7" i="11"/>
  <c r="EC9" i="5"/>
  <c r="EC8" i="5" s="1"/>
  <c r="EB7" i="5"/>
  <c r="HN9" i="11" l="1"/>
  <c r="HM8" i="11"/>
  <c r="HH5" i="11"/>
  <c r="HM7" i="11"/>
  <c r="HH4" i="11"/>
  <c r="EC7" i="5"/>
  <c r="ED9" i="5"/>
  <c r="ED8" i="5" s="1"/>
  <c r="HN8" i="11" l="1"/>
  <c r="HO9" i="11"/>
  <c r="HN7" i="11"/>
  <c r="ED7" i="5"/>
  <c r="EE9" i="5"/>
  <c r="EE8" i="5" s="1"/>
  <c r="HO8" i="11" l="1"/>
  <c r="HP9" i="11"/>
  <c r="HO7" i="11"/>
  <c r="EE7" i="5"/>
  <c r="EF9" i="5"/>
  <c r="EF8" i="5" s="1"/>
  <c r="HP8" i="11" l="1"/>
  <c r="HQ9" i="11"/>
  <c r="HP7" i="11"/>
  <c r="EF7" i="5"/>
  <c r="EG9" i="5"/>
  <c r="EG8" i="5" s="1"/>
  <c r="HQ8" i="11" l="1"/>
  <c r="HQ7" i="11"/>
  <c r="HR9" i="11"/>
  <c r="EB5" i="5"/>
  <c r="EB4" i="5"/>
  <c r="EG7" i="5"/>
  <c r="EH9" i="5"/>
  <c r="EH8" i="5" s="1"/>
  <c r="HR8" i="11" l="1"/>
  <c r="HR7" i="11"/>
  <c r="HS9" i="11"/>
  <c r="EH7" i="5"/>
  <c r="EI9" i="5"/>
  <c r="EI8" i="5" s="1"/>
  <c r="HS8" i="11" l="1"/>
  <c r="HT9" i="11"/>
  <c r="HS7" i="11"/>
  <c r="EJ9" i="5"/>
  <c r="EJ8" i="5" s="1"/>
  <c r="EI7" i="5"/>
  <c r="HU9" i="11" l="1"/>
  <c r="HT7" i="11"/>
  <c r="HT8" i="11"/>
  <c r="HO5" i="11"/>
  <c r="HO4" i="11"/>
  <c r="EK9" i="5"/>
  <c r="EK8" i="5" s="1"/>
  <c r="EJ7" i="5"/>
  <c r="HV9" i="11" l="1"/>
  <c r="HU7" i="11"/>
  <c r="HU8" i="11"/>
  <c r="EL9" i="5"/>
  <c r="EL8" i="5" s="1"/>
  <c r="EK7" i="5"/>
  <c r="HW9" i="11" l="1"/>
  <c r="HV7" i="11"/>
  <c r="HV8" i="11"/>
  <c r="EL7" i="5"/>
  <c r="EM9" i="5"/>
  <c r="EM8" i="5" s="1"/>
  <c r="HW7" i="11" l="1"/>
  <c r="HX9" i="11"/>
  <c r="HW8" i="11"/>
  <c r="EN9" i="5"/>
  <c r="EN8" i="5" s="1"/>
  <c r="EM7" i="5"/>
  <c r="HX7" i="11" l="1"/>
  <c r="HY9" i="11"/>
  <c r="HX8" i="11"/>
  <c r="EI5" i="5"/>
  <c r="EI4" i="5"/>
  <c r="EO9" i="5"/>
  <c r="EO8" i="5" s="1"/>
  <c r="EN7" i="5"/>
  <c r="HY8" i="11" l="1"/>
  <c r="HZ9" i="11"/>
  <c r="HY7" i="11"/>
  <c r="EP9" i="5"/>
  <c r="EP8" i="5" s="1"/>
  <c r="EO7" i="5"/>
  <c r="HZ7" i="11" l="1"/>
  <c r="IA9" i="11"/>
  <c r="HZ8" i="11"/>
  <c r="EQ9" i="5"/>
  <c r="EQ8" i="5" s="1"/>
  <c r="EP7" i="5"/>
  <c r="IB9" i="11" l="1"/>
  <c r="HV5" i="11"/>
  <c r="IA7" i="11"/>
  <c r="IA8" i="11"/>
  <c r="HV4" i="11"/>
  <c r="ER9" i="5"/>
  <c r="ER8" i="5" s="1"/>
  <c r="EQ7" i="5"/>
  <c r="IB8" i="11" l="1"/>
  <c r="IC9" i="11"/>
  <c r="IB7" i="11"/>
  <c r="ES9" i="5"/>
  <c r="ES8" i="5" s="1"/>
  <c r="ER7" i="5"/>
  <c r="IC7" i="11" l="1"/>
  <c r="IC8" i="11"/>
  <c r="ID9" i="11"/>
  <c r="ET9" i="5"/>
  <c r="ET8" i="5" s="1"/>
  <c r="ES7" i="5"/>
  <c r="ID7" i="11" l="1"/>
  <c r="IE9" i="11"/>
  <c r="ID8" i="11"/>
  <c r="ET7" i="5"/>
  <c r="EU9" i="5"/>
  <c r="EU8" i="5" s="1"/>
  <c r="IF9" i="11" l="1"/>
  <c r="IE8" i="11"/>
  <c r="IE7" i="11"/>
  <c r="EP5" i="5"/>
  <c r="EP4" i="5"/>
  <c r="EU7" i="5"/>
  <c r="EV9" i="5"/>
  <c r="EV8" i="5" s="1"/>
  <c r="IF8" i="11" l="1"/>
  <c r="IG9" i="11"/>
  <c r="IF7" i="11"/>
  <c r="EV7" i="5"/>
  <c r="EW9" i="5"/>
  <c r="EW8" i="5" s="1"/>
  <c r="IG8" i="11" l="1"/>
  <c r="IH9" i="11"/>
  <c r="IG7" i="11"/>
  <c r="EW7" i="5"/>
  <c r="EX9" i="5"/>
  <c r="EX8" i="5" s="1"/>
  <c r="IH8" i="11" l="1"/>
  <c r="IC5" i="11"/>
  <c r="II9" i="11"/>
  <c r="IC4" i="11"/>
  <c r="IH7" i="11"/>
  <c r="EX7" i="5"/>
  <c r="EY9" i="5"/>
  <c r="EY8" i="5" s="1"/>
  <c r="II8" i="11" l="1"/>
  <c r="IJ9" i="11"/>
  <c r="II7" i="11"/>
  <c r="EZ9" i="5"/>
  <c r="EZ8" i="5" s="1"/>
  <c r="EY7" i="5"/>
  <c r="IK9" i="11" l="1"/>
  <c r="IJ7" i="11"/>
  <c r="IJ8" i="11"/>
  <c r="FA9" i="5"/>
  <c r="FA8" i="5" s="1"/>
  <c r="EZ7" i="5"/>
  <c r="IL9" i="11" l="1"/>
  <c r="IK8" i="11"/>
  <c r="IK7" i="11"/>
  <c r="FB9" i="5"/>
  <c r="FB8" i="5" s="1"/>
  <c r="FA7" i="5"/>
  <c r="IL8" i="11" l="1"/>
  <c r="IL7" i="11"/>
  <c r="IM9" i="11"/>
  <c r="EW4" i="5"/>
  <c r="EW5" i="5"/>
  <c r="FB7" i="5"/>
  <c r="FC9" i="5"/>
  <c r="FC8" i="5" s="1"/>
  <c r="IM7" i="11" l="1"/>
  <c r="IM8" i="11"/>
  <c r="IN9" i="11"/>
  <c r="FD9" i="5"/>
  <c r="FD8" i="5" s="1"/>
  <c r="FC7" i="5"/>
  <c r="IO9" i="11" l="1"/>
  <c r="IN8" i="11"/>
  <c r="IN7" i="11"/>
  <c r="FE9" i="5"/>
  <c r="FE8" i="5" s="1"/>
  <c r="FD7" i="5"/>
  <c r="IP9" i="11" l="1"/>
  <c r="IJ5" i="11"/>
  <c r="IO8" i="11"/>
  <c r="IO7" i="11"/>
  <c r="IJ4" i="11"/>
  <c r="FF9" i="5"/>
  <c r="FF8" i="5" s="1"/>
  <c r="FE7" i="5"/>
  <c r="IP7" i="11" l="1"/>
  <c r="IP8" i="11"/>
  <c r="IQ9" i="11"/>
  <c r="FG9" i="5"/>
  <c r="FG8" i="5" s="1"/>
  <c r="FF7" i="5"/>
  <c r="IQ8" i="11" l="1"/>
  <c r="IR9" i="11"/>
  <c r="IQ7" i="11"/>
  <c r="FH9" i="5"/>
  <c r="FH8" i="5" s="1"/>
  <c r="FG7" i="5"/>
  <c r="IR8" i="11" l="1"/>
  <c r="IS9" i="11"/>
  <c r="IR7" i="11"/>
  <c r="FI9" i="5"/>
  <c r="FI8" i="5" s="1"/>
  <c r="FH7" i="5"/>
  <c r="IT9" i="11" l="1"/>
  <c r="IS7" i="11"/>
  <c r="IS8" i="11"/>
  <c r="FD5" i="5"/>
  <c r="FD4" i="5"/>
  <c r="FI7" i="5"/>
  <c r="FJ9" i="5"/>
  <c r="FJ8" i="5" s="1"/>
  <c r="IT7" i="11" l="1"/>
  <c r="IU9" i="11"/>
  <c r="IT8" i="11"/>
  <c r="FJ7" i="5"/>
  <c r="FK9" i="5"/>
  <c r="FK8" i="5" s="1"/>
  <c r="IU7" i="11" l="1"/>
  <c r="IV9" i="11"/>
  <c r="IU8" i="11"/>
  <c r="FK7" i="5"/>
  <c r="FL9" i="5"/>
  <c r="FL8" i="5" s="1"/>
  <c r="IV8" i="11" l="1"/>
  <c r="IW9" i="11"/>
  <c r="IQ5" i="11"/>
  <c r="IQ4" i="11"/>
  <c r="IV7" i="11"/>
  <c r="FL7" i="5"/>
  <c r="FM9" i="5"/>
  <c r="FM8" i="5" s="1"/>
  <c r="IW7" i="11" l="1"/>
  <c r="IX9" i="11"/>
  <c r="IW8" i="11"/>
  <c r="FM7" i="5"/>
  <c r="FN9" i="5"/>
  <c r="FN8" i="5" s="1"/>
  <c r="IX7" i="11" l="1"/>
  <c r="IY9" i="11"/>
  <c r="IX8" i="11"/>
  <c r="FN7" i="5"/>
  <c r="FO9" i="5"/>
  <c r="FO8" i="5" s="1"/>
  <c r="IZ9" i="11" l="1"/>
  <c r="IY8" i="11"/>
  <c r="IY7" i="11"/>
  <c r="FP9" i="5"/>
  <c r="FP8" i="5" s="1"/>
  <c r="FO7" i="5"/>
  <c r="JA9" i="11" l="1"/>
  <c r="IZ7" i="11"/>
  <c r="IZ8" i="11"/>
  <c r="FK5" i="5"/>
  <c r="FK4" i="5"/>
  <c r="FQ9" i="5"/>
  <c r="FQ8" i="5" s="1"/>
  <c r="FP7" i="5"/>
  <c r="JA8" i="11" l="1"/>
  <c r="JA7" i="11"/>
  <c r="JB9" i="11"/>
  <c r="FR9" i="5"/>
  <c r="FR8" i="5" s="1"/>
  <c r="FQ7" i="5"/>
  <c r="JB8" i="11" l="1"/>
  <c r="JC9" i="11"/>
  <c r="JB7" i="11"/>
  <c r="FR7" i="5"/>
  <c r="FS9" i="5"/>
  <c r="FS8" i="5" s="1"/>
  <c r="IX5" i="11" l="1"/>
  <c r="JC7" i="11"/>
  <c r="JD9" i="11"/>
  <c r="JC8" i="11"/>
  <c r="IX4" i="11"/>
  <c r="FT9" i="5"/>
  <c r="FT8" i="5" s="1"/>
  <c r="FS7" i="5"/>
  <c r="JD7" i="11" l="1"/>
  <c r="JE9" i="11"/>
  <c r="JD8" i="11"/>
  <c r="FU9" i="5"/>
  <c r="FU8" i="5" s="1"/>
  <c r="FT7" i="5"/>
  <c r="JE8" i="11" l="1"/>
  <c r="JF9" i="11"/>
  <c r="JE7" i="11"/>
  <c r="FV9" i="5"/>
  <c r="FV8" i="5" s="1"/>
  <c r="FU7" i="5"/>
  <c r="JG9" i="11" l="1"/>
  <c r="JF8" i="11"/>
  <c r="JF7" i="11"/>
  <c r="FW9" i="5"/>
  <c r="FW8" i="5" s="1"/>
  <c r="FV7" i="5"/>
  <c r="JG7" i="11" l="1"/>
  <c r="JH9" i="11"/>
  <c r="JG8" i="11"/>
  <c r="FR4" i="5"/>
  <c r="FR5" i="5"/>
  <c r="FX9" i="5"/>
  <c r="FX8" i="5" s="1"/>
  <c r="FW7" i="5"/>
  <c r="JH8" i="11" l="1"/>
  <c r="JI9" i="11"/>
  <c r="JH7" i="11"/>
  <c r="FY9" i="5"/>
  <c r="FY8" i="5" s="1"/>
  <c r="FX7" i="5"/>
  <c r="JJ9" i="11" l="1"/>
  <c r="JI8" i="11"/>
  <c r="JI7" i="11"/>
  <c r="FZ9" i="5"/>
  <c r="FZ8" i="5" s="1"/>
  <c r="FY7" i="5"/>
  <c r="JJ8" i="11" l="1"/>
  <c r="JE4" i="11"/>
  <c r="JK9" i="11"/>
  <c r="JJ7" i="11"/>
  <c r="JE5" i="11"/>
  <c r="FZ7" i="5"/>
  <c r="GA9" i="5"/>
  <c r="GA8" i="5" s="1"/>
  <c r="JL9" i="11" l="1"/>
  <c r="JK8" i="11"/>
  <c r="JK7" i="11"/>
  <c r="GA7" i="5"/>
  <c r="GB9" i="5"/>
  <c r="GB8" i="5" s="1"/>
  <c r="JL8" i="11" l="1"/>
  <c r="JM9" i="11"/>
  <c r="JL7" i="11"/>
  <c r="GB7" i="5"/>
  <c r="GC9" i="5"/>
  <c r="GC8" i="5" s="1"/>
  <c r="JN9" i="11" l="1"/>
  <c r="JM7" i="11"/>
  <c r="JM8" i="11"/>
  <c r="GC7" i="5"/>
  <c r="GD9" i="5"/>
  <c r="GD8" i="5" s="1"/>
  <c r="JN8" i="11" l="1"/>
  <c r="JN7" i="11"/>
  <c r="JO9" i="11"/>
  <c r="FY5" i="5"/>
  <c r="FY4" i="5"/>
  <c r="GD7" i="5"/>
  <c r="GE9" i="5"/>
  <c r="GE8" i="5" s="1"/>
  <c r="JO8" i="11" l="1"/>
  <c r="JO7" i="11"/>
  <c r="JP9" i="11"/>
  <c r="GE7" i="5"/>
  <c r="GF9" i="5"/>
  <c r="GF8" i="5" s="1"/>
  <c r="JQ9" i="11" l="1"/>
  <c r="JP7" i="11"/>
  <c r="JP8" i="11"/>
  <c r="GG9" i="5"/>
  <c r="GG8" i="5" s="1"/>
  <c r="GF7" i="5"/>
  <c r="JL4" i="11" l="1"/>
  <c r="JR9" i="11"/>
  <c r="JQ7" i="11"/>
  <c r="JQ8" i="11"/>
  <c r="JL5" i="11"/>
  <c r="GH9" i="5"/>
  <c r="GH8" i="5" s="1"/>
  <c r="GG7" i="5"/>
  <c r="JR7" i="11" l="1"/>
  <c r="JS9" i="11"/>
  <c r="JR8" i="11"/>
  <c r="GH7" i="5"/>
  <c r="GI9" i="5"/>
  <c r="GI8" i="5" s="1"/>
  <c r="JS7" i="11" l="1"/>
  <c r="JT9" i="11"/>
  <c r="JS8" i="11"/>
  <c r="GJ9" i="5"/>
  <c r="GJ8" i="5" s="1"/>
  <c r="GI7" i="5"/>
  <c r="JT8" i="11" l="1"/>
  <c r="JT7" i="11"/>
  <c r="JU9" i="11"/>
  <c r="GK9" i="5"/>
  <c r="GK8" i="5" s="1"/>
  <c r="GJ7" i="5"/>
  <c r="JU8" i="11" l="1"/>
  <c r="JU7" i="11"/>
  <c r="JV9" i="11"/>
  <c r="GF5" i="5"/>
  <c r="GF4" i="5"/>
  <c r="GL9" i="5"/>
  <c r="GL8" i="5" s="1"/>
  <c r="GK7" i="5"/>
  <c r="JW9" i="11" l="1"/>
  <c r="JV7" i="11"/>
  <c r="JV8" i="11"/>
  <c r="GM9" i="5"/>
  <c r="GM8" i="5" s="1"/>
  <c r="GL7" i="5"/>
  <c r="JW8" i="11" l="1"/>
  <c r="JW7" i="11"/>
  <c r="JX9" i="11"/>
  <c r="GN9" i="5"/>
  <c r="GN8" i="5" s="1"/>
  <c r="GM7" i="5"/>
  <c r="JX8" i="11" l="1"/>
  <c r="JX7" i="11"/>
  <c r="JS5" i="11"/>
  <c r="JY9" i="11"/>
  <c r="JS4" i="11"/>
  <c r="GO9" i="5"/>
  <c r="GO8" i="5" s="1"/>
  <c r="GN7" i="5"/>
  <c r="JY8" i="11" l="1"/>
  <c r="JZ9" i="11"/>
  <c r="JY7" i="11"/>
  <c r="GP9" i="5"/>
  <c r="GP8" i="5" s="1"/>
  <c r="GO7" i="5"/>
  <c r="KA9" i="11" l="1"/>
  <c r="JZ7" i="11"/>
  <c r="JZ8" i="11"/>
  <c r="GP7" i="5"/>
  <c r="GQ9" i="5"/>
  <c r="GQ8" i="5" s="1"/>
  <c r="KB9" i="11" l="1"/>
  <c r="KA8" i="11"/>
  <c r="KA7" i="11"/>
  <c r="GQ7" i="5"/>
  <c r="GR9" i="5"/>
  <c r="GR8" i="5" s="1"/>
  <c r="KB8" i="11" l="1"/>
  <c r="KC9" i="11"/>
  <c r="KB7" i="11"/>
  <c r="GM4" i="5"/>
  <c r="GM5" i="5"/>
  <c r="GR7" i="5"/>
  <c r="GS9" i="5"/>
  <c r="GS8" i="5" s="1"/>
  <c r="KC8" i="11" l="1"/>
  <c r="KD9" i="11"/>
  <c r="KC7" i="11"/>
  <c r="GS7" i="5"/>
  <c r="GT9" i="5"/>
  <c r="GT8" i="5" s="1"/>
  <c r="KE9" i="11" l="1"/>
  <c r="KD7" i="11"/>
  <c r="KD8" i="11"/>
  <c r="GT7" i="5"/>
  <c r="GU9" i="5"/>
  <c r="GU8" i="5" s="1"/>
  <c r="KF9" i="11" l="1"/>
  <c r="JZ4" i="11"/>
  <c r="KE8" i="11"/>
  <c r="JZ5" i="11"/>
  <c r="KE7" i="11"/>
  <c r="GU7" i="5"/>
  <c r="GV9" i="5"/>
  <c r="GV8" i="5" s="1"/>
  <c r="KG9" i="11" l="1"/>
  <c r="KF7" i="11"/>
  <c r="KF8" i="11"/>
  <c r="GW9" i="5"/>
  <c r="GW8" i="5" s="1"/>
  <c r="GV7" i="5"/>
  <c r="KH9" i="11" l="1"/>
  <c r="KG8" i="11"/>
  <c r="KG7" i="11"/>
  <c r="GX9" i="5"/>
  <c r="GX8" i="5" s="1"/>
  <c r="GW7" i="5"/>
  <c r="KI9" i="11" l="1"/>
  <c r="KH8" i="11"/>
  <c r="KH7" i="11"/>
  <c r="GX7" i="5"/>
  <c r="GY9" i="5"/>
  <c r="GY8" i="5" s="1"/>
  <c r="KJ9" i="11" l="1"/>
  <c r="KI7" i="11"/>
  <c r="KI8" i="11"/>
  <c r="GT4" i="5"/>
  <c r="GT5" i="5"/>
  <c r="GZ9" i="5"/>
  <c r="GZ8" i="5" s="1"/>
  <c r="GY7" i="5"/>
  <c r="KK9" i="11" l="1"/>
  <c r="KJ8" i="11"/>
  <c r="KJ7" i="11"/>
  <c r="HA9" i="5"/>
  <c r="HA8" i="5" s="1"/>
  <c r="GZ7" i="5"/>
  <c r="KK7" i="11" l="1"/>
  <c r="KK8" i="11"/>
  <c r="KL9" i="11"/>
  <c r="HB9" i="5"/>
  <c r="HB8" i="5" s="1"/>
  <c r="HA7" i="5"/>
  <c r="KG4" i="11" l="1"/>
  <c r="KL7" i="11"/>
  <c r="KL8" i="11"/>
  <c r="KM9" i="11"/>
  <c r="KG5" i="11"/>
  <c r="HC9" i="5"/>
  <c r="HC8" i="5" s="1"/>
  <c r="HB7" i="5"/>
  <c r="KM8" i="11" l="1"/>
  <c r="KN9" i="11"/>
  <c r="KM7" i="11"/>
  <c r="HD9" i="5"/>
  <c r="HD8" i="5" s="1"/>
  <c r="HC7" i="5"/>
  <c r="KN8" i="11" l="1"/>
  <c r="KN7" i="11"/>
  <c r="KO9" i="11"/>
  <c r="HE9" i="5"/>
  <c r="HE8" i="5" s="1"/>
  <c r="HD7" i="5"/>
  <c r="KO7" i="11" l="1"/>
  <c r="KO8" i="11"/>
  <c r="KP9" i="11"/>
  <c r="HF9" i="5"/>
  <c r="HF8" i="5" s="1"/>
  <c r="HE7" i="5"/>
  <c r="KP7" i="11" l="1"/>
  <c r="KQ9" i="11"/>
  <c r="KP8" i="11"/>
  <c r="HA4" i="5"/>
  <c r="HA5" i="5"/>
  <c r="HF7" i="5"/>
  <c r="HG9" i="5"/>
  <c r="HG8" i="5" s="1"/>
  <c r="KR9" i="11" l="1"/>
  <c r="KQ8" i="11"/>
  <c r="KQ7" i="11"/>
  <c r="HG7" i="5"/>
  <c r="HH9" i="5"/>
  <c r="HH8" i="5" s="1"/>
  <c r="KR8" i="11" l="1"/>
  <c r="KS9" i="11"/>
  <c r="KR7" i="11"/>
  <c r="HH7" i="5"/>
  <c r="HI9" i="5"/>
  <c r="HI8" i="5" s="1"/>
  <c r="KS8" i="11" l="1"/>
  <c r="KN4" i="11"/>
  <c r="KT9" i="11"/>
  <c r="KS7" i="11"/>
  <c r="KN5" i="11"/>
  <c r="HI7" i="5"/>
  <c r="HJ9" i="5"/>
  <c r="HJ8" i="5" s="1"/>
  <c r="KU9" i="11" l="1"/>
  <c r="KT8" i="11"/>
  <c r="KT7" i="11"/>
  <c r="HJ7" i="5"/>
  <c r="HK9" i="5"/>
  <c r="HK8" i="5" s="1"/>
  <c r="KU8" i="11" l="1"/>
  <c r="KV9" i="11"/>
  <c r="KU7" i="11"/>
  <c r="HK7" i="5"/>
  <c r="HL9" i="5"/>
  <c r="HL8" i="5" s="1"/>
  <c r="KW9" i="11" l="1"/>
  <c r="KV7" i="11"/>
  <c r="KV8" i="11"/>
  <c r="HM9" i="5"/>
  <c r="HM8" i="5" s="1"/>
  <c r="HL7" i="5"/>
  <c r="KX9" i="11" l="1"/>
  <c r="KW8" i="11"/>
  <c r="KW7" i="11"/>
  <c r="HH4" i="5"/>
  <c r="HH5" i="5"/>
  <c r="HN9" i="5"/>
  <c r="HN8" i="5" s="1"/>
  <c r="HM7" i="5"/>
  <c r="KY9" i="11" l="1"/>
  <c r="KX8" i="11"/>
  <c r="KX7" i="11"/>
  <c r="HN7" i="5"/>
  <c r="HO9" i="5"/>
  <c r="HO8" i="5" s="1"/>
  <c r="KZ9" i="11" l="1"/>
  <c r="KY8" i="11"/>
  <c r="KY7" i="11"/>
  <c r="HP9" i="5"/>
  <c r="HP8" i="5" s="1"/>
  <c r="HO7" i="5"/>
  <c r="LA9" i="11" l="1"/>
  <c r="KU4" i="11"/>
  <c r="KU5" i="11"/>
  <c r="KZ8" i="11"/>
  <c r="KZ7" i="11"/>
  <c r="HQ9" i="5"/>
  <c r="HQ8" i="5" s="1"/>
  <c r="HP7" i="5"/>
  <c r="LA8" i="11" l="1"/>
  <c r="LB9" i="11"/>
  <c r="LA7" i="11"/>
  <c r="HR9" i="5"/>
  <c r="HR8" i="5" s="1"/>
  <c r="HQ7" i="5"/>
  <c r="LB7" i="11" l="1"/>
  <c r="LC9" i="11"/>
  <c r="LB8" i="11"/>
  <c r="HS9" i="5"/>
  <c r="HS8" i="5" s="1"/>
  <c r="HR7" i="5"/>
  <c r="LC7" i="11" l="1"/>
  <c r="LD9" i="11"/>
  <c r="LC8" i="11"/>
  <c r="HT9" i="5"/>
  <c r="HT8" i="5" s="1"/>
  <c r="HS7" i="5"/>
  <c r="LD8" i="11" l="1"/>
  <c r="LE9" i="11"/>
  <c r="LD7" i="11"/>
  <c r="HO5" i="5"/>
  <c r="HO4" i="5"/>
  <c r="HU9" i="5"/>
  <c r="HU8" i="5" s="1"/>
  <c r="HT7" i="5"/>
  <c r="LF9" i="11" l="1"/>
  <c r="LE8" i="11"/>
  <c r="LE7" i="11"/>
  <c r="HU7" i="5"/>
  <c r="HV9" i="5"/>
  <c r="HV8" i="5" s="1"/>
  <c r="LF7" i="11" l="1"/>
  <c r="LG9" i="11"/>
  <c r="LF8" i="11"/>
  <c r="HV7" i="5"/>
  <c r="HW9" i="5"/>
  <c r="HW8" i="5" s="1"/>
  <c r="LG8" i="11" l="1"/>
  <c r="LG7" i="11"/>
  <c r="LH9" i="11"/>
  <c r="LB5" i="11"/>
  <c r="LB4" i="11"/>
  <c r="HW7" i="5"/>
  <c r="HX9" i="5"/>
  <c r="HX8" i="5" s="1"/>
  <c r="LH8" i="11" l="1"/>
  <c r="LI9" i="11"/>
  <c r="LH7" i="11"/>
  <c r="HX7" i="5"/>
  <c r="HY9" i="5"/>
  <c r="HY8" i="5" s="1"/>
  <c r="LI8" i="11" l="1"/>
  <c r="LI7" i="11"/>
  <c r="LJ9" i="11"/>
  <c r="HY7" i="5"/>
  <c r="HZ9" i="5"/>
  <c r="HZ8" i="5" s="1"/>
  <c r="LJ7" i="11" l="1"/>
  <c r="LJ8" i="11"/>
  <c r="LK9" i="11"/>
  <c r="HZ7" i="5"/>
  <c r="IA9" i="5"/>
  <c r="IA8" i="5" s="1"/>
  <c r="LK8" i="11" l="1"/>
  <c r="LL9" i="11"/>
  <c r="LK7" i="11"/>
  <c r="HV5" i="5"/>
  <c r="HV4" i="5"/>
  <c r="IA7" i="5"/>
  <c r="IB9" i="5"/>
  <c r="IB8" i="5" s="1"/>
  <c r="LM9" i="11" l="1"/>
  <c r="LL7" i="11"/>
  <c r="LL8" i="11"/>
  <c r="IC9" i="5"/>
  <c r="IC8" i="5" s="1"/>
  <c r="IB7" i="5"/>
  <c r="LM8" i="11" l="1"/>
  <c r="LN9" i="11"/>
  <c r="LM7" i="11"/>
  <c r="ID9" i="5"/>
  <c r="ID8" i="5" s="1"/>
  <c r="IC7" i="5"/>
  <c r="LO9" i="11" l="1"/>
  <c r="LI4" i="11"/>
  <c r="LI5" i="11"/>
  <c r="LN7" i="11"/>
  <c r="LN8" i="11"/>
  <c r="ID7" i="5"/>
  <c r="IE9" i="5"/>
  <c r="IE8" i="5" s="1"/>
  <c r="LP9" i="11" l="1"/>
  <c r="LO8" i="11"/>
  <c r="LO7" i="11"/>
  <c r="IF9" i="5"/>
  <c r="IF8" i="5" s="1"/>
  <c r="IE7" i="5"/>
  <c r="LQ9" i="11" l="1"/>
  <c r="LP8" i="11"/>
  <c r="LP7" i="11"/>
  <c r="IG9" i="5"/>
  <c r="IG8" i="5" s="1"/>
  <c r="IF7" i="5"/>
  <c r="LR9" i="11" l="1"/>
  <c r="LQ7" i="11"/>
  <c r="LQ8" i="11"/>
  <c r="IH9" i="5"/>
  <c r="IH8" i="5" s="1"/>
  <c r="IG7" i="5"/>
  <c r="LS9" i="11" l="1"/>
  <c r="LR7" i="11"/>
  <c r="LR8" i="11"/>
  <c r="IC5" i="5"/>
  <c r="IC4" i="5"/>
  <c r="II9" i="5"/>
  <c r="II8" i="5" s="1"/>
  <c r="IH7" i="5"/>
  <c r="LT9" i="11" l="1"/>
  <c r="LS7" i="11"/>
  <c r="LS8" i="11"/>
  <c r="IJ9" i="5"/>
  <c r="IJ8" i="5" s="1"/>
  <c r="II7" i="5"/>
  <c r="LT8" i="11" l="1"/>
  <c r="LT7" i="11"/>
  <c r="LU9" i="11"/>
  <c r="IK9" i="5"/>
  <c r="IK8" i="5" s="1"/>
  <c r="IJ7" i="5"/>
  <c r="LP4" i="11" l="1"/>
  <c r="LU7" i="11"/>
  <c r="LV9" i="11"/>
  <c r="LP5" i="11"/>
  <c r="LU8" i="11"/>
  <c r="IL9" i="5"/>
  <c r="IL8" i="5" s="1"/>
  <c r="IK7" i="5"/>
  <c r="LW9" i="11" l="1"/>
  <c r="LV8" i="11"/>
  <c r="LV7" i="11"/>
  <c r="IL7" i="5"/>
  <c r="IM9" i="5"/>
  <c r="IM8" i="5" s="1"/>
  <c r="LW7" i="11" l="1"/>
  <c r="LX9" i="11"/>
  <c r="LW8" i="11"/>
  <c r="IM7" i="5"/>
  <c r="IN9" i="5"/>
  <c r="IN8" i="5" s="1"/>
  <c r="LX8" i="11" l="1"/>
  <c r="LY9" i="11"/>
  <c r="LX7" i="11"/>
  <c r="IN7" i="5"/>
  <c r="IO9" i="5"/>
  <c r="IO8" i="5" s="1"/>
  <c r="LZ9" i="11" l="1"/>
  <c r="LY8" i="11"/>
  <c r="LY7" i="11"/>
  <c r="IJ5" i="5"/>
  <c r="IJ4" i="5"/>
  <c r="IO7" i="5"/>
  <c r="IP9" i="5"/>
  <c r="IP8" i="5" s="1"/>
  <c r="LZ7" i="11" l="1"/>
  <c r="MA9" i="11"/>
  <c r="LZ8" i="11"/>
  <c r="IP7" i="5"/>
  <c r="IQ9" i="5"/>
  <c r="IQ8" i="5" s="1"/>
  <c r="MA8" i="11" l="1"/>
  <c r="MB9" i="11"/>
  <c r="MA7" i="11"/>
  <c r="IQ7" i="5"/>
  <c r="IR9" i="5"/>
  <c r="IR8" i="5" s="1"/>
  <c r="MB7" i="11" l="1"/>
  <c r="MB8" i="11"/>
  <c r="MC9" i="11"/>
  <c r="LW5" i="11"/>
  <c r="LW4" i="11"/>
  <c r="IS9" i="5"/>
  <c r="IS8" i="5" s="1"/>
  <c r="IR7" i="5"/>
  <c r="MD9" i="11" l="1"/>
  <c r="MC8" i="11"/>
  <c r="MC7" i="11"/>
  <c r="IT9" i="5"/>
  <c r="IT8" i="5" s="1"/>
  <c r="IS7" i="5"/>
  <c r="ME9" i="11" l="1"/>
  <c r="MD7" i="11"/>
  <c r="MD8" i="11"/>
  <c r="IT7" i="5"/>
  <c r="IU9" i="5"/>
  <c r="IU8" i="5" s="1"/>
  <c r="MF9" i="11" l="1"/>
  <c r="ME8" i="11"/>
  <c r="ME7" i="11"/>
  <c r="IV9" i="5"/>
  <c r="IV8" i="5" s="1"/>
  <c r="IU7" i="5"/>
  <c r="MF8" i="11" l="1"/>
  <c r="MG9" i="11"/>
  <c r="MF7" i="11"/>
  <c r="IQ5" i="5"/>
  <c r="IQ4" i="5"/>
  <c r="IW9" i="5"/>
  <c r="IW8" i="5" s="1"/>
  <c r="IV7" i="5"/>
  <c r="MH9" i="11" l="1"/>
  <c r="MG7" i="11"/>
  <c r="MG8" i="11"/>
  <c r="IX9" i="5"/>
  <c r="IX8" i="5" s="1"/>
  <c r="IW7" i="5"/>
  <c r="MH8" i="11" l="1"/>
  <c r="MH7" i="11"/>
  <c r="MI9" i="11"/>
  <c r="IY9" i="5"/>
  <c r="IY8" i="5" s="1"/>
  <c r="IX7" i="5"/>
  <c r="MJ9" i="11" l="1"/>
  <c r="MD5" i="11"/>
  <c r="MI8" i="11"/>
  <c r="MI7" i="11"/>
  <c r="MD4" i="11"/>
  <c r="IZ9" i="5"/>
  <c r="IZ8" i="5" s="1"/>
  <c r="IY7" i="5"/>
  <c r="MK9" i="11" l="1"/>
  <c r="MJ8" i="11"/>
  <c r="MJ7" i="11"/>
  <c r="JA9" i="5"/>
  <c r="JA8" i="5" s="1"/>
  <c r="IZ7" i="5"/>
  <c r="MK7" i="11" l="1"/>
  <c r="ML9" i="11"/>
  <c r="MK8" i="11"/>
  <c r="JA7" i="5"/>
  <c r="JB9" i="5"/>
  <c r="JB8" i="5" s="1"/>
  <c r="MM9" i="11" l="1"/>
  <c r="ML8" i="11"/>
  <c r="ML7" i="11"/>
  <c r="JB7" i="5"/>
  <c r="JC9" i="5"/>
  <c r="JC8" i="5" s="1"/>
  <c r="MN9" i="11" l="1"/>
  <c r="MM7" i="11"/>
  <c r="MM8" i="11"/>
  <c r="IX5" i="5"/>
  <c r="IX4" i="5"/>
  <c r="JC7" i="5"/>
  <c r="JD9" i="5"/>
  <c r="JD8" i="5" s="1"/>
  <c r="MN8" i="11" l="1"/>
  <c r="MN7" i="11"/>
  <c r="MO9" i="11"/>
  <c r="JD7" i="5"/>
  <c r="JE9" i="5"/>
  <c r="JE8" i="5" s="1"/>
  <c r="MP9" i="11" l="1"/>
  <c r="MO8" i="11"/>
  <c r="MO7" i="11"/>
  <c r="JE7" i="5"/>
  <c r="JF9" i="5"/>
  <c r="JF8" i="5" s="1"/>
  <c r="MQ9" i="11" l="1"/>
  <c r="MK5" i="11"/>
  <c r="MP7" i="11"/>
  <c r="MK4" i="11"/>
  <c r="MP8" i="11"/>
  <c r="JF7" i="5"/>
  <c r="JG9" i="5"/>
  <c r="JG8" i="5" s="1"/>
  <c r="MQ8" i="11" l="1"/>
  <c r="MR9" i="11"/>
  <c r="MQ7" i="11"/>
  <c r="JG7" i="5"/>
  <c r="JH9" i="5"/>
  <c r="JH8" i="5" s="1"/>
  <c r="MS9" i="11" l="1"/>
  <c r="MR7" i="11"/>
  <c r="MR8" i="11"/>
  <c r="JI9" i="5"/>
  <c r="JI8" i="5" s="1"/>
  <c r="JH7" i="5"/>
  <c r="MS7" i="11" l="1"/>
  <c r="MS8" i="11"/>
  <c r="MT9" i="11"/>
  <c r="JJ9" i="5"/>
  <c r="JJ8" i="5" s="1"/>
  <c r="JI7" i="5"/>
  <c r="MT8" i="11" l="1"/>
  <c r="MT7" i="11"/>
  <c r="MU9" i="11"/>
  <c r="JE5" i="5"/>
  <c r="JE4" i="5"/>
  <c r="JJ7" i="5"/>
  <c r="JK9" i="5"/>
  <c r="JK8" i="5" s="1"/>
  <c r="MV9" i="11" l="1"/>
  <c r="MU8" i="11"/>
  <c r="MU7" i="11"/>
  <c r="JL9" i="5"/>
  <c r="JL8" i="5" s="1"/>
  <c r="JK7" i="5"/>
  <c r="MV7" i="11" l="1"/>
  <c r="MW9" i="11"/>
  <c r="MV8" i="11"/>
  <c r="JM9" i="5"/>
  <c r="JM8" i="5" s="1"/>
  <c r="JL7" i="5"/>
  <c r="MX9" i="11" l="1"/>
  <c r="MW8" i="11"/>
  <c r="MR5" i="11"/>
  <c r="MW7" i="11"/>
  <c r="MR4" i="11"/>
  <c r="JN9" i="5"/>
  <c r="JN8" i="5" s="1"/>
  <c r="JM7" i="5"/>
  <c r="MX7" i="11" l="1"/>
  <c r="MX8" i="11"/>
  <c r="MY9" i="11"/>
  <c r="JO9" i="5"/>
  <c r="JO8" i="5" s="1"/>
  <c r="JN7" i="5"/>
  <c r="MY8" i="11" l="1"/>
  <c r="MY7" i="11"/>
  <c r="MZ9" i="11"/>
  <c r="JP9" i="5"/>
  <c r="JP8" i="5" s="1"/>
  <c r="JO7" i="5"/>
  <c r="NA9" i="11" l="1"/>
  <c r="MZ8" i="11"/>
  <c r="MZ7" i="11"/>
  <c r="JQ9" i="5"/>
  <c r="JQ8" i="5" s="1"/>
  <c r="JP7" i="5"/>
  <c r="NA7" i="11" l="1"/>
  <c r="NA8" i="11"/>
  <c r="NB9" i="11"/>
  <c r="JL5" i="5"/>
  <c r="JL4" i="5"/>
  <c r="JR9" i="5"/>
  <c r="JR8" i="5" s="1"/>
  <c r="JQ7" i="5"/>
  <c r="NC9" i="11" l="1"/>
  <c r="NB7" i="11"/>
  <c r="NB8" i="11"/>
  <c r="JR7" i="5"/>
  <c r="JS9" i="5"/>
  <c r="JS8" i="5" s="1"/>
  <c r="NC8" i="11" l="1"/>
  <c r="ND9" i="11"/>
  <c r="NC7" i="11"/>
  <c r="JS7" i="5"/>
  <c r="JT9" i="5"/>
  <c r="JT8" i="5" s="1"/>
  <c r="ND8" i="11" l="1"/>
  <c r="NE9" i="11"/>
  <c r="MY5" i="11"/>
  <c r="ND7" i="11"/>
  <c r="MY4" i="11"/>
  <c r="JT7" i="5"/>
  <c r="JU9" i="5"/>
  <c r="JU8" i="5" s="1"/>
  <c r="NE7" i="11" l="1"/>
  <c r="NF9" i="11"/>
  <c r="NE8" i="11"/>
  <c r="JU7" i="5"/>
  <c r="JV9" i="5"/>
  <c r="JV8" i="5" s="1"/>
  <c r="NG9" i="11" l="1"/>
  <c r="NF8" i="11"/>
  <c r="NF7" i="11"/>
  <c r="JV7" i="5"/>
  <c r="JW9" i="5"/>
  <c r="JW8" i="5" s="1"/>
  <c r="NG8" i="11" l="1"/>
  <c r="NH9" i="11"/>
  <c r="NG7" i="11"/>
  <c r="JW7" i="5"/>
  <c r="JX9" i="5"/>
  <c r="JX8" i="5" s="1"/>
  <c r="NH7" i="11" l="1"/>
  <c r="NI9" i="11"/>
  <c r="NH8" i="11"/>
  <c r="JS5" i="5"/>
  <c r="JS4" i="5"/>
  <c r="JY9" i="5"/>
  <c r="JY8" i="5" s="1"/>
  <c r="JX7" i="5"/>
  <c r="NJ9" i="11" l="1"/>
  <c r="NI7" i="11"/>
  <c r="NI8" i="11"/>
  <c r="JZ9" i="5"/>
  <c r="JZ8" i="5" s="1"/>
  <c r="JY7" i="5"/>
  <c r="NK9" i="11" l="1"/>
  <c r="NJ8" i="11"/>
  <c r="NJ7" i="11"/>
  <c r="JZ7" i="5"/>
  <c r="KA9" i="5"/>
  <c r="KA8" i="5" s="1"/>
  <c r="NL9" i="11" l="1"/>
  <c r="NF5" i="11"/>
  <c r="NK7" i="11"/>
  <c r="NF4" i="11"/>
  <c r="NK8" i="11"/>
  <c r="KB9" i="5"/>
  <c r="KB8" i="5" s="1"/>
  <c r="KA7" i="5"/>
  <c r="NM9" i="11" l="1"/>
  <c r="NL8" i="11"/>
  <c r="NL7" i="11"/>
  <c r="KC9" i="5"/>
  <c r="KC8" i="5" s="1"/>
  <c r="KB7" i="5"/>
  <c r="NM8" i="11" l="1"/>
  <c r="NM7" i="11"/>
  <c r="NN9" i="11"/>
  <c r="KD9" i="5"/>
  <c r="KD8" i="5" s="1"/>
  <c r="KC7" i="5"/>
  <c r="NO9" i="11" l="1"/>
  <c r="NN8" i="11"/>
  <c r="NN7" i="11"/>
  <c r="KE9" i="5"/>
  <c r="KE8" i="5" s="1"/>
  <c r="KD7" i="5"/>
  <c r="NO8" i="11" l="1"/>
  <c r="NO7" i="11"/>
  <c r="NP9" i="11"/>
  <c r="JZ5" i="5"/>
  <c r="JZ4" i="5"/>
  <c r="KF9" i="5"/>
  <c r="KF8" i="5" s="1"/>
  <c r="KE7" i="5"/>
  <c r="NQ9" i="11" l="1"/>
  <c r="NP8" i="11"/>
  <c r="NP7" i="11"/>
  <c r="KG9" i="5"/>
  <c r="KG8" i="5" s="1"/>
  <c r="KF7" i="5"/>
  <c r="NR9" i="11" l="1"/>
  <c r="NQ8" i="11"/>
  <c r="NQ7" i="11"/>
  <c r="KG7" i="5"/>
  <c r="KH9" i="5"/>
  <c r="KH8" i="5" s="1"/>
  <c r="NS9" i="11" l="1"/>
  <c r="NM5" i="11"/>
  <c r="NR7" i="11"/>
  <c r="NM4" i="11"/>
  <c r="NR8" i="11"/>
  <c r="KH7" i="5"/>
  <c r="KI9" i="5"/>
  <c r="KI8" i="5" s="1"/>
  <c r="NS8" i="11" l="1"/>
  <c r="NS7" i="11"/>
  <c r="NT9" i="11"/>
  <c r="KI7" i="5"/>
  <c r="KJ9" i="5"/>
  <c r="KJ8" i="5" s="1"/>
  <c r="NT8" i="11" l="1"/>
  <c r="NT7" i="11"/>
  <c r="NU9" i="11"/>
  <c r="KJ7" i="5"/>
  <c r="KK9" i="5"/>
  <c r="KK8" i="5" s="1"/>
  <c r="NU7" i="11" l="1"/>
  <c r="NU8" i="11"/>
  <c r="NV9" i="11"/>
  <c r="KK7" i="5"/>
  <c r="KL9" i="5"/>
  <c r="KL8" i="5" s="1"/>
  <c r="NV7" i="11" l="1"/>
  <c r="NW9" i="11"/>
  <c r="NV8" i="11"/>
  <c r="KG5" i="5"/>
  <c r="KG4" i="5"/>
  <c r="KL7" i="5"/>
  <c r="KM9" i="5"/>
  <c r="KM8" i="5" s="1"/>
  <c r="NW8" i="11" l="1"/>
  <c r="NX9" i="11"/>
  <c r="NW7" i="11"/>
  <c r="KM7" i="5"/>
  <c r="KN9" i="5"/>
  <c r="KN8" i="5" s="1"/>
  <c r="NX7" i="11" l="1"/>
  <c r="NX8" i="11"/>
  <c r="NY9" i="11"/>
  <c r="KO9" i="5"/>
  <c r="KO8" i="5" s="1"/>
  <c r="KN7" i="5"/>
  <c r="NT4" i="11" l="1"/>
  <c r="NY8" i="11"/>
  <c r="NZ9" i="11"/>
  <c r="NY7" i="11"/>
  <c r="NT5" i="11"/>
  <c r="KP9" i="5"/>
  <c r="KP8" i="5" s="1"/>
  <c r="KO7" i="5"/>
  <c r="NZ8" i="11" l="1"/>
  <c r="NZ7" i="11"/>
  <c r="W11" i="11"/>
  <c r="KP7" i="5"/>
  <c r="KQ9" i="5"/>
  <c r="KQ8" i="5" s="1"/>
  <c r="X135" i="11" l="1"/>
  <c r="Y135" i="11" s="1"/>
  <c r="X155" i="11"/>
  <c r="Y155" i="11" s="1"/>
  <c r="X151" i="11"/>
  <c r="Y151" i="11" s="1"/>
  <c r="X140" i="11"/>
  <c r="Y140" i="11" s="1"/>
  <c r="X124" i="11"/>
  <c r="Y124" i="11" s="1"/>
  <c r="X92" i="11"/>
  <c r="Y92" i="11" s="1"/>
  <c r="X82" i="11"/>
  <c r="Y82" i="11" s="1"/>
  <c r="X79" i="11"/>
  <c r="Y79" i="11" s="1"/>
  <c r="X49" i="11"/>
  <c r="Y49" i="11" s="1"/>
  <c r="X32" i="11"/>
  <c r="Y32" i="11" s="1"/>
  <c r="X120" i="11"/>
  <c r="Y120" i="11" s="1"/>
  <c r="X104" i="11"/>
  <c r="Y104" i="11" s="1"/>
  <c r="X98" i="11"/>
  <c r="Y98" i="11" s="1"/>
  <c r="X93" i="11"/>
  <c r="Y93" i="11" s="1"/>
  <c r="X27" i="11"/>
  <c r="Y27" i="11" s="1"/>
  <c r="X153" i="11"/>
  <c r="Y153" i="11" s="1"/>
  <c r="X138" i="11"/>
  <c r="Y138" i="11" s="1"/>
  <c r="X111" i="11"/>
  <c r="Y111" i="11" s="1"/>
  <c r="X75" i="11"/>
  <c r="Y75" i="11" s="1"/>
  <c r="X53" i="11"/>
  <c r="Y53" i="11" s="1"/>
  <c r="X24" i="11"/>
  <c r="Y24" i="11" s="1"/>
  <c r="X118" i="11"/>
  <c r="Y118" i="11" s="1"/>
  <c r="X106" i="11"/>
  <c r="Y106" i="11" s="1"/>
  <c r="X100" i="11"/>
  <c r="Y100" i="11" s="1"/>
  <c r="X67" i="11"/>
  <c r="Y67" i="11" s="1"/>
  <c r="X59" i="11"/>
  <c r="Y59" i="11" s="1"/>
  <c r="X39" i="11"/>
  <c r="Y39" i="11" s="1"/>
  <c r="X34" i="11"/>
  <c r="Y34" i="11" s="1"/>
  <c r="X20" i="11"/>
  <c r="Y20" i="11" s="1"/>
  <c r="X16" i="11"/>
  <c r="Y16" i="11" s="1"/>
  <c r="X160" i="11"/>
  <c r="Y160" i="11" s="1"/>
  <c r="X154" i="11"/>
  <c r="Y154" i="11" s="1"/>
  <c r="X144" i="11"/>
  <c r="Y144" i="11" s="1"/>
  <c r="X139" i="11"/>
  <c r="Y139" i="11" s="1"/>
  <c r="X132" i="11"/>
  <c r="Y132" i="11" s="1"/>
  <c r="X133" i="11"/>
  <c r="Y133" i="11" s="1"/>
  <c r="X119" i="11"/>
  <c r="Y119" i="11" s="1"/>
  <c r="X101" i="11"/>
  <c r="Y101" i="11" s="1"/>
  <c r="X96" i="11"/>
  <c r="Y96" i="11" s="1"/>
  <c r="X54" i="11"/>
  <c r="Y54" i="11" s="1"/>
  <c r="X40" i="11"/>
  <c r="Y40" i="11" s="1"/>
  <c r="X25" i="11"/>
  <c r="Y25" i="11" s="1"/>
  <c r="X17" i="11"/>
  <c r="Y17" i="11" s="1"/>
  <c r="X161" i="11"/>
  <c r="Y161" i="11" s="1"/>
  <c r="X149" i="11"/>
  <c r="Y149" i="11" s="1"/>
  <c r="X145" i="11"/>
  <c r="Y145" i="11" s="1"/>
  <c r="X127" i="11"/>
  <c r="Y127" i="11" s="1"/>
  <c r="X122" i="11"/>
  <c r="Y122" i="11" s="1"/>
  <c r="X86" i="11"/>
  <c r="Y86" i="11" s="1"/>
  <c r="X60" i="11"/>
  <c r="Y60" i="11" s="1"/>
  <c r="X35" i="11"/>
  <c r="Y35" i="11" s="1"/>
  <c r="X162" i="11"/>
  <c r="Y162" i="11" s="1"/>
  <c r="X131" i="11"/>
  <c r="Y131" i="11" s="1"/>
  <c r="X123" i="11"/>
  <c r="Y123" i="11" s="1"/>
  <c r="X137" i="11"/>
  <c r="Y137" i="11" s="1"/>
  <c r="X105" i="11"/>
  <c r="Y105" i="11" s="1"/>
  <c r="X74" i="11"/>
  <c r="Y74" i="11" s="1"/>
  <c r="X108" i="11"/>
  <c r="Y108" i="11" s="1"/>
  <c r="X103" i="11"/>
  <c r="Y103" i="11" s="1"/>
  <c r="X85" i="11"/>
  <c r="Y85" i="11" s="1"/>
  <c r="X80" i="11"/>
  <c r="Y80" i="11" s="1"/>
  <c r="X26" i="11"/>
  <c r="Y26" i="11" s="1"/>
  <c r="X143" i="11"/>
  <c r="Y143" i="11" s="1"/>
  <c r="X109" i="11"/>
  <c r="Y109" i="11" s="1"/>
  <c r="X83" i="11"/>
  <c r="Y83" i="11" s="1"/>
  <c r="X62" i="11"/>
  <c r="Y62" i="11" s="1"/>
  <c r="X147" i="11"/>
  <c r="Y147" i="11" s="1"/>
  <c r="X94" i="11"/>
  <c r="Y94" i="11" s="1"/>
  <c r="X91" i="11"/>
  <c r="Y91" i="11" s="1"/>
  <c r="X165" i="11"/>
  <c r="Y165" i="11" s="1"/>
  <c r="X141" i="11"/>
  <c r="Y141" i="11" s="1"/>
  <c r="X102" i="11"/>
  <c r="Y102" i="11" s="1"/>
  <c r="X117" i="11"/>
  <c r="Y117" i="11" s="1"/>
  <c r="X112" i="11"/>
  <c r="Y112" i="11" s="1"/>
  <c r="X47" i="11"/>
  <c r="Y47" i="11" s="1"/>
  <c r="X156" i="11"/>
  <c r="Y156" i="11" s="1"/>
  <c r="X33" i="11"/>
  <c r="Y33" i="11" s="1"/>
  <c r="X148" i="11"/>
  <c r="Y148" i="11" s="1"/>
  <c r="X84" i="11"/>
  <c r="Y84" i="11" s="1"/>
  <c r="X64" i="11"/>
  <c r="Y64" i="11" s="1"/>
  <c r="X95" i="11"/>
  <c r="Y95" i="11" s="1"/>
  <c r="X142" i="11"/>
  <c r="Y142" i="11" s="1"/>
  <c r="X55" i="11"/>
  <c r="Y55" i="11" s="1"/>
  <c r="X116" i="11"/>
  <c r="Y116" i="11" s="1"/>
  <c r="X50" i="11"/>
  <c r="Y50" i="11" s="1"/>
  <c r="X152" i="11"/>
  <c r="Y152" i="11" s="1"/>
  <c r="X150" i="11"/>
  <c r="Y150" i="11" s="1"/>
  <c r="X110" i="11"/>
  <c r="Y110" i="11" s="1"/>
  <c r="X99" i="11"/>
  <c r="Y99" i="11" s="1"/>
  <c r="X69" i="11"/>
  <c r="Y69" i="11" s="1"/>
  <c r="X23" i="11"/>
  <c r="Y23" i="11" s="1"/>
  <c r="X134" i="11"/>
  <c r="Y134" i="11" s="1"/>
  <c r="X87" i="11"/>
  <c r="Y87" i="11" s="1"/>
  <c r="X56" i="11"/>
  <c r="Y56" i="11" s="1"/>
  <c r="X37" i="11"/>
  <c r="Y37" i="11" s="1"/>
  <c r="X21" i="11"/>
  <c r="Y21" i="11" s="1"/>
  <c r="X48" i="11"/>
  <c r="Y48" i="11" s="1"/>
  <c r="X58" i="11"/>
  <c r="Y58" i="11" s="1"/>
  <c r="X81" i="11"/>
  <c r="Y81" i="11" s="1"/>
  <c r="X65" i="11"/>
  <c r="Y65" i="11" s="1"/>
  <c r="X36" i="11"/>
  <c r="Y36" i="11" s="1"/>
  <c r="X159" i="11"/>
  <c r="Y159" i="11" s="1"/>
  <c r="X68" i="11"/>
  <c r="Y68" i="11" s="1"/>
  <c r="X38" i="11"/>
  <c r="Y38" i="11" s="1"/>
  <c r="X136" i="11"/>
  <c r="Y136" i="11" s="1"/>
  <c r="X66" i="11"/>
  <c r="Y66" i="11" s="1"/>
  <c r="X15" i="11"/>
  <c r="Y15" i="11" s="1"/>
  <c r="X57" i="11"/>
  <c r="Y57" i="11" s="1"/>
  <c r="X146" i="11"/>
  <c r="Y146" i="11" s="1"/>
  <c r="X70" i="11"/>
  <c r="Y70" i="11" s="1"/>
  <c r="X63" i="11"/>
  <c r="Y63" i="11" s="1"/>
  <c r="X30" i="11"/>
  <c r="Y30" i="11" s="1"/>
  <c r="X29" i="11"/>
  <c r="Y29" i="11" s="1"/>
  <c r="X31" i="11"/>
  <c r="Y31" i="11" s="1"/>
  <c r="X28" i="11"/>
  <c r="Y28" i="11" s="1"/>
  <c r="W144" i="11"/>
  <c r="W64" i="11"/>
  <c r="W132" i="11"/>
  <c r="W160" i="11"/>
  <c r="W123" i="11"/>
  <c r="W92" i="11"/>
  <c r="W146" i="11"/>
  <c r="W135" i="11"/>
  <c r="W82" i="11"/>
  <c r="W162" i="11"/>
  <c r="W34" i="11"/>
  <c r="W26" i="11"/>
  <c r="W32" i="11"/>
  <c r="W137" i="11"/>
  <c r="W145" i="11"/>
  <c r="W111" i="11"/>
  <c r="W83" i="11"/>
  <c r="W84" i="11"/>
  <c r="W68" i="11"/>
  <c r="W117" i="11"/>
  <c r="W142" i="11"/>
  <c r="W165" i="11"/>
  <c r="W106" i="11"/>
  <c r="W79" i="11"/>
  <c r="W29" i="11"/>
  <c r="W110" i="11"/>
  <c r="W80" i="11"/>
  <c r="W118" i="11"/>
  <c r="W138" i="11"/>
  <c r="W155" i="11"/>
  <c r="W156" i="11"/>
  <c r="W17" i="11"/>
  <c r="W105" i="11"/>
  <c r="W57" i="11"/>
  <c r="W39" i="11"/>
  <c r="W131" i="11"/>
  <c r="W98" i="11"/>
  <c r="W149" i="11"/>
  <c r="W119" i="11"/>
  <c r="W101" i="11"/>
  <c r="W91" i="11"/>
  <c r="W31" i="11"/>
  <c r="W27" i="11"/>
  <c r="W70" i="11"/>
  <c r="W40" i="11"/>
  <c r="W103" i="11"/>
  <c r="W16" i="11"/>
  <c r="W15" i="11"/>
  <c r="W58" i="11"/>
  <c r="W35" i="11"/>
  <c r="W112" i="11"/>
  <c r="W62" i="11"/>
  <c r="W141" i="11"/>
  <c r="W23" i="11"/>
  <c r="W94" i="11"/>
  <c r="W95" i="11"/>
  <c r="W133" i="11"/>
  <c r="W100" i="11"/>
  <c r="W124" i="11"/>
  <c r="W87" i="11"/>
  <c r="W150" i="11"/>
  <c r="W74" i="11"/>
  <c r="W153" i="11"/>
  <c r="W108" i="11"/>
  <c r="W104" i="11"/>
  <c r="W96" i="11"/>
  <c r="W139" i="11"/>
  <c r="W152" i="11"/>
  <c r="W99" i="11"/>
  <c r="W136" i="11"/>
  <c r="W30" i="11"/>
  <c r="W86" i="11"/>
  <c r="W66" i="11"/>
  <c r="W59" i="11"/>
  <c r="W63" i="11"/>
  <c r="W54" i="11"/>
  <c r="W127" i="11"/>
  <c r="W38" i="11"/>
  <c r="W55" i="11"/>
  <c r="W147" i="11"/>
  <c r="W25" i="11"/>
  <c r="W151" i="11"/>
  <c r="W28" i="11"/>
  <c r="W93" i="11"/>
  <c r="W67" i="11"/>
  <c r="W53" i="11"/>
  <c r="W49" i="11"/>
  <c r="W122" i="11"/>
  <c r="W161" i="11"/>
  <c r="W148" i="11"/>
  <c r="W134" i="11"/>
  <c r="W48" i="11"/>
  <c r="W36" i="11"/>
  <c r="W81" i="11"/>
  <c r="W24" i="11"/>
  <c r="W20" i="11"/>
  <c r="W60" i="11"/>
  <c r="W85" i="11"/>
  <c r="W140" i="11"/>
  <c r="W143" i="11"/>
  <c r="W50" i="11"/>
  <c r="W37" i="11"/>
  <c r="W47" i="11"/>
  <c r="W65" i="11"/>
  <c r="W69" i="11"/>
  <c r="W159" i="11"/>
  <c r="W109" i="11"/>
  <c r="W154" i="11"/>
  <c r="W116" i="11"/>
  <c r="W102" i="11"/>
  <c r="W120" i="11"/>
  <c r="W75" i="11"/>
  <c r="W56" i="11"/>
  <c r="W21" i="11"/>
  <c r="W33" i="11"/>
  <c r="KR9" i="5"/>
  <c r="KR8" i="5" s="1"/>
  <c r="KQ7" i="5"/>
  <c r="Y13" i="11" l="1"/>
  <c r="Y46" i="11"/>
  <c r="KS9" i="5"/>
  <c r="KS8" i="5" s="1"/>
  <c r="KR7" i="5"/>
  <c r="KN5" i="5" l="1"/>
  <c r="KN4" i="5"/>
  <c r="KT9" i="5"/>
  <c r="KT8" i="5" s="1"/>
  <c r="KS7" i="5"/>
  <c r="KU9" i="5" l="1"/>
  <c r="KU8" i="5" s="1"/>
  <c r="KT7" i="5"/>
  <c r="KV9" i="5" l="1"/>
  <c r="KV8" i="5" s="1"/>
  <c r="KU7" i="5"/>
  <c r="KW9" i="5" l="1"/>
  <c r="KW8" i="5" s="1"/>
  <c r="KV7" i="5"/>
  <c r="KX9" i="5" l="1"/>
  <c r="KX8" i="5" s="1"/>
  <c r="KW7" i="5"/>
  <c r="KX7" i="5" l="1"/>
  <c r="KY9" i="5"/>
  <c r="KY8" i="5" s="1"/>
  <c r="KY7" i="5" l="1"/>
  <c r="KZ9" i="5"/>
  <c r="KZ8" i="5" s="1"/>
  <c r="KU4" i="5" l="1"/>
  <c r="KU5" i="5"/>
  <c r="KZ7" i="5"/>
  <c r="LA9" i="5"/>
  <c r="LA8" i="5" s="1"/>
  <c r="LA7" i="5" l="1"/>
  <c r="LB9" i="5"/>
  <c r="LB8" i="5" s="1"/>
  <c r="LB7" i="5" l="1"/>
  <c r="LC9" i="5"/>
  <c r="LC8" i="5" s="1"/>
  <c r="LC7" i="5" l="1"/>
  <c r="LD9" i="5"/>
  <c r="LD8" i="5" s="1"/>
  <c r="LE9" i="5" l="1"/>
  <c r="LE8" i="5" s="1"/>
  <c r="LD7" i="5"/>
  <c r="LF9" i="5" l="1"/>
  <c r="LF8" i="5" s="1"/>
  <c r="LE7" i="5"/>
  <c r="LF7" i="5" l="1"/>
  <c r="LG9" i="5"/>
  <c r="LG8" i="5" s="1"/>
  <c r="LB4" i="5" l="1"/>
  <c r="LB5" i="5"/>
  <c r="LH9" i="5"/>
  <c r="LH8" i="5" s="1"/>
  <c r="LG7" i="5"/>
  <c r="LI9" i="5" l="1"/>
  <c r="LI8" i="5" s="1"/>
  <c r="LH7" i="5"/>
  <c r="LJ9" i="5" l="1"/>
  <c r="LJ8" i="5" s="1"/>
  <c r="LI7" i="5"/>
  <c r="LK9" i="5" l="1"/>
  <c r="LK8" i="5" s="1"/>
  <c r="LJ7" i="5"/>
  <c r="LL9" i="5" l="1"/>
  <c r="LL8" i="5" s="1"/>
  <c r="LK7" i="5"/>
  <c r="LM9" i="5" l="1"/>
  <c r="LM8" i="5" s="1"/>
  <c r="LL7" i="5"/>
  <c r="LM7" i="5" l="1"/>
  <c r="LN9" i="5"/>
  <c r="LN8" i="5" s="1"/>
  <c r="LI5" i="5" l="1"/>
  <c r="LI4" i="5"/>
  <c r="LN7" i="5"/>
  <c r="LO9" i="5"/>
  <c r="LO8" i="5" s="1"/>
  <c r="LO7" i="5" l="1"/>
  <c r="LP9" i="5"/>
  <c r="LP8" i="5" s="1"/>
  <c r="LP7" i="5" l="1"/>
  <c r="LQ9" i="5"/>
  <c r="LQ8" i="5" s="1"/>
  <c r="LQ7" i="5" l="1"/>
  <c r="LR9" i="5"/>
  <c r="LR8" i="5" s="1"/>
  <c r="LR7" i="5" l="1"/>
  <c r="LS9" i="5"/>
  <c r="LS8" i="5" s="1"/>
  <c r="LS7" i="5" l="1"/>
  <c r="LT9" i="5"/>
  <c r="LT8" i="5" s="1"/>
  <c r="LU9" i="5" l="1"/>
  <c r="LU8" i="5" s="1"/>
  <c r="LT7" i="5"/>
  <c r="LP4" i="5" l="1"/>
  <c r="LP5" i="5"/>
  <c r="LV9" i="5"/>
  <c r="LV8" i="5" s="1"/>
  <c r="LU7" i="5"/>
  <c r="LV7" i="5" l="1"/>
  <c r="LW9" i="5"/>
  <c r="LW8" i="5" s="1"/>
  <c r="LX9" i="5" l="1"/>
  <c r="LX8" i="5" s="1"/>
  <c r="LW7" i="5"/>
  <c r="LY9" i="5" l="1"/>
  <c r="LY8" i="5" s="1"/>
  <c r="LX7" i="5"/>
  <c r="LZ9" i="5" l="1"/>
  <c r="LZ8" i="5" s="1"/>
  <c r="LY7" i="5"/>
  <c r="MA9" i="5" l="1"/>
  <c r="MA8" i="5" s="1"/>
  <c r="LZ7" i="5"/>
  <c r="MB9" i="5" l="1"/>
  <c r="MB8" i="5" s="1"/>
  <c r="MA7" i="5"/>
  <c r="LW5" i="5" l="1"/>
  <c r="LW4" i="5"/>
  <c r="MC9" i="5"/>
  <c r="MC8" i="5" s="1"/>
  <c r="MB7" i="5"/>
  <c r="MC7" i="5" l="1"/>
  <c r="MD9" i="5"/>
  <c r="MD8" i="5" s="1"/>
  <c r="MD7" i="5" l="1"/>
  <c r="ME9" i="5"/>
  <c r="ME8" i="5" s="1"/>
  <c r="ME7" i="5" l="1"/>
  <c r="MF9" i="5"/>
  <c r="MF8" i="5" s="1"/>
  <c r="MF7" i="5" l="1"/>
  <c r="MG9" i="5"/>
  <c r="MG8" i="5" s="1"/>
  <c r="MG7" i="5" l="1"/>
  <c r="MH9" i="5"/>
  <c r="MH8" i="5" s="1"/>
  <c r="MH7" i="5" l="1"/>
  <c r="MI9" i="5"/>
  <c r="MI8" i="5" s="1"/>
  <c r="MD5" i="5" l="1"/>
  <c r="MD4" i="5"/>
  <c r="MI7" i="5"/>
  <c r="MJ9" i="5"/>
  <c r="MJ8" i="5" s="1"/>
  <c r="MK9" i="5" l="1"/>
  <c r="MK8" i="5" s="1"/>
  <c r="MJ7" i="5"/>
  <c r="ML9" i="5" l="1"/>
  <c r="ML8" i="5" s="1"/>
  <c r="MK7" i="5"/>
  <c r="ML7" i="5" l="1"/>
  <c r="MM9" i="5"/>
  <c r="MM8" i="5" s="1"/>
  <c r="MN9" i="5" l="1"/>
  <c r="MN8" i="5" s="1"/>
  <c r="MM7" i="5"/>
  <c r="MO9" i="5" l="1"/>
  <c r="MO8" i="5" s="1"/>
  <c r="MN7" i="5"/>
  <c r="MP9" i="5" l="1"/>
  <c r="MP8" i="5" s="1"/>
  <c r="MO7" i="5"/>
  <c r="MK5" i="5" l="1"/>
  <c r="MK4" i="5"/>
  <c r="MQ9" i="5"/>
  <c r="MQ8" i="5" s="1"/>
  <c r="MP7" i="5"/>
  <c r="MR9" i="5" l="1"/>
  <c r="MR8" i="5" s="1"/>
  <c r="MQ7" i="5"/>
  <c r="MS9" i="5" l="1"/>
  <c r="MS8" i="5" s="1"/>
  <c r="MR7" i="5"/>
  <c r="MS7" i="5" l="1"/>
  <c r="MT9" i="5"/>
  <c r="MT8" i="5" s="1"/>
  <c r="MT7" i="5" l="1"/>
  <c r="MU9" i="5"/>
  <c r="MU8" i="5" s="1"/>
  <c r="MU7" i="5" l="1"/>
  <c r="MV9" i="5"/>
  <c r="MV8" i="5" s="1"/>
  <c r="MV7" i="5" l="1"/>
  <c r="MW9" i="5"/>
  <c r="MW8" i="5" s="1"/>
  <c r="MR5" i="5" l="1"/>
  <c r="MR4" i="5"/>
  <c r="MW7" i="5"/>
  <c r="MX9" i="5"/>
  <c r="MX8" i="5" s="1"/>
  <c r="MX7" i="5" l="1"/>
  <c r="MY9" i="5"/>
  <c r="MY8" i="5" s="1"/>
  <c r="MY7" i="5" l="1"/>
  <c r="MZ9" i="5"/>
  <c r="MZ8" i="5" s="1"/>
  <c r="NA9" i="5" l="1"/>
  <c r="NA8" i="5" s="1"/>
  <c r="MZ7" i="5"/>
  <c r="NB9" i="5" l="1"/>
  <c r="NB8" i="5" s="1"/>
  <c r="NA7" i="5"/>
  <c r="NB7" i="5" l="1"/>
  <c r="NC9" i="5"/>
  <c r="NC8" i="5" s="1"/>
  <c r="ND9" i="5" l="1"/>
  <c r="ND8" i="5" s="1"/>
  <c r="NC7" i="5"/>
  <c r="MY5" i="5" l="1"/>
  <c r="MY4" i="5"/>
  <c r="NE9" i="5"/>
  <c r="NE8" i="5" s="1"/>
  <c r="ND7" i="5"/>
  <c r="NF9" i="5" l="1"/>
  <c r="NF8" i="5" s="1"/>
  <c r="NE7" i="5"/>
  <c r="NG9" i="5" l="1"/>
  <c r="NG8" i="5" s="1"/>
  <c r="NF7" i="5"/>
  <c r="NH9" i="5" l="1"/>
  <c r="NH8" i="5" s="1"/>
  <c r="NG7" i="5"/>
  <c r="NI9" i="5" l="1"/>
  <c r="NI8" i="5" s="1"/>
  <c r="NH7" i="5"/>
  <c r="NJ9" i="5" l="1"/>
  <c r="NJ8" i="5" s="1"/>
  <c r="NI7" i="5"/>
  <c r="NJ7" i="5" l="1"/>
  <c r="NK9" i="5"/>
  <c r="NK8" i="5" s="1"/>
  <c r="NF5" i="5" l="1"/>
  <c r="NF4" i="5"/>
  <c r="NK7" i="5"/>
  <c r="NL9" i="5"/>
  <c r="NL8" i="5" s="1"/>
  <c r="NL7" i="5" l="1"/>
  <c r="NM9" i="5"/>
  <c r="NM8" i="5" s="1"/>
  <c r="NM7" i="5" l="1"/>
  <c r="NN9" i="5"/>
  <c r="NN8" i="5" s="1"/>
  <c r="NN7" i="5" l="1"/>
  <c r="NO9" i="5"/>
  <c r="NO8" i="5" s="1"/>
  <c r="NO7" i="5" l="1"/>
  <c r="NP9" i="5"/>
  <c r="NP8" i="5" s="1"/>
  <c r="NQ9" i="5" l="1"/>
  <c r="NQ8" i="5" s="1"/>
  <c r="NP7" i="5"/>
  <c r="NR9" i="5" l="1"/>
  <c r="NR8" i="5" s="1"/>
  <c r="NQ7" i="5"/>
  <c r="NM4" i="5" l="1"/>
  <c r="NM5" i="5"/>
  <c r="NR7" i="5"/>
  <c r="NS9" i="5"/>
  <c r="NS8" i="5" s="1"/>
  <c r="NT9" i="5" l="1"/>
  <c r="NT8" i="5" s="1"/>
  <c r="NS7" i="5"/>
  <c r="NU9" i="5" l="1"/>
  <c r="NU8" i="5" s="1"/>
  <c r="NT7" i="5"/>
  <c r="NV9" i="5" l="1"/>
  <c r="NV8" i="5" s="1"/>
  <c r="NU7" i="5"/>
  <c r="NW9" i="5" l="1"/>
  <c r="NW8" i="5" s="1"/>
  <c r="NV7" i="5"/>
  <c r="NX9" i="5" l="1"/>
  <c r="NX8" i="5" s="1"/>
  <c r="NW7" i="5"/>
  <c r="NY9" i="5" l="1"/>
  <c r="NY8" i="5" s="1"/>
  <c r="NX7" i="5"/>
  <c r="NT5" i="5" l="1"/>
  <c r="NT4" i="5"/>
  <c r="NY7" i="5"/>
  <c r="NZ9" i="5"/>
  <c r="NZ8" i="5" l="1"/>
  <c r="W11" i="5"/>
  <c r="NZ7" i="5"/>
  <c r="X153" i="5" l="1"/>
  <c r="Y153" i="5" s="1"/>
  <c r="X145" i="5"/>
  <c r="Y145" i="5" s="1"/>
  <c r="X137" i="5"/>
  <c r="Y137" i="5" s="1"/>
  <c r="X126" i="5"/>
  <c r="Y126" i="5" s="1"/>
  <c r="X115" i="5"/>
  <c r="Y115" i="5" s="1"/>
  <c r="X103" i="5"/>
  <c r="Y103" i="5" s="1"/>
  <c r="X94" i="5"/>
  <c r="Y94" i="5" s="1"/>
  <c r="X83" i="5"/>
  <c r="Y83" i="5" s="1"/>
  <c r="X64" i="5"/>
  <c r="Y64" i="5" s="1"/>
  <c r="X55" i="5"/>
  <c r="Y55" i="5" s="1"/>
  <c r="X46" i="5"/>
  <c r="Y46" i="5" s="1"/>
  <c r="X32" i="5"/>
  <c r="Y32" i="5" s="1"/>
  <c r="X24" i="5"/>
  <c r="Y24" i="5" s="1"/>
  <c r="X160" i="5"/>
  <c r="Y160" i="5" s="1"/>
  <c r="X121" i="5"/>
  <c r="Y121" i="5" s="1"/>
  <c r="X80" i="5"/>
  <c r="Y80" i="5" s="1"/>
  <c r="X52" i="5"/>
  <c r="Y52" i="5" s="1"/>
  <c r="X159" i="5"/>
  <c r="Y159" i="5" s="1"/>
  <c r="X79" i="5"/>
  <c r="Y79" i="5" s="1"/>
  <c r="X19" i="5"/>
  <c r="Y19" i="5" s="1"/>
  <c r="X158" i="5"/>
  <c r="Y158" i="5" s="1"/>
  <c r="X107" i="5"/>
  <c r="Y107" i="5" s="1"/>
  <c r="X78" i="5"/>
  <c r="Y78" i="5" s="1"/>
  <c r="X58" i="5"/>
  <c r="Y58" i="5" s="1"/>
  <c r="X27" i="5"/>
  <c r="Y27" i="5" s="1"/>
  <c r="X164" i="5"/>
  <c r="Y164" i="5" s="1"/>
  <c r="X152" i="5"/>
  <c r="Y152" i="5" s="1"/>
  <c r="X144" i="5"/>
  <c r="Y144" i="5" s="1"/>
  <c r="X136" i="5"/>
  <c r="Y136" i="5" s="1"/>
  <c r="X123" i="5"/>
  <c r="Y123" i="5" s="1"/>
  <c r="X111" i="5"/>
  <c r="Y111" i="5" s="1"/>
  <c r="X102" i="5"/>
  <c r="Y102" i="5" s="1"/>
  <c r="X93" i="5"/>
  <c r="Y93" i="5" s="1"/>
  <c r="X82" i="5"/>
  <c r="Y82" i="5" s="1"/>
  <c r="X63" i="5"/>
  <c r="Y63" i="5" s="1"/>
  <c r="X54" i="5"/>
  <c r="Y54" i="5" s="1"/>
  <c r="X39" i="5"/>
  <c r="Y39" i="5" s="1"/>
  <c r="X31" i="5"/>
  <c r="Y31" i="5" s="1"/>
  <c r="X23" i="5"/>
  <c r="Y23" i="5" s="1"/>
  <c r="X142" i="5"/>
  <c r="Y142" i="5" s="1"/>
  <c r="X134" i="5"/>
  <c r="Y134" i="5" s="1"/>
  <c r="X109" i="5"/>
  <c r="Y109" i="5" s="1"/>
  <c r="X100" i="5"/>
  <c r="Y100" i="5" s="1"/>
  <c r="X91" i="5"/>
  <c r="Y91" i="5" s="1"/>
  <c r="X69" i="5"/>
  <c r="Y69" i="5" s="1"/>
  <c r="X61" i="5"/>
  <c r="Y61" i="5" s="1"/>
  <c r="X37" i="5"/>
  <c r="Y37" i="5" s="1"/>
  <c r="X29" i="5"/>
  <c r="Y29" i="5" s="1"/>
  <c r="X20" i="5"/>
  <c r="Y20" i="5" s="1"/>
  <c r="X149" i="5"/>
  <c r="Y149" i="5" s="1"/>
  <c r="X119" i="5"/>
  <c r="Y119" i="5" s="1"/>
  <c r="X90" i="5"/>
  <c r="Y90" i="5" s="1"/>
  <c r="X59" i="5"/>
  <c r="Y59" i="5" s="1"/>
  <c r="X28" i="5"/>
  <c r="Y28" i="5" s="1"/>
  <c r="X140" i="5"/>
  <c r="Y140" i="5" s="1"/>
  <c r="X118" i="5"/>
  <c r="Y118" i="5" s="1"/>
  <c r="X98" i="5"/>
  <c r="Y98" i="5" s="1"/>
  <c r="X67" i="5"/>
  <c r="Y67" i="5" s="1"/>
  <c r="X35" i="5"/>
  <c r="Y35" i="5" s="1"/>
  <c r="X161" i="5"/>
  <c r="Y161" i="5" s="1"/>
  <c r="X151" i="5"/>
  <c r="Y151" i="5" s="1"/>
  <c r="X143" i="5"/>
  <c r="Y143" i="5" s="1"/>
  <c r="X135" i="5"/>
  <c r="Y135" i="5" s="1"/>
  <c r="X122" i="5"/>
  <c r="Y122" i="5" s="1"/>
  <c r="X110" i="5"/>
  <c r="Y110" i="5" s="1"/>
  <c r="X101" i="5"/>
  <c r="Y101" i="5" s="1"/>
  <c r="X92" i="5"/>
  <c r="Y92" i="5" s="1"/>
  <c r="X81" i="5"/>
  <c r="Y81" i="5" s="1"/>
  <c r="X62" i="5"/>
  <c r="Y62" i="5" s="1"/>
  <c r="X53" i="5"/>
  <c r="Y53" i="5" s="1"/>
  <c r="X38" i="5"/>
  <c r="Y38" i="5" s="1"/>
  <c r="X30" i="5"/>
  <c r="Y30" i="5" s="1"/>
  <c r="X22" i="5"/>
  <c r="Y22" i="5" s="1"/>
  <c r="X150" i="5"/>
  <c r="Y150" i="5" s="1"/>
  <c r="X133" i="5"/>
  <c r="Y133" i="5" s="1"/>
  <c r="X99" i="5"/>
  <c r="Y99" i="5" s="1"/>
  <c r="X132" i="5"/>
  <c r="Y132" i="5" s="1"/>
  <c r="X141" i="5"/>
  <c r="Y141" i="5" s="1"/>
  <c r="X108" i="5"/>
  <c r="Y108" i="5" s="1"/>
  <c r="X68" i="5"/>
  <c r="Y68" i="5" s="1"/>
  <c r="X36" i="5"/>
  <c r="Y36" i="5" s="1"/>
  <c r="X148" i="5"/>
  <c r="Y148" i="5" s="1"/>
  <c r="X86" i="5"/>
  <c r="Y86" i="5" s="1"/>
  <c r="X49" i="5"/>
  <c r="Y49" i="5" s="1"/>
  <c r="X14" i="5"/>
  <c r="Y14" i="5" s="1"/>
  <c r="X146" i="5"/>
  <c r="Y146" i="5" s="1"/>
  <c r="X65" i="5"/>
  <c r="Y65" i="5" s="1"/>
  <c r="X25" i="5"/>
  <c r="Y25" i="5" s="1"/>
  <c r="X155" i="5"/>
  <c r="Y155" i="5" s="1"/>
  <c r="X147" i="5"/>
  <c r="Y147" i="5" s="1"/>
  <c r="X139" i="5"/>
  <c r="Y139" i="5" s="1"/>
  <c r="X131" i="5"/>
  <c r="Y131" i="5" s="1"/>
  <c r="X117" i="5"/>
  <c r="Y117" i="5" s="1"/>
  <c r="X105" i="5"/>
  <c r="Y105" i="5" s="1"/>
  <c r="X97" i="5"/>
  <c r="Y97" i="5" s="1"/>
  <c r="X85" i="5"/>
  <c r="Y85" i="5" s="1"/>
  <c r="X74" i="5"/>
  <c r="Y74" i="5" s="1"/>
  <c r="X66" i="5"/>
  <c r="Y66" i="5" s="1"/>
  <c r="X57" i="5"/>
  <c r="Y57" i="5" s="1"/>
  <c r="X48" i="5"/>
  <c r="Y48" i="5" s="1"/>
  <c r="X34" i="5"/>
  <c r="Y34" i="5" s="1"/>
  <c r="X26" i="5"/>
  <c r="Y26" i="5" s="1"/>
  <c r="X154" i="5"/>
  <c r="Y154" i="5" s="1"/>
  <c r="X138" i="5"/>
  <c r="Y138" i="5" s="1"/>
  <c r="X130" i="5"/>
  <c r="Y130" i="5" s="1"/>
  <c r="G31" i="10" s="1"/>
  <c r="H31" i="10" s="1"/>
  <c r="X116" i="5"/>
  <c r="Y116" i="5" s="1"/>
  <c r="X104" i="5"/>
  <c r="Y104" i="5" s="1"/>
  <c r="X95" i="5"/>
  <c r="Y95" i="5" s="1"/>
  <c r="X84" i="5"/>
  <c r="Y84" i="5" s="1"/>
  <c r="X73" i="5"/>
  <c r="Y73" i="5" s="1"/>
  <c r="X56" i="5"/>
  <c r="Y56" i="5" s="1"/>
  <c r="X47" i="5"/>
  <c r="Y47" i="5" s="1"/>
  <c r="G21" i="10" s="1"/>
  <c r="X33" i="5"/>
  <c r="Y33" i="5" s="1"/>
  <c r="W107" i="5"/>
  <c r="W65" i="5"/>
  <c r="W101" i="5"/>
  <c r="W141" i="5"/>
  <c r="W92" i="5"/>
  <c r="W137" i="5"/>
  <c r="W82" i="5"/>
  <c r="W24" i="5"/>
  <c r="W22" i="5"/>
  <c r="W98" i="5"/>
  <c r="W135" i="5"/>
  <c r="W123" i="5"/>
  <c r="W132" i="5"/>
  <c r="W148" i="5"/>
  <c r="W144" i="5"/>
  <c r="W160" i="5"/>
  <c r="W16" i="5"/>
  <c r="W111" i="5"/>
  <c r="W110" i="5"/>
  <c r="W55" i="5"/>
  <c r="W52" i="5"/>
  <c r="W80" i="5"/>
  <c r="W115" i="5"/>
  <c r="W104" i="5"/>
  <c r="W74" i="5"/>
  <c r="W15" i="5"/>
  <c r="W145" i="5"/>
  <c r="W61" i="5"/>
  <c r="W109" i="5"/>
  <c r="W159" i="5"/>
  <c r="W142" i="5"/>
  <c r="W164" i="5"/>
  <c r="W119" i="5"/>
  <c r="W47" i="5"/>
  <c r="W108" i="5"/>
  <c r="W85" i="5"/>
  <c r="W158" i="5"/>
  <c r="W53" i="5"/>
  <c r="W117" i="5"/>
  <c r="W136" i="5"/>
  <c r="W139" i="5"/>
  <c r="W63" i="5"/>
  <c r="W86" i="5"/>
  <c r="W57" i="5"/>
  <c r="W69" i="5"/>
  <c r="W126" i="5"/>
  <c r="W90" i="5"/>
  <c r="W81" i="5"/>
  <c r="W64" i="5"/>
  <c r="W25" i="5"/>
  <c r="W49" i="5"/>
  <c r="W34" i="5"/>
  <c r="W58" i="5"/>
  <c r="W37" i="5"/>
  <c r="W31" i="5"/>
  <c r="W134" i="5"/>
  <c r="W54" i="5"/>
  <c r="W99" i="5"/>
  <c r="W154" i="5"/>
  <c r="W20" i="5"/>
  <c r="W140" i="5"/>
  <c r="W27" i="5"/>
  <c r="W66" i="5"/>
  <c r="W95" i="5"/>
  <c r="W46" i="5"/>
  <c r="W151" i="5"/>
  <c r="W67" i="5"/>
  <c r="W131" i="5"/>
  <c r="W36" i="5"/>
  <c r="W62" i="5"/>
  <c r="W39" i="5"/>
  <c r="W93" i="5"/>
  <c r="W48" i="5"/>
  <c r="W94" i="5"/>
  <c r="W161" i="5"/>
  <c r="W122" i="5"/>
  <c r="W32" i="5"/>
  <c r="W143" i="5"/>
  <c r="W97" i="5"/>
  <c r="W83" i="5"/>
  <c r="W103" i="5"/>
  <c r="W73" i="5"/>
  <c r="W26" i="5"/>
  <c r="W118" i="5"/>
  <c r="W28" i="5"/>
  <c r="W33" i="5"/>
  <c r="W56" i="5"/>
  <c r="W133" i="5"/>
  <c r="W38" i="5"/>
  <c r="W59" i="5"/>
  <c r="W35" i="5"/>
  <c r="W146" i="5"/>
  <c r="W152" i="5"/>
  <c r="W23" i="5"/>
  <c r="W153" i="5"/>
  <c r="W155" i="5"/>
  <c r="W105" i="5"/>
  <c r="W30" i="5"/>
  <c r="W29" i="5"/>
  <c r="W68" i="5"/>
  <c r="W79" i="5"/>
  <c r="W14" i="5"/>
  <c r="W150" i="5"/>
  <c r="W147" i="5"/>
  <c r="W91" i="5"/>
  <c r="W84" i="5"/>
  <c r="W102" i="5"/>
  <c r="W78" i="5"/>
  <c r="W130" i="5"/>
  <c r="W19" i="5"/>
  <c r="W121" i="5"/>
  <c r="W149" i="5"/>
  <c r="W100" i="5"/>
  <c r="W116" i="5"/>
  <c r="W138" i="5"/>
  <c r="X16" i="5"/>
  <c r="Y16" i="5" s="1"/>
  <c r="X15" i="5"/>
  <c r="Y15" i="5" s="1"/>
  <c r="G27" i="10" l="1"/>
  <c r="H27" i="10" s="1"/>
  <c r="G30" i="10"/>
  <c r="H30" i="10" s="1"/>
  <c r="H21" i="10"/>
  <c r="G26" i="10"/>
  <c r="H26" i="10" s="1"/>
  <c r="G25" i="10"/>
  <c r="G29" i="10"/>
  <c r="G22" i="10"/>
  <c r="H22" i="10" s="1"/>
  <c r="G19" i="10"/>
  <c r="H19" i="10" s="1"/>
  <c r="G17" i="10"/>
  <c r="G23" i="10"/>
  <c r="H23" i="10" s="1"/>
  <c r="G18" i="10"/>
  <c r="H18" i="10" s="1"/>
  <c r="G10" i="10"/>
  <c r="H10" i="10" s="1"/>
  <c r="G11" i="10"/>
  <c r="H11" i="10" s="1"/>
  <c r="G9" i="10"/>
  <c r="Y12" i="5"/>
  <c r="Y45" i="5"/>
  <c r="G16" i="10" l="1"/>
  <c r="H16" i="10" s="1"/>
  <c r="H17" i="10"/>
  <c r="G28" i="10"/>
  <c r="H29" i="10"/>
  <c r="G24" i="10"/>
  <c r="H24" i="10" s="1"/>
  <c r="H25" i="10"/>
  <c r="G20" i="10"/>
  <c r="H20" i="10" s="1"/>
  <c r="H9" i="10"/>
  <c r="G12" i="10"/>
  <c r="H12" i="10" s="1"/>
  <c r="H28" i="10" l="1"/>
  <c r="G32" i="10"/>
  <c r="H32" i="10" s="1"/>
</calcChain>
</file>

<file path=xl/sharedStrings.xml><?xml version="1.0" encoding="utf-8"?>
<sst xmlns="http://schemas.openxmlformats.org/spreadsheetml/2006/main" count="889" uniqueCount="171">
  <si>
    <t>Pos.</t>
  </si>
  <si>
    <t>Beginn
[Datum]</t>
  </si>
  <si>
    <t>Aufgabe/Tätigkeit</t>
  </si>
  <si>
    <t xml:space="preserve">Ende
[Datum]
</t>
  </si>
  <si>
    <t xml:space="preserve">Status 
</t>
  </si>
  <si>
    <t>Anmerkungen</t>
  </si>
  <si>
    <t xml:space="preserve"> E2NS</t>
  </si>
  <si>
    <t>E2 N</t>
  </si>
  <si>
    <t>FT-18</t>
  </si>
  <si>
    <t xml:space="preserve">FT-02 Zigzak </t>
  </si>
  <si>
    <t>Zigzak Mängel (West)</t>
  </si>
  <si>
    <t>Zigzak Mängel (South)</t>
  </si>
  <si>
    <t>Zigzak Mängel (East)</t>
  </si>
  <si>
    <t>WT-1.5</t>
  </si>
  <si>
    <t>FT-05</t>
  </si>
  <si>
    <t>Attika</t>
  </si>
  <si>
    <t>7.OG</t>
  </si>
  <si>
    <t>5.OG</t>
  </si>
  <si>
    <t>3.OG</t>
  </si>
  <si>
    <t>3.OG Attika (West)</t>
  </si>
  <si>
    <t>3.OG Attika (East)</t>
  </si>
  <si>
    <t>E2S Inenhof</t>
  </si>
  <si>
    <t>E2S Exterior</t>
  </si>
  <si>
    <t>Glass installation</t>
  </si>
  <si>
    <t>Garage entrance aluminum cladding (north)</t>
  </si>
  <si>
    <t>Hörmann Door (West)</t>
  </si>
  <si>
    <t>Steel structure</t>
  </si>
  <si>
    <t>Door</t>
  </si>
  <si>
    <t>General – Glass replacement</t>
  </si>
  <si>
    <t>Paint repair and bolt replacement</t>
  </si>
  <si>
    <t>FT-12 - Canopy (Pullman)</t>
  </si>
  <si>
    <t>Steel installation</t>
  </si>
  <si>
    <t>Dorma - Sliding door track installation (East)</t>
  </si>
  <si>
    <t xml:space="preserve">FT-18 </t>
  </si>
  <si>
    <t>Modül installation</t>
  </si>
  <si>
    <t>WT-04</t>
  </si>
  <si>
    <t>Schüco adaptör profile</t>
  </si>
  <si>
    <t>Stone Installation</t>
  </si>
  <si>
    <t>FT-03</t>
  </si>
  <si>
    <t xml:space="preserve">Phonotherm structural board + Flashing Installation. </t>
  </si>
  <si>
    <t>Glass Installation - Pressure + Cover</t>
  </si>
  <si>
    <t>Aluminum sheet under the console end ceramic back, steel construction (East-West)</t>
  </si>
  <si>
    <t>Installation of steel construction behind stone cladding (South)</t>
  </si>
  <si>
    <t>Top Finish Attika (Anc+Const.+Membr+Sheet)  (North)</t>
  </si>
  <si>
    <t>RT-01 Glass Balustrade</t>
  </si>
  <si>
    <t>Aluminum Module</t>
  </si>
  <si>
    <t>E2S Interior</t>
  </si>
  <si>
    <t>Aluminum sheet installation</t>
  </si>
  <si>
    <t>FT-02 Zigzak</t>
  </si>
  <si>
    <t>FT-14</t>
  </si>
  <si>
    <t>FT-06 Pool facade</t>
  </si>
  <si>
    <t>WT-1.6</t>
  </si>
  <si>
    <t>µ</t>
  </si>
  <si>
    <t>Mängel (Galvanized sheet end Membran) (West)</t>
  </si>
  <si>
    <t>Manpower</t>
  </si>
  <si>
    <t>Duration</t>
  </si>
  <si>
    <t>Total Manday</t>
  </si>
  <si>
    <t xml:space="preserve">E2N Outside Windows </t>
  </si>
  <si>
    <t>E2N Courtyard Windows</t>
  </si>
  <si>
    <t xml:space="preserve">Installed Steel Drilling + Paint Touch up </t>
  </si>
  <si>
    <t>Acoustic Roof Secondary Steel Installation</t>
  </si>
  <si>
    <t>Acoustic Roof FT-18 (NTA)</t>
  </si>
  <si>
    <t xml:space="preserve">Aluminium Profiles </t>
  </si>
  <si>
    <t xml:space="preserve">Aluminium Cladding </t>
  </si>
  <si>
    <t>FT16 A + B</t>
  </si>
  <si>
    <t>FT17</t>
  </si>
  <si>
    <t>Brackets</t>
  </si>
  <si>
    <t>Doors</t>
  </si>
  <si>
    <t xml:space="preserve">Terminal Doors </t>
  </si>
  <si>
    <t>Hotel Doors</t>
  </si>
  <si>
    <t>FT03 Acoustic Reinforcement</t>
  </si>
  <si>
    <t>1141 Parcel / Passage and parapet installation (NTA)</t>
  </si>
  <si>
    <t xml:space="preserve">Dismantling of Drywall </t>
  </si>
  <si>
    <t xml:space="preserve">Application of New Membrane </t>
  </si>
  <si>
    <t xml:space="preserve">Installation of New Drywall </t>
  </si>
  <si>
    <t>Responsible</t>
  </si>
  <si>
    <t>Presequities</t>
  </si>
  <si>
    <t>QTY</t>
  </si>
  <si>
    <t xml:space="preserve">Done </t>
  </si>
  <si>
    <t xml:space="preserve">Rem. </t>
  </si>
  <si>
    <t>E2N - E3 Attika Connection Detail (East+North)</t>
  </si>
  <si>
    <t>Trapezoidal sheet installation</t>
  </si>
  <si>
    <t>Module Installation</t>
  </si>
  <si>
    <t xml:space="preserve">Aluminium Substructure </t>
  </si>
  <si>
    <t xml:space="preserve">Roofing Works </t>
  </si>
  <si>
    <t>HOE</t>
  </si>
  <si>
    <t xml:space="preserve">Steel Construction </t>
  </si>
  <si>
    <t xml:space="preserve">Attika Installation </t>
  </si>
  <si>
    <t>New Design</t>
  </si>
  <si>
    <t>Approval by SOB / NTA Approval by URW</t>
  </si>
  <si>
    <t xml:space="preserve">Procurement + Manufacturing </t>
  </si>
  <si>
    <t xml:space="preserve">Installation </t>
  </si>
  <si>
    <t>FT14 Additional Spandrel Panel (NTA)</t>
  </si>
  <si>
    <t>Additional Vent backside of Louver E2S West (NTA)</t>
  </si>
  <si>
    <t xml:space="preserve">Mock-up on Site </t>
  </si>
  <si>
    <t>Approval by SOB/DSI/URW</t>
  </si>
  <si>
    <t xml:space="preserve">Acoustic Testing </t>
  </si>
  <si>
    <t xml:space="preserve">Membrane Control + Rectafication </t>
  </si>
  <si>
    <t xml:space="preserve">Design + Static Calculation </t>
  </si>
  <si>
    <t>Installation</t>
  </si>
  <si>
    <t xml:space="preserve">MEP + Other Works Completion </t>
  </si>
  <si>
    <t>FT-07 Glass Rotation and Gasket replacement (East-West)</t>
  </si>
  <si>
    <t>Breuninger facade –Bottom Al. Finishing Reinforcement</t>
  </si>
  <si>
    <t xml:space="preserve">Documentation + Testing </t>
  </si>
  <si>
    <t xml:space="preserve">WT01 </t>
  </si>
  <si>
    <t>FT08</t>
  </si>
  <si>
    <t>FT07</t>
  </si>
  <si>
    <t>WT04</t>
  </si>
  <si>
    <t>FT15</t>
  </si>
  <si>
    <t>FT06</t>
  </si>
  <si>
    <t>FT03</t>
  </si>
  <si>
    <t>FT09</t>
  </si>
  <si>
    <t>WT01.5</t>
  </si>
  <si>
    <t>FT14</t>
  </si>
  <si>
    <t>Interkom Glasses (NTA)</t>
  </si>
  <si>
    <t>Dismantling of Drywall + Al Sheet</t>
  </si>
  <si>
    <t>Installation of Al. Sheet</t>
  </si>
  <si>
    <t>MYA</t>
  </si>
  <si>
    <t>XXX</t>
  </si>
  <si>
    <t>SOB</t>
  </si>
  <si>
    <t>URW</t>
  </si>
  <si>
    <t>Paint - Touch up</t>
  </si>
  <si>
    <t>Window Handle Installation + Adjustment</t>
  </si>
  <si>
    <t xml:space="preserve">Silicone/Gasket Control + Rectafication </t>
  </si>
  <si>
    <t xml:space="preserve">Interior Membrane Check + Touchup </t>
  </si>
  <si>
    <t>E2N East Stone FT15 Connection Detail</t>
  </si>
  <si>
    <t>FT-13 Canopy – Anodized Al. Sheet Replacement + Cap Replacement</t>
  </si>
  <si>
    <t>RT02 Additional Balustrade Module (NTA)</t>
  </si>
  <si>
    <t>2.4.3.1</t>
  </si>
  <si>
    <t>2.4.3.2</t>
  </si>
  <si>
    <t>2.4.3.3</t>
  </si>
  <si>
    <r>
      <t xml:space="preserve">Brackets </t>
    </r>
    <r>
      <rPr>
        <b/>
        <sz val="11"/>
        <color theme="4" tint="-0.249977111117893"/>
        <rFont val="Calibri"/>
        <family val="2"/>
        <scheme val="minor"/>
      </rPr>
      <t>(NTA)</t>
    </r>
  </si>
  <si>
    <t>Membrane control (Big)</t>
  </si>
  <si>
    <t>Membrane control (Small)</t>
  </si>
  <si>
    <t>Cocoon-Coordination* Depending on them</t>
  </si>
  <si>
    <t>Warehouse + Supervisor</t>
  </si>
  <si>
    <t>Steel substructure for ceramic tile installation (NTA)</t>
  </si>
  <si>
    <t>FT15 Terminal Cable Canals (NTA)</t>
  </si>
  <si>
    <t>x</t>
  </si>
  <si>
    <t>Prerequisites</t>
  </si>
  <si>
    <t>Exterior Access</t>
  </si>
  <si>
    <t>Exterior Manlift Access</t>
  </si>
  <si>
    <t xml:space="preserve">Tower Crane Lifting </t>
  </si>
  <si>
    <t xml:space="preserve">Massive Scafolding </t>
  </si>
  <si>
    <t>Interior Access (Inc. Electricity + HSE Conditions)</t>
  </si>
  <si>
    <t>2,3,4</t>
  </si>
  <si>
    <t xml:space="preserve">Scafolding Build-Up Allowance </t>
  </si>
  <si>
    <t>2,3,4,5</t>
  </si>
  <si>
    <r>
      <t xml:space="preserve">New Design - Coordination with Roofing </t>
    </r>
    <r>
      <rPr>
        <b/>
        <sz val="11"/>
        <color rgb="FFFF0000"/>
        <rFont val="Calibri"/>
        <family val="2"/>
        <scheme val="minor"/>
      </rPr>
      <t>(NTA)</t>
    </r>
  </si>
  <si>
    <t>Scafolding Removal</t>
  </si>
  <si>
    <t>Tower Crane Material Transport to Innenhof</t>
  </si>
  <si>
    <t>2,6,7,8</t>
  </si>
  <si>
    <t>1,2,7,8</t>
  </si>
  <si>
    <t>2,6,8</t>
  </si>
  <si>
    <r>
      <t>Secondary Steel Construction</t>
    </r>
    <r>
      <rPr>
        <b/>
        <sz val="11"/>
        <color rgb="FF0070C0"/>
        <rFont val="Calibri"/>
        <family val="2"/>
        <scheme val="minor"/>
      </rPr>
      <t xml:space="preserve"> (NTA)</t>
    </r>
  </si>
  <si>
    <t>Group</t>
  </si>
  <si>
    <t>A</t>
  </si>
  <si>
    <t>C</t>
  </si>
  <si>
    <t>B</t>
  </si>
  <si>
    <t xml:space="preserve">General Summary </t>
  </si>
  <si>
    <t xml:space="preserve"> Total Manday</t>
  </si>
  <si>
    <t>Progress</t>
  </si>
  <si>
    <t xml:space="preserve">Progress Should be </t>
  </si>
  <si>
    <t>Total Manday x Progress</t>
  </si>
  <si>
    <t>Week Number</t>
  </si>
  <si>
    <t>Total Manday x Progress Should be</t>
  </si>
  <si>
    <t xml:space="preserve">E2N </t>
  </si>
  <si>
    <t>E2S Courtyard</t>
  </si>
  <si>
    <t>Rectafications</t>
  </si>
  <si>
    <t>Contract</t>
  </si>
  <si>
    <t>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</si>
</sst>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;@"/>
    <numFmt numFmtId="165" formatCode="d/m/"/>
    <numFmt numFmtId="166" formatCode="d/m/yy;@"/>
    <numFmt numFmtId="167" formatCode="dd/mm/yy;@"/>
    <numFmt numFmtId="168" formatCode="&quot;KW&quot;\ #,##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3"/>
      <color theme="8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 tint="0.34998626667073579"/>
      <name val="Arial"/>
      <family val="2"/>
    </font>
    <font>
      <b/>
      <sz val="11"/>
      <color theme="1"/>
      <name val="Arial"/>
      <family val="2"/>
    </font>
    <font>
      <b/>
      <sz val="10"/>
      <color theme="1" tint="0.249977111117893"/>
      <name val="Arial"/>
      <family val="2"/>
    </font>
    <font>
      <b/>
      <sz val="13"/>
      <color theme="8" tint="-0.249977111117893"/>
      <name val="Calibri"/>
      <family val="2"/>
      <scheme val="minor"/>
    </font>
    <font>
      <i/>
      <sz val="12"/>
      <color theme="1" tint="0.249977111117893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30"/>
      <color rgb="FF0070C0"/>
      <name val="Calibri"/>
      <family val="2"/>
      <scheme val="minor"/>
    </font>
    <font>
      <u/>
      <sz val="10"/>
      <color rgb="FF00B050"/>
      <name val="Calibri"/>
      <family val="2"/>
      <scheme val="minor"/>
    </font>
    <font>
      <sz val="9"/>
      <color rgb="FF0070C0"/>
      <name val="Arial"/>
      <family val="2"/>
    </font>
    <font>
      <b/>
      <sz val="28"/>
      <color theme="8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7"/>
      <color rgb="FF0070C0"/>
      <name val="Calibri"/>
      <family val="2"/>
      <scheme val="minor"/>
    </font>
    <font>
      <sz val="12"/>
      <color rgb="FFC00000"/>
      <name val="Wingdings"/>
      <charset val="2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u/>
      <sz val="10"/>
      <color theme="1" tint="0.249977111117893"/>
      <name val="Arial"/>
      <family val="2"/>
    </font>
    <font>
      <sz val="11"/>
      <color theme="1"/>
      <name val="Bahnschrift"/>
      <family val="2"/>
    </font>
    <font>
      <b/>
      <u/>
      <sz val="11"/>
      <color theme="1"/>
      <name val="Bahnschrift"/>
      <family val="2"/>
    </font>
    <font>
      <b/>
      <sz val="11"/>
      <color theme="1"/>
      <name val="Bahnschrift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0" tint="-0.34998626667073579"/>
      </left>
      <right style="thin">
        <color theme="0"/>
      </right>
      <top/>
      <bottom style="thin">
        <color theme="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2"/>
      </top>
      <bottom style="thin">
        <color theme="2"/>
      </bottom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2"/>
      </bottom>
      <diagonal/>
    </border>
    <border>
      <left style="thin">
        <color theme="0" tint="-0.34998626667073579"/>
      </left>
      <right style="thin">
        <color theme="0"/>
      </right>
      <top/>
      <bottom style="thin">
        <color theme="0" tint="-0.34998626667073579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rgb="FF0070C0"/>
      </top>
      <bottom style="thin">
        <color theme="2"/>
      </bottom>
      <diagonal/>
    </border>
    <border>
      <left style="medium">
        <color theme="8"/>
      </left>
      <right style="hair">
        <color theme="0" tint="-0.34998626667073579"/>
      </right>
      <top style="medium">
        <color rgb="FF0070C0"/>
      </top>
      <bottom style="thin">
        <color rgb="FF0070C0"/>
      </bottom>
      <diagonal/>
    </border>
    <border>
      <left style="medium">
        <color theme="8"/>
      </left>
      <right style="hair">
        <color theme="0" tint="-0.34998626667073579"/>
      </right>
      <top style="thin">
        <color theme="8"/>
      </top>
      <bottom style="medium">
        <color theme="8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8"/>
      </top>
      <bottom style="medium">
        <color theme="8"/>
      </bottom>
      <diagonal/>
    </border>
    <border>
      <left style="medium">
        <color rgb="FF0070C0"/>
      </left>
      <right style="hair">
        <color theme="0" tint="-0.34998626667073579"/>
      </right>
      <top/>
      <bottom style="thin">
        <color theme="2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medium">
        <color theme="8"/>
      </right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hair">
        <color theme="0" tint="-0.34998626667073579"/>
      </right>
      <top style="thin">
        <color theme="2"/>
      </top>
      <bottom/>
      <diagonal/>
    </border>
    <border>
      <left style="hair">
        <color theme="0" tint="-0.34998626667073579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hair">
        <color theme="0" tint="-0.34998626667073579"/>
      </right>
      <top/>
      <bottom style="thin">
        <color theme="2"/>
      </bottom>
      <diagonal/>
    </border>
    <border>
      <left style="hair">
        <color theme="0" tint="-0.34998626667073579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hair">
        <color theme="0" tint="-0.34998626667073579"/>
      </right>
      <top style="thin">
        <color theme="2"/>
      </top>
      <bottom style="thin">
        <color theme="2"/>
      </bottom>
      <diagonal/>
    </border>
    <border>
      <left style="hair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hair">
        <color rgb="FF0070C0"/>
      </left>
      <right/>
      <top style="medium">
        <color rgb="FF0070C0"/>
      </top>
      <bottom style="medium">
        <color rgb="FF0070C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9" fillId="2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14" fillId="0" borderId="0" xfId="0" applyFont="1" applyAlignment="1">
      <alignment horizontal="right" indent="1"/>
    </xf>
    <xf numFmtId="165" fontId="17" fillId="5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2" applyFont="1" applyFill="1" applyAlignment="1">
      <alignment horizontal="right" vertical="center" wrapText="1"/>
    </xf>
    <xf numFmtId="14" fontId="13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0" xfId="0" applyFont="1" applyAlignment="1">
      <alignment horizontal="left" indent="1"/>
    </xf>
    <xf numFmtId="9" fontId="6" fillId="0" borderId="11" xfId="1" applyFont="1" applyFill="1" applyBorder="1" applyAlignment="1" applyProtection="1">
      <alignment horizontal="center" vertical="center"/>
      <protection locked="0"/>
    </xf>
    <xf numFmtId="166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166" fontId="6" fillId="2" borderId="8" xfId="0" applyNumberFormat="1" applyFont="1" applyFill="1" applyBorder="1" applyAlignment="1">
      <alignment horizontal="center" vertical="center"/>
    </xf>
    <xf numFmtId="9" fontId="6" fillId="0" borderId="8" xfId="1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alignment horizontal="left" vertical="center"/>
      <protection locked="0"/>
    </xf>
    <xf numFmtId="166" fontId="6" fillId="0" borderId="17" xfId="0" applyNumberFormat="1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166" fontId="6" fillId="2" borderId="17" xfId="0" applyNumberFormat="1" applyFont="1" applyFill="1" applyBorder="1" applyAlignment="1">
      <alignment horizontal="center" vertical="center"/>
    </xf>
    <xf numFmtId="9" fontId="6" fillId="0" borderId="17" xfId="1" applyFont="1" applyFill="1" applyBorder="1" applyAlignment="1" applyProtection="1">
      <alignment horizontal="center" vertical="center"/>
      <protection locked="0"/>
    </xf>
    <xf numFmtId="49" fontId="24" fillId="0" borderId="18" xfId="0" applyNumberFormat="1" applyFont="1" applyBorder="1" applyAlignment="1">
      <alignment horizontal="left" vertical="center"/>
    </xf>
    <xf numFmtId="0" fontId="23" fillId="0" borderId="8" xfId="0" applyFont="1" applyBorder="1" applyAlignment="1" applyProtection="1">
      <alignment horizontal="left" vertical="center" wrapText="1"/>
      <protection locked="0"/>
    </xf>
    <xf numFmtId="0" fontId="23" fillId="0" borderId="8" xfId="0" applyFont="1" applyBorder="1" applyAlignment="1" applyProtection="1">
      <alignment horizontal="left" vertical="center"/>
      <protection locked="0"/>
    </xf>
    <xf numFmtId="0" fontId="21" fillId="7" borderId="13" xfId="0" applyFont="1" applyFill="1" applyBorder="1" applyAlignment="1" applyProtection="1">
      <alignment vertical="center"/>
      <protection locked="0"/>
    </xf>
    <xf numFmtId="14" fontId="3" fillId="0" borderId="0" xfId="0" applyNumberFormat="1" applyFont="1" applyAlignment="1">
      <alignment wrapText="1"/>
    </xf>
    <xf numFmtId="14" fontId="6" fillId="0" borderId="14" xfId="1" applyNumberFormat="1" applyFont="1" applyFill="1" applyBorder="1" applyAlignment="1" applyProtection="1">
      <alignment horizontal="center" vertical="center"/>
      <protection locked="0"/>
    </xf>
    <xf numFmtId="14" fontId="6" fillId="0" borderId="8" xfId="1" applyNumberFormat="1" applyFont="1" applyFill="1" applyBorder="1" applyAlignment="1" applyProtection="1">
      <alignment horizontal="center" vertical="center"/>
      <protection locked="0"/>
    </xf>
    <xf numFmtId="14" fontId="6" fillId="0" borderId="8" xfId="1" applyNumberFormat="1" applyFont="1" applyFill="1" applyBorder="1" applyAlignment="1" applyProtection="1">
      <alignment horizontal="center" vertical="center" wrapText="1"/>
      <protection locked="0"/>
    </xf>
    <xf numFmtId="14" fontId="6" fillId="0" borderId="19" xfId="1" applyNumberFormat="1" applyFont="1" applyFill="1" applyBorder="1" applyAlignment="1" applyProtection="1">
      <alignment horizontal="center" vertical="center"/>
      <protection locked="0"/>
    </xf>
    <xf numFmtId="0" fontId="21" fillId="7" borderId="20" xfId="0" applyFont="1" applyFill="1" applyBorder="1" applyAlignment="1" applyProtection="1">
      <alignment vertical="center"/>
      <protection locked="0"/>
    </xf>
    <xf numFmtId="14" fontId="25" fillId="0" borderId="8" xfId="1" applyNumberFormat="1" applyFont="1" applyFill="1" applyBorder="1" applyAlignment="1" applyProtection="1">
      <alignment horizontal="center" vertical="center" wrapText="1"/>
      <protection locked="0"/>
    </xf>
    <xf numFmtId="14" fontId="6" fillId="0" borderId="17" xfId="1" applyNumberFormat="1" applyFont="1" applyFill="1" applyBorder="1" applyAlignment="1" applyProtection="1">
      <alignment horizontal="center" vertical="center"/>
      <protection locked="0"/>
    </xf>
    <xf numFmtId="0" fontId="21" fillId="7" borderId="21" xfId="0" applyFont="1" applyFill="1" applyBorder="1" applyAlignment="1" applyProtection="1">
      <alignment vertical="center"/>
      <protection locked="0"/>
    </xf>
    <xf numFmtId="14" fontId="26" fillId="0" borderId="8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center"/>
    </xf>
    <xf numFmtId="0" fontId="16" fillId="0" borderId="0" xfId="2" applyFont="1" applyFill="1" applyBorder="1" applyAlignment="1">
      <alignment horizontal="left" vertical="top" indent="1"/>
    </xf>
    <xf numFmtId="0" fontId="12" fillId="0" borderId="0" xfId="0" applyFont="1" applyAlignment="1">
      <alignment horizontal="left" vertical="center" indent="1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24" fillId="0" borderId="8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top"/>
    </xf>
    <xf numFmtId="49" fontId="6" fillId="0" borderId="18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8" borderId="8" xfId="0" applyFont="1" applyFill="1" applyBorder="1" applyAlignment="1" applyProtection="1">
      <alignment horizontal="center" vertical="center" wrapText="1"/>
      <protection locked="0"/>
    </xf>
    <xf numFmtId="0" fontId="0" fillId="8" borderId="8" xfId="0" applyFill="1" applyBorder="1" applyAlignment="1" applyProtection="1">
      <alignment horizontal="center" vertical="center" wrapText="1"/>
      <protection locked="0"/>
    </xf>
    <xf numFmtId="0" fontId="31" fillId="8" borderId="8" xfId="0" applyFont="1" applyFill="1" applyBorder="1" applyAlignment="1" applyProtection="1">
      <alignment horizontal="center" vertical="center"/>
      <protection locked="0"/>
    </xf>
    <xf numFmtId="0" fontId="6" fillId="8" borderId="8" xfId="0" applyFont="1" applyFill="1" applyBorder="1" applyAlignment="1" applyProtection="1">
      <alignment horizontal="center" vertical="center"/>
      <protection locked="0"/>
    </xf>
    <xf numFmtId="0" fontId="6" fillId="9" borderId="8" xfId="0" applyFont="1" applyFill="1" applyBorder="1" applyAlignment="1" applyProtection="1">
      <alignment horizontal="center" vertical="center"/>
      <protection locked="0"/>
    </xf>
    <xf numFmtId="0" fontId="30" fillId="10" borderId="8" xfId="0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16" fillId="0" borderId="0" xfId="2" applyFont="1" applyFill="1" applyBorder="1" applyAlignment="1">
      <alignment horizontal="center" vertical="top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34" fillId="0" borderId="8" xfId="0" applyFont="1" applyBorder="1" applyAlignment="1" applyProtection="1">
      <alignment horizontal="center" vertical="center" wrapText="1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left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49" fontId="29" fillId="0" borderId="18" xfId="0" applyNumberFormat="1" applyFont="1" applyBorder="1" applyAlignment="1">
      <alignment horizontal="left" vertical="center"/>
    </xf>
    <xf numFmtId="0" fontId="29" fillId="0" borderId="8" xfId="0" applyFont="1" applyBorder="1" applyAlignment="1" applyProtection="1">
      <alignment horizontal="left" vertical="center"/>
      <protection locked="0"/>
    </xf>
    <xf numFmtId="166" fontId="0" fillId="0" borderId="8" xfId="0" applyNumberForma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29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49" fontId="35" fillId="0" borderId="18" xfId="0" applyNumberFormat="1" applyFont="1" applyBorder="1" applyAlignment="1">
      <alignment horizontal="left" vertical="center"/>
    </xf>
    <xf numFmtId="0" fontId="35" fillId="0" borderId="8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3" fontId="6" fillId="0" borderId="8" xfId="0" applyNumberFormat="1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166" fontId="0" fillId="2" borderId="8" xfId="0" applyNumberFormat="1" applyFill="1" applyBorder="1" applyAlignment="1">
      <alignment horizontal="center" vertical="center"/>
    </xf>
    <xf numFmtId="9" fontId="0" fillId="0" borderId="8" xfId="1" applyFont="1" applyFill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>
      <alignment horizontal="left" vertical="center"/>
    </xf>
    <xf numFmtId="0" fontId="35" fillId="8" borderId="8" xfId="0" applyFont="1" applyFill="1" applyBorder="1" applyAlignment="1" applyProtection="1">
      <alignment horizontal="center" vertical="center" wrapText="1"/>
      <protection locked="0"/>
    </xf>
    <xf numFmtId="49" fontId="23" fillId="7" borderId="18" xfId="0" applyNumberFormat="1" applyFont="1" applyFill="1" applyBorder="1" applyAlignment="1">
      <alignment horizontal="left" vertical="center"/>
    </xf>
    <xf numFmtId="0" fontId="23" fillId="7" borderId="8" xfId="0" applyFont="1" applyFill="1" applyBorder="1" applyAlignment="1" applyProtection="1">
      <alignment horizontal="left" vertical="center"/>
      <protection locked="0"/>
    </xf>
    <xf numFmtId="0" fontId="23" fillId="7" borderId="8" xfId="0" applyFont="1" applyFill="1" applyBorder="1" applyAlignment="1" applyProtection="1">
      <alignment horizontal="center" vertical="center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6" fillId="7" borderId="8" xfId="0" applyFont="1" applyFill="1" applyBorder="1" applyAlignment="1" applyProtection="1">
      <alignment horizontal="center" vertical="center" wrapText="1"/>
      <protection locked="0"/>
    </xf>
    <xf numFmtId="0" fontId="6" fillId="7" borderId="8" xfId="0" applyFont="1" applyFill="1" applyBorder="1" applyAlignment="1" applyProtection="1">
      <alignment horizontal="center" vertical="center"/>
      <protection locked="0"/>
    </xf>
    <xf numFmtId="0" fontId="23" fillId="7" borderId="8" xfId="0" applyFont="1" applyFill="1" applyBorder="1" applyAlignment="1" applyProtection="1">
      <alignment horizontal="left" vertical="center" wrapText="1"/>
      <protection locked="0"/>
    </xf>
    <xf numFmtId="0" fontId="23" fillId="7" borderId="8" xfId="0" applyFont="1" applyFill="1" applyBorder="1" applyAlignment="1" applyProtection="1">
      <alignment horizontal="center" vertical="center" wrapText="1"/>
      <protection locked="0"/>
    </xf>
    <xf numFmtId="0" fontId="30" fillId="7" borderId="8" xfId="0" applyFont="1" applyFill="1" applyBorder="1" applyAlignment="1" applyProtection="1">
      <alignment horizontal="center" vertical="center" wrapText="1"/>
      <protection locked="0"/>
    </xf>
    <xf numFmtId="49" fontId="33" fillId="12" borderId="15" xfId="0" applyNumberFormat="1" applyFont="1" applyFill="1" applyBorder="1" applyAlignment="1">
      <alignment horizontal="left" vertical="center"/>
    </xf>
    <xf numFmtId="0" fontId="22" fillId="12" borderId="13" xfId="0" applyFont="1" applyFill="1" applyBorder="1" applyAlignment="1" applyProtection="1">
      <alignment horizontal="left" vertical="center"/>
      <protection locked="0"/>
    </xf>
    <xf numFmtId="0" fontId="22" fillId="12" borderId="13" xfId="0" applyFont="1" applyFill="1" applyBorder="1" applyAlignment="1" applyProtection="1">
      <alignment horizontal="center" vertical="center"/>
      <protection locked="0"/>
    </xf>
    <xf numFmtId="0" fontId="32" fillId="12" borderId="13" xfId="0" applyFont="1" applyFill="1" applyBorder="1" applyAlignment="1" applyProtection="1">
      <alignment horizontal="center" vertical="center"/>
      <protection locked="0"/>
    </xf>
    <xf numFmtId="3" fontId="22" fillId="12" borderId="13" xfId="0" applyNumberFormat="1" applyFont="1" applyFill="1" applyBorder="1" applyAlignment="1" applyProtection="1">
      <alignment horizontal="center" vertical="center"/>
      <protection locked="0"/>
    </xf>
    <xf numFmtId="0" fontId="21" fillId="12" borderId="13" xfId="0" applyFont="1" applyFill="1" applyBorder="1" applyAlignment="1" applyProtection="1">
      <alignment vertical="center"/>
      <protection locked="0"/>
    </xf>
    <xf numFmtId="0" fontId="29" fillId="7" borderId="8" xfId="0" applyFont="1" applyFill="1" applyBorder="1" applyAlignment="1" applyProtection="1">
      <alignment horizontal="left" vertical="center"/>
      <protection locked="0"/>
    </xf>
    <xf numFmtId="0" fontId="29" fillId="7" borderId="8" xfId="0" applyFont="1" applyFill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0" fillId="7" borderId="11" xfId="0" applyFont="1" applyFill="1" applyBorder="1" applyAlignment="1" applyProtection="1">
      <alignment horizontal="center" vertical="center"/>
      <protection locked="0"/>
    </xf>
    <xf numFmtId="49" fontId="22" fillId="12" borderId="15" xfId="0" applyNumberFormat="1" applyFont="1" applyFill="1" applyBorder="1" applyAlignment="1">
      <alignment horizontal="left" vertical="center"/>
    </xf>
    <xf numFmtId="0" fontId="23" fillId="7" borderId="14" xfId="0" applyFont="1" applyFill="1" applyBorder="1" applyAlignment="1" applyProtection="1">
      <alignment horizontal="left" vertical="center"/>
      <protection locked="0"/>
    </xf>
    <xf numFmtId="0" fontId="23" fillId="7" borderId="11" xfId="0" applyFont="1" applyFill="1" applyBorder="1" applyAlignment="1" applyProtection="1">
      <alignment horizontal="left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2" fillId="12" borderId="15" xfId="0" applyFont="1" applyFill="1" applyBorder="1" applyAlignment="1">
      <alignment horizontal="left" vertical="center"/>
    </xf>
    <xf numFmtId="3" fontId="0" fillId="0" borderId="0" xfId="0" applyNumberFormat="1" applyAlignment="1">
      <alignment horizontal="center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0" fontId="24" fillId="0" borderId="31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0" fontId="23" fillId="0" borderId="32" xfId="0" applyFont="1" applyBorder="1" applyAlignment="1" applyProtection="1">
      <alignment horizontal="left" vertical="center" wrapText="1"/>
      <protection locked="0"/>
    </xf>
    <xf numFmtId="0" fontId="23" fillId="0" borderId="33" xfId="0" applyFont="1" applyBorder="1" applyAlignment="1" applyProtection="1">
      <alignment horizontal="center" vertical="center" wrapText="1"/>
      <protection locked="0"/>
    </xf>
    <xf numFmtId="0" fontId="30" fillId="0" borderId="33" xfId="0" applyFont="1" applyBorder="1" applyAlignment="1" applyProtection="1">
      <alignment horizontal="center" vertical="center" wrapText="1"/>
      <protection locked="0"/>
    </xf>
    <xf numFmtId="0" fontId="23" fillId="0" borderId="33" xfId="0" applyFont="1" applyBorder="1" applyAlignment="1" applyProtection="1">
      <alignment horizontal="left" vertical="center" wrapText="1"/>
      <protection locked="0"/>
    </xf>
    <xf numFmtId="0" fontId="23" fillId="0" borderId="34" xfId="0" applyFont="1" applyBorder="1" applyAlignment="1" applyProtection="1">
      <alignment horizontal="left" vertical="center" wrapText="1"/>
      <protection locked="0"/>
    </xf>
    <xf numFmtId="0" fontId="30" fillId="0" borderId="32" xfId="0" applyFont="1" applyBorder="1" applyAlignment="1" applyProtection="1">
      <alignment horizontal="center" vertical="center"/>
      <protection locked="0"/>
    </xf>
    <xf numFmtId="0" fontId="30" fillId="0" borderId="33" xfId="0" applyFont="1" applyBorder="1" applyAlignment="1" applyProtection="1">
      <alignment horizontal="center" vertical="center"/>
      <protection locked="0"/>
    </xf>
    <xf numFmtId="0" fontId="23" fillId="0" borderId="33" xfId="0" applyFont="1" applyBorder="1" applyAlignment="1" applyProtection="1">
      <alignment horizontal="center" vertical="center"/>
      <protection locked="0"/>
    </xf>
    <xf numFmtId="0" fontId="23" fillId="0" borderId="34" xfId="0" applyFont="1" applyBorder="1" applyAlignment="1" applyProtection="1">
      <alignment horizontal="center" vertical="center"/>
      <protection locked="0"/>
    </xf>
    <xf numFmtId="0" fontId="24" fillId="0" borderId="34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left" vertical="center" wrapText="1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left" vertical="center" wrapText="1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left" vertical="center" wrapText="1"/>
      <protection locked="0"/>
    </xf>
    <xf numFmtId="0" fontId="0" fillId="13" borderId="0" xfId="0" applyFill="1"/>
    <xf numFmtId="166" fontId="0" fillId="8" borderId="8" xfId="0" applyNumberFormat="1" applyFill="1" applyBorder="1" applyAlignment="1" applyProtection="1">
      <alignment horizontal="center" vertical="center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166" fontId="6" fillId="8" borderId="8" xfId="0" applyNumberFormat="1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left" vertical="top" wrapText="1"/>
      <protection locked="0"/>
    </xf>
    <xf numFmtId="14" fontId="37" fillId="0" borderId="23" xfId="0" applyNumberFormat="1" applyFont="1" applyBorder="1" applyAlignment="1">
      <alignment horizontal="center" vertical="top" wrapText="1"/>
    </xf>
    <xf numFmtId="10" fontId="6" fillId="0" borderId="8" xfId="1" applyNumberFormat="1" applyFont="1" applyFill="1" applyBorder="1" applyAlignment="1" applyProtection="1">
      <alignment horizontal="center" vertical="center" wrapText="1"/>
      <protection locked="0"/>
    </xf>
    <xf numFmtId="10" fontId="6" fillId="0" borderId="8" xfId="1" applyNumberFormat="1" applyFont="1" applyFill="1" applyBorder="1" applyAlignment="1" applyProtection="1">
      <alignment horizontal="center" vertical="center"/>
      <protection locked="0"/>
    </xf>
    <xf numFmtId="10" fontId="21" fillId="12" borderId="13" xfId="0" applyNumberFormat="1" applyFont="1" applyFill="1" applyBorder="1" applyAlignment="1" applyProtection="1">
      <alignment vertical="center"/>
      <protection locked="0"/>
    </xf>
    <xf numFmtId="9" fontId="23" fillId="0" borderId="8" xfId="1" applyFont="1" applyFill="1" applyBorder="1" applyAlignment="1" applyProtection="1">
      <alignment horizontal="center" vertical="center"/>
      <protection locked="0"/>
    </xf>
    <xf numFmtId="166" fontId="30" fillId="7" borderId="8" xfId="0" applyNumberFormat="1" applyFont="1" applyFill="1" applyBorder="1" applyAlignment="1" applyProtection="1">
      <alignment horizontal="center" vertical="center"/>
      <protection locked="0"/>
    </xf>
    <xf numFmtId="166" fontId="6" fillId="7" borderId="8" xfId="0" applyNumberFormat="1" applyFont="1" applyFill="1" applyBorder="1" applyAlignment="1">
      <alignment horizontal="center" vertical="center"/>
    </xf>
    <xf numFmtId="9" fontId="23" fillId="7" borderId="8" xfId="1" applyFont="1" applyFill="1" applyBorder="1" applyAlignment="1" applyProtection="1">
      <alignment horizontal="center" vertical="center"/>
      <protection locked="0"/>
    </xf>
    <xf numFmtId="166" fontId="30" fillId="7" borderId="11" xfId="0" applyNumberFormat="1" applyFont="1" applyFill="1" applyBorder="1" applyAlignment="1" applyProtection="1">
      <alignment horizontal="center" vertical="center"/>
      <protection locked="0"/>
    </xf>
    <xf numFmtId="166" fontId="0" fillId="7" borderId="8" xfId="0" applyNumberFormat="1" applyFill="1" applyBorder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horizontal="center" vertical="center"/>
      <protection locked="0"/>
    </xf>
    <xf numFmtId="166" fontId="6" fillId="7" borderId="8" xfId="0" applyNumberFormat="1" applyFont="1" applyFill="1" applyBorder="1" applyAlignment="1" applyProtection="1">
      <alignment horizontal="center" vertical="center"/>
      <protection locked="0"/>
    </xf>
    <xf numFmtId="3" fontId="22" fillId="0" borderId="23" xfId="0" applyNumberFormat="1" applyFont="1" applyBorder="1" applyAlignment="1">
      <alignment horizontal="center" vertical="center"/>
    </xf>
    <xf numFmtId="10" fontId="22" fillId="0" borderId="23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29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65" fontId="17" fillId="5" borderId="3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6" fontId="6" fillId="8" borderId="8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indent="1"/>
    </xf>
    <xf numFmtId="0" fontId="5" fillId="0" borderId="8" xfId="2" applyBorder="1" applyAlignment="1" applyProtection="1">
      <alignment horizontal="center" vertical="center" wrapText="1"/>
      <protection locked="0"/>
    </xf>
    <xf numFmtId="49" fontId="34" fillId="0" borderId="18" xfId="0" applyNumberFormat="1" applyFont="1" applyBorder="1" applyAlignment="1">
      <alignment horizontal="left" vertical="center"/>
    </xf>
    <xf numFmtId="0" fontId="34" fillId="0" borderId="8" xfId="0" applyFont="1" applyBorder="1" applyAlignment="1" applyProtection="1">
      <alignment horizontal="left" vertical="center" wrapText="1"/>
      <protection locked="0"/>
    </xf>
    <xf numFmtId="167" fontId="21" fillId="12" borderId="13" xfId="0" applyNumberFormat="1" applyFont="1" applyFill="1" applyBorder="1" applyAlignment="1" applyProtection="1">
      <alignment vertical="center"/>
      <protection locked="0"/>
    </xf>
    <xf numFmtId="0" fontId="34" fillId="0" borderId="29" xfId="0" applyFont="1" applyBorder="1" applyAlignment="1" applyProtection="1">
      <alignment horizontal="center" vertical="center" wrapText="1"/>
      <protection locked="0"/>
    </xf>
    <xf numFmtId="0" fontId="34" fillId="0" borderId="32" xfId="0" applyFont="1" applyBorder="1" applyAlignment="1" applyProtection="1">
      <alignment horizontal="center" vertical="center" wrapText="1"/>
      <protection locked="0"/>
    </xf>
    <xf numFmtId="2" fontId="21" fillId="12" borderId="13" xfId="0" applyNumberFormat="1" applyFont="1" applyFill="1" applyBorder="1" applyAlignment="1" applyProtection="1">
      <alignment vertical="center"/>
      <protection locked="0"/>
    </xf>
    <xf numFmtId="1" fontId="23" fillId="7" borderId="11" xfId="1" applyNumberFormat="1" applyFont="1" applyFill="1" applyBorder="1" applyAlignment="1" applyProtection="1">
      <alignment horizontal="center" vertical="center"/>
      <protection locked="0"/>
    </xf>
    <xf numFmtId="1" fontId="6" fillId="0" borderId="8" xfId="1" applyNumberFormat="1" applyFont="1" applyFill="1" applyBorder="1" applyAlignment="1" applyProtection="1">
      <alignment horizontal="center" vertical="center"/>
      <protection locked="0"/>
    </xf>
    <xf numFmtId="1" fontId="23" fillId="7" borderId="8" xfId="1" applyNumberFormat="1" applyFont="1" applyFill="1" applyBorder="1" applyAlignment="1" applyProtection="1">
      <alignment horizontal="center" vertical="center"/>
      <protection locked="0"/>
    </xf>
    <xf numFmtId="1" fontId="0" fillId="0" borderId="8" xfId="1" applyNumberFormat="1" applyFont="1" applyFill="1" applyBorder="1" applyAlignment="1" applyProtection="1">
      <alignment horizontal="center" vertical="center"/>
      <protection locked="0"/>
    </xf>
    <xf numFmtId="1" fontId="21" fillId="12" borderId="13" xfId="0" applyNumberFormat="1" applyFont="1" applyFill="1" applyBorder="1" applyAlignment="1" applyProtection="1">
      <alignment vertical="center"/>
      <protection locked="0"/>
    </xf>
    <xf numFmtId="1" fontId="23" fillId="0" borderId="8" xfId="1" applyNumberFormat="1" applyFont="1" applyFill="1" applyBorder="1" applyAlignment="1" applyProtection="1">
      <alignment horizontal="center" vertical="center"/>
      <protection locked="0"/>
    </xf>
    <xf numFmtId="0" fontId="4" fillId="3" borderId="40" xfId="0" applyFont="1" applyFill="1" applyBorder="1" applyAlignment="1">
      <alignment horizontal="center" vertical="center" wrapText="1"/>
    </xf>
    <xf numFmtId="1" fontId="21" fillId="7" borderId="13" xfId="0" applyNumberFormat="1" applyFont="1" applyFill="1" applyBorder="1" applyAlignment="1" applyProtection="1">
      <alignment vertical="center"/>
      <protection locked="0"/>
    </xf>
    <xf numFmtId="1" fontId="6" fillId="0" borderId="11" xfId="1" applyNumberFormat="1" applyFont="1" applyFill="1" applyBorder="1" applyAlignment="1" applyProtection="1">
      <alignment horizontal="center" vertical="center"/>
      <protection locked="0"/>
    </xf>
    <xf numFmtId="1" fontId="6" fillId="0" borderId="19" xfId="1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/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3" fontId="39" fillId="0" borderId="0" xfId="0" applyNumberFormat="1" applyFont="1" applyAlignment="1">
      <alignment horizontal="center"/>
    </xf>
    <xf numFmtId="1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3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3" fontId="41" fillId="12" borderId="0" xfId="0" applyNumberFormat="1" applyFont="1" applyFill="1" applyAlignment="1">
      <alignment horizontal="center"/>
    </xf>
    <xf numFmtId="1" fontId="41" fillId="12" borderId="0" xfId="0" applyNumberFormat="1" applyFont="1" applyFill="1" applyAlignment="1">
      <alignment horizontal="center"/>
    </xf>
    <xf numFmtId="10" fontId="41" fillId="12" borderId="0" xfId="0" applyNumberFormat="1" applyFont="1" applyFill="1" applyAlignment="1">
      <alignment horizontal="center"/>
    </xf>
    <xf numFmtId="1" fontId="40" fillId="0" borderId="0" xfId="0" applyNumberFormat="1" applyFont="1" applyAlignment="1">
      <alignment horizontal="center"/>
    </xf>
    <xf numFmtId="0" fontId="41" fillId="12" borderId="0" xfId="0" applyFont="1" applyFill="1"/>
    <xf numFmtId="168" fontId="39" fillId="16" borderId="0" xfId="0" applyNumberFormat="1" applyFont="1" applyFill="1"/>
    <xf numFmtId="0" fontId="19" fillId="0" borderId="0" xfId="2" applyFont="1" applyFill="1" applyAlignment="1">
      <alignment horizontal="right" vertical="center" wrapText="1"/>
    </xf>
    <xf numFmtId="0" fontId="12" fillId="0" borderId="0" xfId="0" applyFont="1" applyAlignment="1">
      <alignment horizontal="left" vertical="center" indent="1"/>
    </xf>
    <xf numFmtId="0" fontId="3" fillId="0" borderId="0" xfId="0" applyFont="1" applyAlignment="1" applyProtection="1">
      <alignment horizontal="left" vertical="top" wrapText="1"/>
      <protection locked="0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left" vertical="top" indent="1"/>
    </xf>
    <xf numFmtId="0" fontId="18" fillId="0" borderId="0" xfId="0" applyFont="1" applyAlignment="1">
      <alignment horizontal="right" vertical="top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90">
    <dxf>
      <fill>
        <patternFill>
          <bgColor theme="9" tint="0.39994506668294322"/>
        </patternFill>
      </fill>
    </dxf>
    <dxf>
      <fill>
        <patternFill patternType="solid">
          <fgColor auto="1"/>
          <bgColor rgb="FFDEDEDE"/>
        </patternFill>
      </fill>
    </dxf>
    <dxf>
      <fill>
        <patternFill>
          <bgColor rgb="FF375623"/>
        </patternFill>
      </fill>
    </dxf>
    <dxf>
      <fill>
        <patternFill>
          <bgColor rgb="FFFF0000"/>
        </patternFill>
      </fill>
    </dxf>
    <dxf>
      <fill>
        <patternFill>
          <bgColor rgb="FFDEDEDE"/>
        </patternFill>
      </fill>
    </dxf>
    <dxf>
      <fill>
        <patternFill>
          <bgColor rgb="FF70AD47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EDEDE"/>
        </patternFill>
      </fill>
    </dxf>
    <dxf>
      <fill>
        <patternFill>
          <bgColor rgb="FF375623"/>
        </patternFill>
      </fill>
    </dxf>
    <dxf>
      <fill>
        <patternFill>
          <bgColor rgb="FFFF0000"/>
        </patternFill>
      </fill>
    </dxf>
    <dxf>
      <fill>
        <patternFill>
          <bgColor rgb="FFDEDEDE"/>
        </patternFill>
      </fill>
    </dxf>
    <dxf>
      <fill>
        <patternFill>
          <bgColor rgb="FF70AD47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ont>
        <color theme="4" tint="-0.499984740745262"/>
      </font>
      <fill>
        <patternFill>
          <bgColor theme="4" tint="0.59996337778862885"/>
        </patternFill>
      </fill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EDEDE"/>
        </patternFill>
      </fill>
    </dxf>
    <dxf>
      <fill>
        <patternFill>
          <bgColor rgb="FF375623"/>
        </patternFill>
      </fill>
    </dxf>
    <dxf>
      <fill>
        <patternFill>
          <bgColor rgb="FFFF0000"/>
        </patternFill>
      </fill>
    </dxf>
    <dxf>
      <fill>
        <patternFill>
          <bgColor rgb="FFDEDEDE"/>
        </patternFill>
      </fill>
    </dxf>
    <dxf>
      <fill>
        <patternFill>
          <bgColor rgb="FF70AD47"/>
        </patternFill>
      </fill>
    </dxf>
    <dxf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ont>
        <color theme="4" tint="-0.499984740745262"/>
      </font>
      <fill>
        <patternFill>
          <bgColor theme="4" tint="0.59996337778862885"/>
        </patternFill>
      </fill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EDEDE"/>
        </patternFill>
      </fill>
    </dxf>
    <dxf>
      <fill>
        <patternFill>
          <bgColor rgb="FF375623"/>
        </patternFill>
      </fill>
    </dxf>
    <dxf>
      <fill>
        <patternFill>
          <bgColor rgb="FFFF0000"/>
        </patternFill>
      </fill>
    </dxf>
    <dxf>
      <fill>
        <patternFill>
          <bgColor rgb="FFDEDEDE"/>
        </patternFill>
      </fill>
    </dxf>
    <dxf>
      <fill>
        <patternFill>
          <bgColor rgb="FF70AD47"/>
        </patternFill>
      </fill>
    </dxf>
    <dxf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0070C0"/>
      <color rgb="FFDEDEDE"/>
      <color rgb="FFD98FC6"/>
      <color rgb="FF949494"/>
      <color rgb="FF71AF47"/>
      <color rgb="FFFFF8E5"/>
      <color rgb="FFF6F6F6"/>
      <color rgb="FFF8F8F8"/>
      <color rgb="FFF5F5F5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2423635</xdr:colOff>
      <xdr:row>3</xdr:row>
      <xdr:rowOff>71220</xdr:rowOff>
    </xdr:from>
    <xdr:to>
      <xdr:col>6</xdr:col>
      <xdr:colOff>378</xdr:colOff>
      <xdr:row>7</xdr:row>
      <xdr:rowOff>16675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F9F816C-7215-4701-A866-3828CDED141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76700" y="71220"/>
          <a:ext cx="2582131" cy="72932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2423635</xdr:colOff>
      <xdr:row>3</xdr:row>
      <xdr:rowOff>71220</xdr:rowOff>
    </xdr:from>
    <xdr:to>
      <xdr:col>6</xdr:col>
      <xdr:colOff>378</xdr:colOff>
      <xdr:row>7</xdr:row>
      <xdr:rowOff>16675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13DA5EF-A269-4816-B242-6D2B78E975D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23722" y="628432"/>
          <a:ext cx="2734531" cy="712218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tih%20Cici\Desktop\Projektplan_Wochentage.xlsx" TargetMode="External"/><Relationship Id="rId1" Type="http://schemas.openxmlformats.org/officeDocument/2006/relationships/externalLinkPath" Target="/Users/Fatih%20Cici/Desktop/program/Projektplan_Woche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en"/>
      <sheetName val="Projektplan"/>
      <sheetName val="Helios"/>
    </sheetNames>
    <sheetDataSet>
      <sheetData sheetId="0">
        <row r="4">
          <cell r="D4" t="str">
            <v>Projektstart</v>
          </cell>
        </row>
        <row r="5">
          <cell r="D5" t="str">
            <v>D1</v>
          </cell>
        </row>
        <row r="6">
          <cell r="D6" t="str">
            <v>D2</v>
          </cell>
        </row>
        <row r="7">
          <cell r="D7" t="str">
            <v>2. Obergeschoss</v>
          </cell>
        </row>
        <row r="8">
          <cell r="D8" t="str">
            <v>3. Obergeschoss</v>
          </cell>
        </row>
        <row r="9">
          <cell r="D9" t="str">
            <v>4. Obergeschoss</v>
          </cell>
        </row>
        <row r="10">
          <cell r="D10" t="str">
            <v>5. Obergeschoss</v>
          </cell>
        </row>
        <row r="11">
          <cell r="D11" t="str">
            <v>6. Obergeschoss</v>
          </cell>
        </row>
        <row r="12">
          <cell r="D12" t="str">
            <v>7. Obergeschoss</v>
          </cell>
        </row>
        <row r="13">
          <cell r="D13" t="str">
            <v>8. Obergeschoss</v>
          </cell>
        </row>
        <row r="14">
          <cell r="D14" t="str">
            <v>9. Obergeschoss</v>
          </cell>
        </row>
        <row r="15">
          <cell r="D15" t="str">
            <v>10. Obergeschoss</v>
          </cell>
        </row>
        <row r="16">
          <cell r="D16" t="str">
            <v>11. Obergeschoss</v>
          </cell>
        </row>
        <row r="17">
          <cell r="D17" t="str">
            <v>12. Obergeschoss</v>
          </cell>
        </row>
        <row r="18">
          <cell r="D18" t="str">
            <v>13. Obergeschoss</v>
          </cell>
        </row>
        <row r="19">
          <cell r="D19" t="str">
            <v>14. Obergeschoss</v>
          </cell>
        </row>
        <row r="20">
          <cell r="D20" t="str">
            <v>PR- Fassaden</v>
          </cell>
        </row>
        <row r="21">
          <cell r="D21" t="str">
            <v>Blechverkleidung</v>
          </cell>
        </row>
        <row r="23">
          <cell r="D23" t="str">
            <v>2.OG Verankerung</v>
          </cell>
        </row>
        <row r="24">
          <cell r="D24" t="str">
            <v>3.OG Verankerung</v>
          </cell>
        </row>
        <row r="25">
          <cell r="D25" t="str">
            <v>4.OG Verankerung</v>
          </cell>
        </row>
        <row r="26">
          <cell r="D26" t="str">
            <v>5.OG Verankerung</v>
          </cell>
        </row>
        <row r="27">
          <cell r="D27" t="str">
            <v>6.OG Verankerung</v>
          </cell>
        </row>
        <row r="28">
          <cell r="D28" t="str">
            <v>7.OG Verankerung</v>
          </cell>
        </row>
        <row r="29">
          <cell r="D29" t="str">
            <v>8.OG Verankerung</v>
          </cell>
        </row>
        <row r="30">
          <cell r="D30" t="str">
            <v>9.OG Verankerung</v>
          </cell>
        </row>
        <row r="31">
          <cell r="D31" t="str">
            <v>10.OG Verankerung</v>
          </cell>
        </row>
        <row r="32">
          <cell r="D32" t="str">
            <v>11.OG Verankerung</v>
          </cell>
        </row>
        <row r="33">
          <cell r="D33" t="str">
            <v>12.OG Verankerung</v>
          </cell>
        </row>
        <row r="34">
          <cell r="D34" t="str">
            <v>12.OG Verankerung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30FF-30B0-4D61-B534-C209B436C01C}">
  <dimension ref="A4:H32"/>
  <sheetViews>
    <sheetView showGridLines="0" tabSelected="1" topLeftCell="C4" workbookViewId="0">
      <selection activeCell="D4" sqref="D4"/>
    </sheetView>
    <sheetView topLeftCell="C1" workbookViewId="1">
      <selection activeCell="D5" sqref="D5"/>
    </sheetView>
  </sheetViews>
  <sheetFormatPr defaultColWidth="9" defaultRowHeight="13.5" x14ac:dyDescent="0.35"/>
  <cols>
    <col min="1" max="1" width="9" style="208" hidden="1" customWidth="1"/>
    <col min="2" max="2" width="3.1328125" style="208" hidden="1" customWidth="1"/>
    <col min="3" max="3" width="18" style="208" bestFit="1" customWidth="1"/>
    <col min="4" max="4" width="10.86328125" style="208" customWidth="1"/>
    <col min="5" max="5" width="14.265625" style="208" bestFit="1" customWidth="1"/>
    <col min="6" max="6" width="9" style="208"/>
    <col min="7" max="7" width="9.86328125" style="208" bestFit="1" customWidth="1"/>
    <col min="8" max="16384" width="9" style="208"/>
  </cols>
  <sheetData>
    <row r="4" spans="2:8" x14ac:dyDescent="0.35">
      <c r="C4" s="208" t="s">
        <v>164</v>
      </c>
      <c r="D4" s="223">
        <v>2</v>
      </c>
    </row>
    <row r="7" spans="2:8" x14ac:dyDescent="0.35">
      <c r="C7" s="208" t="s">
        <v>159</v>
      </c>
    </row>
    <row r="8" spans="2:8" ht="54" x14ac:dyDescent="0.35">
      <c r="C8" s="214" t="s">
        <v>155</v>
      </c>
      <c r="D8" s="215" t="s">
        <v>160</v>
      </c>
      <c r="E8" s="215" t="s">
        <v>163</v>
      </c>
      <c r="F8" s="215" t="s">
        <v>161</v>
      </c>
      <c r="G8" s="215" t="s">
        <v>165</v>
      </c>
      <c r="H8" s="215" t="s">
        <v>162</v>
      </c>
    </row>
    <row r="9" spans="2:8" x14ac:dyDescent="0.35">
      <c r="B9" s="208" t="s">
        <v>156</v>
      </c>
      <c r="C9" s="210" t="s">
        <v>168</v>
      </c>
      <c r="D9" s="211">
        <f>+SUMIF('E2NS Terminplan'!I:I,B9,'E2NS Terminplan'!O:O)</f>
        <v>2349</v>
      </c>
      <c r="E9" s="212">
        <f>+SUMIF('E2NS Terminplan'!I:I,B9,'E2NS Terminplan'!V:V)</f>
        <v>214.83536244457295</v>
      </c>
      <c r="F9" s="213">
        <f>+E9/D9</f>
        <v>9.1458221560056605E-2</v>
      </c>
      <c r="G9" s="211">
        <f>+SUMIF('E2NS Terminplan'!I:I,B9,'E2NS Terminplan'!Y:Y)</f>
        <v>298</v>
      </c>
      <c r="H9" s="213">
        <f>+G9/D9</f>
        <v>0.12686249467858662</v>
      </c>
    </row>
    <row r="10" spans="2:8" x14ac:dyDescent="0.35">
      <c r="B10" s="208" t="s">
        <v>158</v>
      </c>
      <c r="C10" s="210" t="s">
        <v>169</v>
      </c>
      <c r="D10" s="211">
        <f>+SUMIF('E2NS Terminplan'!I:I,B10,'E2NS Terminplan'!O:O)</f>
        <v>1342</v>
      </c>
      <c r="E10" s="212">
        <f>+SUMIF('E2NS Terminplan'!I:I,B10,'E2NS Terminplan'!V:V)</f>
        <v>80.453424657534242</v>
      </c>
      <c r="F10" s="213">
        <f t="shared" ref="F10:F11" si="0">+E10/D10</f>
        <v>5.9950390951962924E-2</v>
      </c>
      <c r="G10" s="211">
        <f>+SUMIF('E2NS Terminplan'!I:I,B10,'E2NS Terminplan'!Y:Y)</f>
        <v>62</v>
      </c>
      <c r="H10" s="213">
        <f t="shared" ref="H10:H12" si="1">+G10/D10</f>
        <v>4.6199701937406856E-2</v>
      </c>
    </row>
    <row r="11" spans="2:8" x14ac:dyDescent="0.35">
      <c r="B11" s="208" t="s">
        <v>157</v>
      </c>
      <c r="C11" s="210" t="s">
        <v>170</v>
      </c>
      <c r="D11" s="211">
        <f>+SUMIF('E2NS Terminplan'!I:I,B11,'E2NS Terminplan'!O:O)</f>
        <v>522</v>
      </c>
      <c r="E11" s="212">
        <f>+SUMIF('E2NS Terminplan'!I:I,B11,'E2NS Terminplan'!V:V)</f>
        <v>65.603686635944698</v>
      </c>
      <c r="F11" s="213">
        <f t="shared" si="0"/>
        <v>0.12567756060525803</v>
      </c>
      <c r="G11" s="211">
        <f>+SUMIF('E2NS Terminplan'!I:I,B11,'E2NS Terminplan'!Y:Y)</f>
        <v>45</v>
      </c>
      <c r="H11" s="213">
        <f t="shared" si="1"/>
        <v>8.6206896551724144E-2</v>
      </c>
    </row>
    <row r="12" spans="2:8" x14ac:dyDescent="0.35">
      <c r="D12" s="216">
        <f>SUM(D9:D11)</f>
        <v>4213</v>
      </c>
      <c r="E12" s="221">
        <f>SUM(E9:E11)</f>
        <v>360.89247373805193</v>
      </c>
      <c r="F12" s="217">
        <f>+E12/D12</f>
        <v>8.5661636301460231E-2</v>
      </c>
      <c r="G12" s="216">
        <f>SUM(G9:G11)</f>
        <v>405</v>
      </c>
      <c r="H12" s="217">
        <f t="shared" si="1"/>
        <v>9.6131023023973416E-2</v>
      </c>
    </row>
    <row r="15" spans="2:8" ht="54" x14ac:dyDescent="0.35">
      <c r="C15" s="214" t="s">
        <v>155</v>
      </c>
      <c r="D15" s="215" t="s">
        <v>160</v>
      </c>
      <c r="E15" s="215" t="s">
        <v>163</v>
      </c>
      <c r="F15" s="215" t="s">
        <v>161</v>
      </c>
      <c r="G15" s="215" t="s">
        <v>165</v>
      </c>
      <c r="H15" s="215" t="s">
        <v>162</v>
      </c>
    </row>
    <row r="16" spans="2:8" x14ac:dyDescent="0.35">
      <c r="C16" s="222" t="s">
        <v>166</v>
      </c>
      <c r="D16" s="218">
        <f>SUM(D17:D19)</f>
        <v>1610</v>
      </c>
      <c r="E16" s="219">
        <f>SUM(E17:E19)</f>
        <v>204.18893387314438</v>
      </c>
      <c r="F16" s="220">
        <f>+E16/D16</f>
        <v>0.12682542476592817</v>
      </c>
      <c r="G16" s="218">
        <f>SUM(G17:G19)</f>
        <v>294</v>
      </c>
      <c r="H16" s="220">
        <f>+IFERROR(G16/D16,"")</f>
        <v>0.18260869565217391</v>
      </c>
    </row>
    <row r="17" spans="1:8" x14ac:dyDescent="0.35">
      <c r="A17" s="208">
        <v>1</v>
      </c>
      <c r="B17" s="210" t="s">
        <v>156</v>
      </c>
      <c r="C17" s="210" t="s">
        <v>168</v>
      </c>
      <c r="D17" s="211">
        <f>+SUMIFS('E2NS Terminplan'!O:O,'E2NS Terminplan'!I:I,B17,'E2NS Terminplan'!B:B,A17)</f>
        <v>1222</v>
      </c>
      <c r="E17" s="212">
        <f>+SUMIFS('E2NS Terminplan'!V:V,'E2NS Terminplan'!I:I,B17,'E2NS Terminplan'!B:B,A17)</f>
        <v>164.18893387314438</v>
      </c>
      <c r="F17" s="213">
        <f t="shared" ref="F17:F31" si="2">+E17/D17</f>
        <v>0.13436082968342419</v>
      </c>
      <c r="G17" s="209">
        <f>+SUMIFS('E2NS Terminplan'!Y:Y,'E2NS Terminplan'!I:I,B17,'E2NS Terminplan'!B:B,A17)</f>
        <v>262</v>
      </c>
      <c r="H17" s="213">
        <f>+IFERROR(G17/D17,"")</f>
        <v>0.2144026186579378</v>
      </c>
    </row>
    <row r="18" spans="1:8" x14ac:dyDescent="0.35">
      <c r="A18" s="208">
        <v>1</v>
      </c>
      <c r="B18" s="210" t="s">
        <v>158</v>
      </c>
      <c r="C18" s="210" t="s">
        <v>169</v>
      </c>
      <c r="D18" s="211">
        <f>+SUMIFS('E2NS Terminplan'!O:O,'E2NS Terminplan'!I:I,B18,'E2NS Terminplan'!B:B,A18)</f>
        <v>124</v>
      </c>
      <c r="E18" s="212">
        <f>+SUMIFS('E2NS Terminplan'!V:V,'E2NS Terminplan'!I:I,B18,'E2NS Terminplan'!B:B,A18)</f>
        <v>40</v>
      </c>
      <c r="F18" s="213">
        <f t="shared" si="2"/>
        <v>0.32258064516129031</v>
      </c>
      <c r="G18" s="209">
        <f>+SUMIFS('E2NS Terminplan'!Y:Y,'E2NS Terminplan'!I:I,B18,'E2NS Terminplan'!B:B,A18)</f>
        <v>32</v>
      </c>
      <c r="H18" s="213">
        <f t="shared" ref="H18:H31" si="3">+IFERROR(G18/D18,"")</f>
        <v>0.25806451612903225</v>
      </c>
    </row>
    <row r="19" spans="1:8" x14ac:dyDescent="0.35">
      <c r="A19" s="208">
        <v>1</v>
      </c>
      <c r="B19" s="210" t="s">
        <v>157</v>
      </c>
      <c r="C19" s="210" t="s">
        <v>170</v>
      </c>
      <c r="D19" s="211">
        <f>+SUMIFS('E2NS Terminplan'!O:O,'E2NS Terminplan'!I:I,B19,'E2NS Terminplan'!B:B,A19)</f>
        <v>264</v>
      </c>
      <c r="E19" s="212">
        <f>+SUMIFS('E2NS Terminplan'!V:V,'E2NS Terminplan'!I:I,B19,'E2NS Terminplan'!B:B,A19)</f>
        <v>0</v>
      </c>
      <c r="F19" s="213">
        <f t="shared" si="2"/>
        <v>0</v>
      </c>
      <c r="G19" s="209">
        <f>+SUMIFS('E2NS Terminplan'!Y:Y,'E2NS Terminplan'!I:I,B19,'E2NS Terminplan'!B:B,A19)</f>
        <v>0</v>
      </c>
      <c r="H19" s="213">
        <f t="shared" si="3"/>
        <v>0</v>
      </c>
    </row>
    <row r="20" spans="1:8" x14ac:dyDescent="0.35">
      <c r="C20" s="222" t="s">
        <v>22</v>
      </c>
      <c r="D20" s="218">
        <f>SUM(D21:D23)</f>
        <v>1155</v>
      </c>
      <c r="E20" s="219">
        <f>SUM(E21:E23)</f>
        <v>156.7035398649075</v>
      </c>
      <c r="F20" s="220">
        <f>+E20/D20</f>
        <v>0.13567406048909741</v>
      </c>
      <c r="G20" s="218">
        <f>SUM(G21:G23)</f>
        <v>105</v>
      </c>
      <c r="H20" s="220">
        <f>+IFERROR(G20/D20,"")</f>
        <v>9.0909090909090912E-2</v>
      </c>
    </row>
    <row r="21" spans="1:8" x14ac:dyDescent="0.35">
      <c r="A21" s="208">
        <v>2</v>
      </c>
      <c r="B21" s="210" t="s">
        <v>156</v>
      </c>
      <c r="C21" s="210" t="s">
        <v>168</v>
      </c>
      <c r="D21" s="211">
        <f>+SUMIFS('E2NS Terminplan'!O:O,'E2NS Terminplan'!I:I,B21,'E2NS Terminplan'!B:B,A21)</f>
        <v>687</v>
      </c>
      <c r="E21" s="212">
        <f>+SUMIFS('E2NS Terminplan'!V:V,'E2NS Terminplan'!I:I,B21,'E2NS Terminplan'!B:B,A21)</f>
        <v>50.646428571428572</v>
      </c>
      <c r="F21" s="213">
        <f t="shared" si="2"/>
        <v>7.3721147847785398E-2</v>
      </c>
      <c r="G21" s="209">
        <f>+SUMIFS('E2NS Terminplan'!Y:Y,'E2NS Terminplan'!I:I,B21,'E2NS Terminplan'!B:B,A21)</f>
        <v>30</v>
      </c>
      <c r="H21" s="213">
        <f t="shared" si="3"/>
        <v>4.3668122270742356E-2</v>
      </c>
    </row>
    <row r="22" spans="1:8" x14ac:dyDescent="0.35">
      <c r="A22" s="208">
        <v>2</v>
      </c>
      <c r="B22" s="210" t="s">
        <v>158</v>
      </c>
      <c r="C22" s="210" t="s">
        <v>169</v>
      </c>
      <c r="D22" s="211">
        <f>+SUMIFS('E2NS Terminplan'!O:O,'E2NS Terminplan'!I:I,B22,'E2NS Terminplan'!B:B,A22)</f>
        <v>336</v>
      </c>
      <c r="E22" s="212">
        <f>+SUMIFS('E2NS Terminplan'!V:V,'E2NS Terminplan'!I:I,B22,'E2NS Terminplan'!B:B,A22)</f>
        <v>40.453424657534242</v>
      </c>
      <c r="F22" s="213">
        <f t="shared" si="2"/>
        <v>0.12039709719504239</v>
      </c>
      <c r="G22" s="209">
        <f>+SUMIFS('E2NS Terminplan'!Y:Y,'E2NS Terminplan'!I:I,B22,'E2NS Terminplan'!B:B,A22)</f>
        <v>30</v>
      </c>
      <c r="H22" s="213">
        <f t="shared" si="3"/>
        <v>8.9285714285714288E-2</v>
      </c>
    </row>
    <row r="23" spans="1:8" x14ac:dyDescent="0.35">
      <c r="A23" s="208">
        <v>2</v>
      </c>
      <c r="B23" s="210" t="s">
        <v>157</v>
      </c>
      <c r="C23" s="210" t="s">
        <v>170</v>
      </c>
      <c r="D23" s="211">
        <f>+SUMIFS('E2NS Terminplan'!O:O,'E2NS Terminplan'!I:I,B23,'E2NS Terminplan'!B:B,A23)</f>
        <v>132</v>
      </c>
      <c r="E23" s="212">
        <f>+SUMIFS('E2NS Terminplan'!V:V,'E2NS Terminplan'!I:I,B23,'E2NS Terminplan'!B:B,A23)</f>
        <v>65.603686635944698</v>
      </c>
      <c r="F23" s="213">
        <f t="shared" si="2"/>
        <v>0.49699762602988407</v>
      </c>
      <c r="G23" s="209">
        <f>+SUMIFS('E2NS Terminplan'!Y:Y,'E2NS Terminplan'!I:I,B23,'E2NS Terminplan'!B:B,A23)</f>
        <v>45</v>
      </c>
      <c r="H23" s="213">
        <f t="shared" si="3"/>
        <v>0.34090909090909088</v>
      </c>
    </row>
    <row r="24" spans="1:8" x14ac:dyDescent="0.35">
      <c r="C24" s="222" t="s">
        <v>167</v>
      </c>
      <c r="D24" s="218">
        <f>SUM(D25:D27)</f>
        <v>936</v>
      </c>
      <c r="E24" s="219">
        <f>SUM(E25:E27)</f>
        <v>0</v>
      </c>
      <c r="F24" s="220">
        <f>+E24/D24</f>
        <v>0</v>
      </c>
      <c r="G24" s="218">
        <f>SUM(G25:G27)</f>
        <v>6</v>
      </c>
      <c r="H24" s="220">
        <f>+IFERROR(G24/D24,"")</f>
        <v>6.41025641025641E-3</v>
      </c>
    </row>
    <row r="25" spans="1:8" x14ac:dyDescent="0.35">
      <c r="A25" s="208">
        <v>3</v>
      </c>
      <c r="B25" s="210" t="s">
        <v>156</v>
      </c>
      <c r="C25" s="210" t="s">
        <v>168</v>
      </c>
      <c r="D25" s="211">
        <f>+SUMIFS('E2NS Terminplan'!O:O,'E2NS Terminplan'!I:I,B25,'E2NS Terminplan'!B:B,A25)</f>
        <v>120</v>
      </c>
      <c r="E25" s="212">
        <f>+SUMIFS('E2NS Terminplan'!V:V,'E2NS Terminplan'!I:I,B25,'E2NS Terminplan'!B:B,A25)</f>
        <v>0</v>
      </c>
      <c r="F25" s="213">
        <f t="shared" si="2"/>
        <v>0</v>
      </c>
      <c r="G25" s="209">
        <f>+SUMIFS('E2NS Terminplan'!Y:Y,'E2NS Terminplan'!I:I,B25,'E2NS Terminplan'!B:B,A25)</f>
        <v>6</v>
      </c>
      <c r="H25" s="213">
        <f t="shared" si="3"/>
        <v>0.05</v>
      </c>
    </row>
    <row r="26" spans="1:8" x14ac:dyDescent="0.35">
      <c r="A26" s="208">
        <v>3</v>
      </c>
      <c r="B26" s="210" t="s">
        <v>158</v>
      </c>
      <c r="C26" s="210" t="s">
        <v>169</v>
      </c>
      <c r="D26" s="211">
        <f>+SUMIFS('E2NS Terminplan'!O:O,'E2NS Terminplan'!I:I,B26,'E2NS Terminplan'!B:B,A26)</f>
        <v>714</v>
      </c>
      <c r="E26" s="212">
        <f>+SUMIFS('E2NS Terminplan'!V:V,'E2NS Terminplan'!I:I,B26,'E2NS Terminplan'!B:B,A26)</f>
        <v>0</v>
      </c>
      <c r="F26" s="213">
        <f t="shared" si="2"/>
        <v>0</v>
      </c>
      <c r="G26" s="209">
        <f>+SUMIFS('E2NS Terminplan'!Y:Y,'E2NS Terminplan'!I:I,B26,'E2NS Terminplan'!B:B,A26)</f>
        <v>0</v>
      </c>
      <c r="H26" s="213">
        <f t="shared" si="3"/>
        <v>0</v>
      </c>
    </row>
    <row r="27" spans="1:8" x14ac:dyDescent="0.35">
      <c r="A27" s="208">
        <v>3</v>
      </c>
      <c r="B27" s="210" t="s">
        <v>157</v>
      </c>
      <c r="C27" s="210" t="s">
        <v>170</v>
      </c>
      <c r="D27" s="211">
        <f>+SUMIFS('E2NS Terminplan'!O:O,'E2NS Terminplan'!I:I,B27,'E2NS Terminplan'!B:B,A27)</f>
        <v>102</v>
      </c>
      <c r="E27" s="212">
        <f>+SUMIFS('E2NS Terminplan'!V:V,'E2NS Terminplan'!I:I,B27,'E2NS Terminplan'!B:B,A27)</f>
        <v>0</v>
      </c>
      <c r="F27" s="213">
        <f t="shared" si="2"/>
        <v>0</v>
      </c>
      <c r="G27" s="209">
        <f>+SUMIFS('E2NS Terminplan'!Y:Y,'E2NS Terminplan'!I:I,B27,'E2NS Terminplan'!B:B,A27)</f>
        <v>0</v>
      </c>
      <c r="H27" s="213">
        <f t="shared" si="3"/>
        <v>0</v>
      </c>
    </row>
    <row r="28" spans="1:8" x14ac:dyDescent="0.35">
      <c r="C28" s="222" t="s">
        <v>46</v>
      </c>
      <c r="D28" s="218">
        <f>SUM(D29:D31)</f>
        <v>512</v>
      </c>
      <c r="E28" s="219">
        <f>SUM(E29:E31)</f>
        <v>0</v>
      </c>
      <c r="F28" s="220">
        <f>+E28/D28</f>
        <v>0</v>
      </c>
      <c r="G28" s="218">
        <f>SUM(G29:G31)</f>
        <v>0</v>
      </c>
      <c r="H28" s="220">
        <f>+IFERROR(G28/D28,"")</f>
        <v>0</v>
      </c>
    </row>
    <row r="29" spans="1:8" x14ac:dyDescent="0.35">
      <c r="A29" s="208">
        <v>4</v>
      </c>
      <c r="B29" s="210" t="s">
        <v>156</v>
      </c>
      <c r="C29" s="210" t="s">
        <v>168</v>
      </c>
      <c r="D29" s="211">
        <f>+SUMIFS('E2NS Terminplan'!O:O,'E2NS Terminplan'!I:I,B29,'E2NS Terminplan'!B:B,A29)</f>
        <v>320</v>
      </c>
      <c r="E29" s="212">
        <f>+SUMIFS('E2NS Terminplan'!V:V,'E2NS Terminplan'!I:I,B29,'E2NS Terminplan'!B:B,A29)</f>
        <v>0</v>
      </c>
      <c r="F29" s="213">
        <f t="shared" si="2"/>
        <v>0</v>
      </c>
      <c r="G29" s="209">
        <f>+SUMIFS('E2NS Terminplan'!Y:Y,'E2NS Terminplan'!I:I,B29,'E2NS Terminplan'!B:B,A29)</f>
        <v>0</v>
      </c>
      <c r="H29" s="213">
        <f t="shared" si="3"/>
        <v>0</v>
      </c>
    </row>
    <row r="30" spans="1:8" x14ac:dyDescent="0.35">
      <c r="A30" s="208">
        <v>4</v>
      </c>
      <c r="B30" s="210" t="s">
        <v>158</v>
      </c>
      <c r="C30" s="210" t="s">
        <v>169</v>
      </c>
      <c r="D30" s="211">
        <f>+SUMIFS('E2NS Terminplan'!O:O,'E2NS Terminplan'!I:I,B30,'E2NS Terminplan'!B:B,A30)</f>
        <v>168</v>
      </c>
      <c r="E30" s="212">
        <f>+SUMIFS('E2NS Terminplan'!V:V,'E2NS Terminplan'!I:I,B30,'E2NS Terminplan'!B:B,A30)</f>
        <v>0</v>
      </c>
      <c r="F30" s="213">
        <f t="shared" si="2"/>
        <v>0</v>
      </c>
      <c r="G30" s="209">
        <f>+SUMIFS('E2NS Terminplan'!Y:Y,'E2NS Terminplan'!I:I,B30,'E2NS Terminplan'!B:B,A30)</f>
        <v>0</v>
      </c>
      <c r="H30" s="213">
        <f t="shared" si="3"/>
        <v>0</v>
      </c>
    </row>
    <row r="31" spans="1:8" x14ac:dyDescent="0.35">
      <c r="A31" s="208">
        <v>4</v>
      </c>
      <c r="B31" s="210" t="s">
        <v>157</v>
      </c>
      <c r="C31" s="210" t="s">
        <v>170</v>
      </c>
      <c r="D31" s="211">
        <f>+SUMIFS('E2NS Terminplan'!O:O,'E2NS Terminplan'!I:I,B31,'E2NS Terminplan'!B:B,A31)</f>
        <v>24</v>
      </c>
      <c r="E31" s="212">
        <f>+SUMIFS('E2NS Terminplan'!V:V,'E2NS Terminplan'!I:I,B31,'E2NS Terminplan'!B:B,A31)</f>
        <v>0</v>
      </c>
      <c r="F31" s="213">
        <f t="shared" si="2"/>
        <v>0</v>
      </c>
      <c r="G31" s="209">
        <f>+SUMIFS('E2NS Terminplan'!Y:Y,'E2NS Terminplan'!I:I,B31,'E2NS Terminplan'!B:B,A31)</f>
        <v>0</v>
      </c>
      <c r="H31" s="213">
        <f t="shared" si="3"/>
        <v>0</v>
      </c>
    </row>
    <row r="32" spans="1:8" x14ac:dyDescent="0.35">
      <c r="D32" s="216">
        <f>+D28+D24+D20+D16</f>
        <v>4213</v>
      </c>
      <c r="E32" s="216">
        <f>+E28+E24+E20+E16</f>
        <v>360.89247373805188</v>
      </c>
      <c r="F32" s="217">
        <f>+E32/D32</f>
        <v>8.5661636301460217E-2</v>
      </c>
      <c r="G32" s="216">
        <f>+G28+G24+G20+G16</f>
        <v>405</v>
      </c>
      <c r="H32" s="217">
        <f>+IFERROR(G32/D32,"")</f>
        <v>9.6131023023973416E-2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BE6A-2A2A-496C-9729-BD755E59D3D3}">
  <sheetPr>
    <tabColor theme="9"/>
    <outlinePr summaryBelow="0"/>
    <pageSetUpPr fitToPage="1"/>
  </sheetPr>
  <dimension ref="A1:NZ182"/>
  <sheetViews>
    <sheetView zoomScaleNormal="100" workbookViewId="0">
      <selection activeCell="V12" sqref="V12"/>
    </sheetView>
    <sheetView zoomScale="70" zoomScaleNormal="70" workbookViewId="1">
      <selection activeCell="BX1" sqref="Z1:BX1048576"/>
    </sheetView>
  </sheetViews>
  <sheetFormatPr defaultColWidth="6.265625" defaultRowHeight="14.25" x14ac:dyDescent="0.45"/>
  <cols>
    <col min="1" max="1" width="2" style="67" customWidth="1"/>
    <col min="2" max="2" width="2" style="1" hidden="1" customWidth="1"/>
    <col min="3" max="3" width="2.73046875" style="1" hidden="1" customWidth="1"/>
    <col min="4" max="4" width="2" style="1" hidden="1" customWidth="1"/>
    <col min="5" max="5" width="7.73046875" style="56" bestFit="1" customWidth="1"/>
    <col min="6" max="6" width="72.265625" customWidth="1"/>
    <col min="7" max="7" width="10.86328125" customWidth="1"/>
    <col min="8" max="9" width="9.86328125" style="10" customWidth="1"/>
    <col min="10" max="12" width="6.265625" customWidth="1"/>
    <col min="13" max="17" width="9" customWidth="1"/>
    <col min="18" max="18" width="10.73046875" style="14" bestFit="1" customWidth="1"/>
    <col min="19" max="19" width="10.73046875" bestFit="1" customWidth="1"/>
    <col min="20" max="20" width="10.1328125" bestFit="1" customWidth="1"/>
    <col min="21" max="22" width="9.1328125" customWidth="1"/>
    <col min="23" max="23" width="9.59765625" customWidth="1"/>
    <col min="24" max="25" width="9.265625" customWidth="1"/>
    <col min="26" max="26" width="12.265625" customWidth="1"/>
    <col min="27" max="27" width="6.265625" hidden="1" customWidth="1"/>
    <col min="28" max="28" width="5.1328125" hidden="1" customWidth="1"/>
    <col min="29" max="75" width="6.265625" hidden="1" customWidth="1"/>
    <col min="76" max="390" width="6.265625" customWidth="1"/>
  </cols>
  <sheetData>
    <row r="1" spans="2:390" ht="10.5" customHeight="1" x14ac:dyDescent="0.45">
      <c r="W1" s="224"/>
      <c r="X1" s="224"/>
      <c r="Y1" s="11"/>
      <c r="Z1" s="11"/>
      <c r="DU1" s="152"/>
      <c r="DV1" s="152"/>
      <c r="DW1" s="152"/>
      <c r="DX1" s="152"/>
      <c r="DY1" s="152"/>
      <c r="DZ1" s="152"/>
      <c r="EA1" s="152"/>
      <c r="EB1" s="152"/>
      <c r="EC1" s="152"/>
      <c r="ED1" s="152"/>
      <c r="EE1" s="152"/>
      <c r="EF1" s="152"/>
      <c r="EG1" s="152"/>
      <c r="EH1" s="152"/>
      <c r="EI1" s="152"/>
      <c r="EJ1" s="152"/>
      <c r="EK1" s="152"/>
      <c r="EL1" s="152"/>
      <c r="EM1" s="152"/>
      <c r="EN1" s="152"/>
      <c r="EO1" s="152"/>
      <c r="EP1" s="152"/>
      <c r="EQ1" s="152"/>
      <c r="ER1" s="152"/>
      <c r="ES1" s="152"/>
      <c r="ET1" s="152"/>
      <c r="EU1" s="152"/>
      <c r="EV1" s="152"/>
    </row>
    <row r="2" spans="2:390" ht="18" customHeight="1" x14ac:dyDescent="0.45">
      <c r="W2" s="224"/>
      <c r="X2" s="224"/>
      <c r="Y2" s="11"/>
      <c r="Z2" s="11"/>
      <c r="DU2" s="152"/>
      <c r="DV2" s="152"/>
      <c r="DW2" s="152"/>
      <c r="DX2" s="152"/>
      <c r="DY2" s="152"/>
      <c r="DZ2" s="152"/>
      <c r="EA2" s="152"/>
      <c r="EB2" s="152"/>
      <c r="EC2" s="152"/>
      <c r="ED2" s="152"/>
      <c r="EE2" s="152"/>
      <c r="EF2" s="152"/>
      <c r="EG2" s="152"/>
      <c r="EH2" s="152"/>
      <c r="EI2" s="152"/>
      <c r="EJ2" s="152"/>
      <c r="EK2" s="152"/>
      <c r="EL2" s="152"/>
      <c r="EM2" s="152"/>
      <c r="EN2" s="152"/>
      <c r="EO2" s="152"/>
      <c r="EP2" s="152"/>
      <c r="EQ2" s="152"/>
      <c r="ER2" s="152"/>
      <c r="ES2" s="152"/>
      <c r="ET2" s="152"/>
      <c r="EU2" s="152"/>
      <c r="EV2" s="152"/>
    </row>
    <row r="3" spans="2:390" ht="15" customHeight="1" x14ac:dyDescent="0.45">
      <c r="E3" s="225"/>
      <c r="F3" s="225"/>
      <c r="G3" s="48"/>
      <c r="H3" s="68"/>
      <c r="I3" s="68"/>
      <c r="J3" s="48"/>
      <c r="K3" s="48"/>
      <c r="L3" s="48"/>
      <c r="M3" s="48"/>
      <c r="N3" s="48"/>
      <c r="O3" s="48"/>
      <c r="P3" s="48"/>
      <c r="Q3" s="48"/>
      <c r="R3" s="226"/>
      <c r="S3" s="226"/>
      <c r="T3" s="226"/>
      <c r="U3" s="226"/>
      <c r="V3" s="156"/>
      <c r="W3" s="156"/>
      <c r="X3" s="156"/>
      <c r="Y3" s="156"/>
      <c r="Z3" s="8"/>
      <c r="DU3" s="152"/>
      <c r="DV3" s="152"/>
      <c r="DW3" s="152"/>
      <c r="DX3" s="152"/>
      <c r="DY3" s="152"/>
      <c r="DZ3" s="152"/>
      <c r="EA3" s="152"/>
      <c r="EB3" s="152"/>
      <c r="EC3" s="152"/>
      <c r="ED3" s="152"/>
      <c r="EE3" s="152"/>
      <c r="EF3" s="152"/>
      <c r="EG3" s="152"/>
      <c r="EH3" s="152"/>
      <c r="EI3" s="152"/>
      <c r="EJ3" s="152"/>
      <c r="EK3" s="152"/>
      <c r="EL3" s="152"/>
      <c r="EM3" s="152"/>
      <c r="EN3" s="152"/>
      <c r="EO3" s="152"/>
      <c r="EP3" s="152"/>
      <c r="EQ3" s="152"/>
      <c r="ER3" s="152"/>
      <c r="ES3" s="152"/>
      <c r="ET3" s="152"/>
      <c r="EU3" s="152"/>
      <c r="EV3" s="152"/>
    </row>
    <row r="4" spans="2:390" ht="15.75" customHeight="1" x14ac:dyDescent="0.5">
      <c r="F4" s="12"/>
      <c r="G4" s="12"/>
      <c r="H4" s="69"/>
      <c r="I4" s="69"/>
      <c r="J4" s="12"/>
      <c r="K4" s="12"/>
      <c r="L4" s="12"/>
      <c r="M4" s="12"/>
      <c r="N4" s="12"/>
      <c r="O4" s="12"/>
      <c r="P4" s="12"/>
      <c r="Q4" s="12"/>
      <c r="R4" s="226"/>
      <c r="S4" s="226"/>
      <c r="T4" s="226"/>
      <c r="U4" s="226"/>
      <c r="V4" s="156"/>
      <c r="W4" s="156"/>
      <c r="X4" s="156"/>
      <c r="Y4" s="156"/>
      <c r="Z4" s="33">
        <v>45931</v>
      </c>
      <c r="AA4" s="227" t="str">
        <f>TEXT(AD9,"MMMM JJ")</f>
        <v>November 25</v>
      </c>
      <c r="AB4" s="228"/>
      <c r="AC4" s="228"/>
      <c r="AD4" s="228"/>
      <c r="AE4" s="228"/>
      <c r="AF4" s="228"/>
      <c r="AG4" s="229"/>
      <c r="AH4" s="227" t="str">
        <f>TEXT(AM9,"MMMM JJ")</f>
        <v>December 25</v>
      </c>
      <c r="AI4" s="228"/>
      <c r="AJ4" s="228"/>
      <c r="AK4" s="228"/>
      <c r="AL4" s="228"/>
      <c r="AM4" s="228"/>
      <c r="AN4" s="229"/>
      <c r="AO4" s="227" t="str">
        <f>TEXT(AT9,"MMMM JJ")</f>
        <v>December 25</v>
      </c>
      <c r="AP4" s="228"/>
      <c r="AQ4" s="228"/>
      <c r="AR4" s="228"/>
      <c r="AS4" s="228"/>
      <c r="AT4" s="228"/>
      <c r="AU4" s="229"/>
      <c r="AV4" s="227" t="str">
        <f>TEXT(BA9,"MMMM JJ")</f>
        <v>December 25</v>
      </c>
      <c r="AW4" s="228"/>
      <c r="AX4" s="228"/>
      <c r="AY4" s="228"/>
      <c r="AZ4" s="228"/>
      <c r="BA4" s="228"/>
      <c r="BB4" s="229"/>
      <c r="BC4" s="227" t="str">
        <f>TEXT(BH9,"MMMM JJ")</f>
        <v>December 25</v>
      </c>
      <c r="BD4" s="228"/>
      <c r="BE4" s="228"/>
      <c r="BF4" s="228"/>
      <c r="BG4" s="228"/>
      <c r="BH4" s="228"/>
      <c r="BI4" s="229"/>
      <c r="BJ4" s="227" t="str">
        <f>TEXT(BO9,"MMMM JJ")</f>
        <v>January 26</v>
      </c>
      <c r="BK4" s="228"/>
      <c r="BL4" s="228"/>
      <c r="BM4" s="228"/>
      <c r="BN4" s="228"/>
      <c r="BO4" s="228"/>
      <c r="BP4" s="229"/>
      <c r="BQ4" s="227" t="str">
        <f>TEXT(BV9,"MMMM JJ")</f>
        <v>January 26</v>
      </c>
      <c r="BR4" s="228"/>
      <c r="BS4" s="228"/>
      <c r="BT4" s="228"/>
      <c r="BU4" s="228"/>
      <c r="BV4" s="228"/>
      <c r="BW4" s="229"/>
      <c r="BX4" s="235" t="str">
        <f>TEXT(CC9,"MMMM JJ")</f>
        <v>January 26</v>
      </c>
      <c r="BY4" s="236"/>
      <c r="BZ4" s="236"/>
      <c r="CA4" s="236"/>
      <c r="CB4" s="236"/>
      <c r="CC4" s="236"/>
      <c r="CD4" s="237"/>
      <c r="CE4" s="235" t="str">
        <f>TEXT(CJ9,"MMMM JJ")</f>
        <v>January 26</v>
      </c>
      <c r="CF4" s="236"/>
      <c r="CG4" s="236"/>
      <c r="CH4" s="236"/>
      <c r="CI4" s="236"/>
      <c r="CJ4" s="236"/>
      <c r="CK4" s="237"/>
      <c r="CL4" s="235" t="str">
        <f>TEXT(CQ9,"MMMM JJ")</f>
        <v>January 26</v>
      </c>
      <c r="CM4" s="236"/>
      <c r="CN4" s="236"/>
      <c r="CO4" s="236"/>
      <c r="CP4" s="236"/>
      <c r="CQ4" s="236"/>
      <c r="CR4" s="237"/>
      <c r="CS4" s="227" t="str">
        <f>TEXT(CX9,"MMMM JJ")</f>
        <v>February 26</v>
      </c>
      <c r="CT4" s="228"/>
      <c r="CU4" s="228"/>
      <c r="CV4" s="228"/>
      <c r="CW4" s="228"/>
      <c r="CX4" s="228"/>
      <c r="CY4" s="229"/>
      <c r="CZ4" s="227" t="str">
        <f>TEXT(DE9,"MMMM JJ")</f>
        <v>February 26</v>
      </c>
      <c r="DA4" s="228"/>
      <c r="DB4" s="228"/>
      <c r="DC4" s="228"/>
      <c r="DD4" s="228"/>
      <c r="DE4" s="228"/>
      <c r="DF4" s="229"/>
      <c r="DG4" s="227" t="str">
        <f>TEXT(DL9,"MMMM JJ")</f>
        <v>February 26</v>
      </c>
      <c r="DH4" s="228"/>
      <c r="DI4" s="228"/>
      <c r="DJ4" s="228"/>
      <c r="DK4" s="228"/>
      <c r="DL4" s="228"/>
      <c r="DM4" s="229"/>
      <c r="DN4" s="227" t="str">
        <f>TEXT(DS9,"MMMM JJ")</f>
        <v>February 26</v>
      </c>
      <c r="DO4" s="228"/>
      <c r="DP4" s="228"/>
      <c r="DQ4" s="228"/>
      <c r="DR4" s="228"/>
      <c r="DS4" s="228"/>
      <c r="DT4" s="229"/>
      <c r="DU4" s="235" t="str">
        <f>TEXT(DZ9,"MMMM JJ")</f>
        <v>March 26</v>
      </c>
      <c r="DV4" s="236"/>
      <c r="DW4" s="236"/>
      <c r="DX4" s="236"/>
      <c r="DY4" s="236"/>
      <c r="DZ4" s="236"/>
      <c r="EA4" s="237"/>
      <c r="EB4" s="235" t="str">
        <f>TEXT(EG9,"MMMM JJ")</f>
        <v>March 26</v>
      </c>
      <c r="EC4" s="236"/>
      <c r="ED4" s="236"/>
      <c r="EE4" s="236"/>
      <c r="EF4" s="236"/>
      <c r="EG4" s="236"/>
      <c r="EH4" s="237"/>
      <c r="EI4" s="235" t="str">
        <f>TEXT(EN9,"MMMM JJ")</f>
        <v>March 26</v>
      </c>
      <c r="EJ4" s="236"/>
      <c r="EK4" s="236"/>
      <c r="EL4" s="236"/>
      <c r="EM4" s="236"/>
      <c r="EN4" s="236"/>
      <c r="EO4" s="237"/>
      <c r="EP4" s="235" t="str">
        <f>TEXT(EU9,"MMMM JJ")</f>
        <v>March 26</v>
      </c>
      <c r="EQ4" s="236"/>
      <c r="ER4" s="236"/>
      <c r="ES4" s="236"/>
      <c r="ET4" s="236"/>
      <c r="EU4" s="236"/>
      <c r="EV4" s="237"/>
      <c r="EW4" s="238" t="str">
        <f>TEXT(FB9,"MMMM JJ")</f>
        <v>April 26</v>
      </c>
      <c r="EX4" s="239"/>
      <c r="EY4" s="239"/>
      <c r="EZ4" s="239"/>
      <c r="FA4" s="239"/>
      <c r="FB4" s="239"/>
      <c r="FC4" s="240"/>
      <c r="FD4" s="238" t="str">
        <f>TEXT(FI9,"MMMM JJ")</f>
        <v>April 26</v>
      </c>
      <c r="FE4" s="239"/>
      <c r="FF4" s="239"/>
      <c r="FG4" s="239"/>
      <c r="FH4" s="239"/>
      <c r="FI4" s="239"/>
      <c r="FJ4" s="240"/>
      <c r="FK4" s="238" t="str">
        <f>TEXT(FP9,"MMMM JJ")</f>
        <v>April 26</v>
      </c>
      <c r="FL4" s="239"/>
      <c r="FM4" s="239"/>
      <c r="FN4" s="239"/>
      <c r="FO4" s="239"/>
      <c r="FP4" s="239"/>
      <c r="FQ4" s="240"/>
      <c r="FR4" s="238" t="str">
        <f>TEXT(FW9,"MMMM JJ")</f>
        <v>April 26</v>
      </c>
      <c r="FS4" s="239"/>
      <c r="FT4" s="239"/>
      <c r="FU4" s="239"/>
      <c r="FV4" s="239"/>
      <c r="FW4" s="239"/>
      <c r="FX4" s="240"/>
      <c r="FY4" s="227" t="str">
        <f>TEXT(GD9,"MMMM JJ")</f>
        <v>May 26</v>
      </c>
      <c r="FZ4" s="228"/>
      <c r="GA4" s="228"/>
      <c r="GB4" s="228"/>
      <c r="GC4" s="228"/>
      <c r="GD4" s="228"/>
      <c r="GE4" s="229"/>
      <c r="GF4" s="227" t="str">
        <f>TEXT(GK9,"MMMM JJ")</f>
        <v>May 26</v>
      </c>
      <c r="GG4" s="228"/>
      <c r="GH4" s="228"/>
      <c r="GI4" s="228"/>
      <c r="GJ4" s="228"/>
      <c r="GK4" s="228"/>
      <c r="GL4" s="229"/>
      <c r="GM4" s="227" t="str">
        <f>TEXT(GR9,"MMMM JJ")</f>
        <v>May 26</v>
      </c>
      <c r="GN4" s="228"/>
      <c r="GO4" s="228"/>
      <c r="GP4" s="228"/>
      <c r="GQ4" s="228"/>
      <c r="GR4" s="228"/>
      <c r="GS4" s="229"/>
      <c r="GT4" s="227" t="str">
        <f>TEXT(GY9,"MMMM JJ")</f>
        <v>May 26</v>
      </c>
      <c r="GU4" s="228"/>
      <c r="GV4" s="228"/>
      <c r="GW4" s="228"/>
      <c r="GX4" s="228"/>
      <c r="GY4" s="228"/>
      <c r="GZ4" s="229"/>
      <c r="HA4" s="227" t="str">
        <f>TEXT(HF9,"MMMM JJ")</f>
        <v>May 26</v>
      </c>
      <c r="HB4" s="228"/>
      <c r="HC4" s="228"/>
      <c r="HD4" s="228"/>
      <c r="HE4" s="228"/>
      <c r="HF4" s="228"/>
      <c r="HG4" s="229"/>
      <c r="HH4" s="227" t="str">
        <f>TEXT(HM9,"MMMM JJ")</f>
        <v>June 26</v>
      </c>
      <c r="HI4" s="228"/>
      <c r="HJ4" s="228"/>
      <c r="HK4" s="228"/>
      <c r="HL4" s="228"/>
      <c r="HM4" s="228"/>
      <c r="HN4" s="229"/>
      <c r="HO4" s="227" t="str">
        <f>TEXT(HT9,"MMMM JJ")</f>
        <v>June 26</v>
      </c>
      <c r="HP4" s="228"/>
      <c r="HQ4" s="228"/>
      <c r="HR4" s="228"/>
      <c r="HS4" s="228"/>
      <c r="HT4" s="228"/>
      <c r="HU4" s="229"/>
      <c r="HV4" s="227" t="str">
        <f>TEXT(IA9,"MMMM JJ")</f>
        <v>June 26</v>
      </c>
      <c r="HW4" s="228"/>
      <c r="HX4" s="228"/>
      <c r="HY4" s="228"/>
      <c r="HZ4" s="228"/>
      <c r="IA4" s="228"/>
      <c r="IB4" s="229"/>
      <c r="IC4" s="227" t="str">
        <f>TEXT(IH9,"MMMM JJ")</f>
        <v>June 26</v>
      </c>
      <c r="ID4" s="228"/>
      <c r="IE4" s="228"/>
      <c r="IF4" s="228"/>
      <c r="IG4" s="228"/>
      <c r="IH4" s="228"/>
      <c r="II4" s="229"/>
      <c r="IJ4" s="227" t="str">
        <f>TEXT(IO9,"MMMM JJ")</f>
        <v>July 26</v>
      </c>
      <c r="IK4" s="228"/>
      <c r="IL4" s="228"/>
      <c r="IM4" s="228"/>
      <c r="IN4" s="228"/>
      <c r="IO4" s="228"/>
      <c r="IP4" s="229"/>
      <c r="IQ4" s="227" t="str">
        <f>TEXT(IV9,"MMMM JJ")</f>
        <v>July 26</v>
      </c>
      <c r="IR4" s="228"/>
      <c r="IS4" s="228"/>
      <c r="IT4" s="228"/>
      <c r="IU4" s="228"/>
      <c r="IV4" s="228"/>
      <c r="IW4" s="229"/>
      <c r="IX4" s="227" t="str">
        <f>TEXT(JC9,"MMMM JJ")</f>
        <v>July 26</v>
      </c>
      <c r="IY4" s="228"/>
      <c r="IZ4" s="228"/>
      <c r="JA4" s="228"/>
      <c r="JB4" s="228"/>
      <c r="JC4" s="228"/>
      <c r="JD4" s="229"/>
      <c r="JE4" s="227" t="str">
        <f>TEXT(JJ9,"MMMM JJ")</f>
        <v>July 26</v>
      </c>
      <c r="JF4" s="228"/>
      <c r="JG4" s="228"/>
      <c r="JH4" s="228"/>
      <c r="JI4" s="228"/>
      <c r="JJ4" s="228"/>
      <c r="JK4" s="229"/>
      <c r="JL4" s="227" t="str">
        <f>TEXT(JQ9,"MMMM JJ")</f>
        <v>August 26</v>
      </c>
      <c r="JM4" s="228"/>
      <c r="JN4" s="228"/>
      <c r="JO4" s="228"/>
      <c r="JP4" s="228"/>
      <c r="JQ4" s="228"/>
      <c r="JR4" s="229"/>
      <c r="JS4" s="227" t="str">
        <f>TEXT(JX9,"MMMM JJ")</f>
        <v>August 26</v>
      </c>
      <c r="JT4" s="228"/>
      <c r="JU4" s="228"/>
      <c r="JV4" s="228"/>
      <c r="JW4" s="228"/>
      <c r="JX4" s="228"/>
      <c r="JY4" s="229"/>
      <c r="JZ4" s="227" t="str">
        <f>TEXT(KE9,"MMMM JJ")</f>
        <v>August 26</v>
      </c>
      <c r="KA4" s="228"/>
      <c r="KB4" s="228"/>
      <c r="KC4" s="228"/>
      <c r="KD4" s="228"/>
      <c r="KE4" s="228"/>
      <c r="KF4" s="229"/>
      <c r="KG4" s="227" t="str">
        <f>TEXT(KL9,"MMMM JJ")</f>
        <v>August 26</v>
      </c>
      <c r="KH4" s="228"/>
      <c r="KI4" s="228"/>
      <c r="KJ4" s="228"/>
      <c r="KK4" s="228"/>
      <c r="KL4" s="228"/>
      <c r="KM4" s="229"/>
      <c r="KN4" s="227" t="str">
        <f>TEXT(KS9,"MMMM JJ")</f>
        <v>August 26</v>
      </c>
      <c r="KO4" s="228"/>
      <c r="KP4" s="228"/>
      <c r="KQ4" s="228"/>
      <c r="KR4" s="228"/>
      <c r="KS4" s="228"/>
      <c r="KT4" s="229"/>
      <c r="KU4" s="227" t="str">
        <f>TEXT(KZ9,"MMMM JJ")</f>
        <v>September 26</v>
      </c>
      <c r="KV4" s="228"/>
      <c r="KW4" s="228"/>
      <c r="KX4" s="228"/>
      <c r="KY4" s="228"/>
      <c r="KZ4" s="228"/>
      <c r="LA4" s="229"/>
      <c r="LB4" s="227" t="str">
        <f>TEXT(LG9,"MMMM JJ")</f>
        <v>September 26</v>
      </c>
      <c r="LC4" s="228"/>
      <c r="LD4" s="228"/>
      <c r="LE4" s="228"/>
      <c r="LF4" s="228"/>
      <c r="LG4" s="228"/>
      <c r="LH4" s="229"/>
      <c r="LI4" s="227" t="str">
        <f>TEXT(LN9,"MMMM JJ")</f>
        <v>September 26</v>
      </c>
      <c r="LJ4" s="228"/>
      <c r="LK4" s="228"/>
      <c r="LL4" s="228"/>
      <c r="LM4" s="228"/>
      <c r="LN4" s="228"/>
      <c r="LO4" s="229"/>
      <c r="LP4" s="227" t="str">
        <f>TEXT(LU9,"MMMM JJ")</f>
        <v>September 26</v>
      </c>
      <c r="LQ4" s="228"/>
      <c r="LR4" s="228"/>
      <c r="LS4" s="228"/>
      <c r="LT4" s="228"/>
      <c r="LU4" s="228"/>
      <c r="LV4" s="229"/>
      <c r="LW4" s="227" t="str">
        <f>TEXT(MB9,"MMMM JJ")</f>
        <v>October 26</v>
      </c>
      <c r="LX4" s="228"/>
      <c r="LY4" s="228"/>
      <c r="LZ4" s="228"/>
      <c r="MA4" s="228"/>
      <c r="MB4" s="228"/>
      <c r="MC4" s="229"/>
      <c r="MD4" s="227" t="str">
        <f>TEXT(MI9,"MMMM JJ")</f>
        <v>October 26</v>
      </c>
      <c r="ME4" s="228"/>
      <c r="MF4" s="228"/>
      <c r="MG4" s="228"/>
      <c r="MH4" s="228"/>
      <c r="MI4" s="228"/>
      <c r="MJ4" s="229"/>
      <c r="MK4" s="227" t="str">
        <f>TEXT(MP9,"MMMM JJ")</f>
        <v>October 26</v>
      </c>
      <c r="ML4" s="228"/>
      <c r="MM4" s="228"/>
      <c r="MN4" s="228"/>
      <c r="MO4" s="228"/>
      <c r="MP4" s="228"/>
      <c r="MQ4" s="229"/>
      <c r="MR4" s="227" t="str">
        <f>TEXT(MW9,"MMMM JJ")</f>
        <v>October 26</v>
      </c>
      <c r="MS4" s="228"/>
      <c r="MT4" s="228"/>
      <c r="MU4" s="228"/>
      <c r="MV4" s="228"/>
      <c r="MW4" s="228"/>
      <c r="MX4" s="229"/>
      <c r="MY4" s="227" t="str">
        <f>TEXT(ND9,"MMMM JJ")</f>
        <v>October 26</v>
      </c>
      <c r="MZ4" s="228"/>
      <c r="NA4" s="228"/>
      <c r="NB4" s="228"/>
      <c r="NC4" s="228"/>
      <c r="ND4" s="228"/>
      <c r="NE4" s="229"/>
      <c r="NF4" s="227" t="str">
        <f>TEXT(NK9,"MMMM JJ")</f>
        <v>November 26</v>
      </c>
      <c r="NG4" s="228"/>
      <c r="NH4" s="228"/>
      <c r="NI4" s="228"/>
      <c r="NJ4" s="228"/>
      <c r="NK4" s="228"/>
      <c r="NL4" s="229"/>
      <c r="NM4" s="227" t="str">
        <f>TEXT(NR9,"MMMM JJ")</f>
        <v>November 26</v>
      </c>
      <c r="NN4" s="228"/>
      <c r="NO4" s="228"/>
      <c r="NP4" s="228"/>
      <c r="NQ4" s="228"/>
      <c r="NR4" s="228"/>
      <c r="NS4" s="229"/>
      <c r="NT4" s="227" t="str">
        <f>TEXT(NY9,"MMMM JJ")</f>
        <v>November 26</v>
      </c>
      <c r="NU4" s="228"/>
      <c r="NV4" s="228"/>
      <c r="NW4" s="228"/>
      <c r="NX4" s="228"/>
      <c r="NY4" s="228"/>
      <c r="NZ4" s="229"/>
    </row>
    <row r="5" spans="2:390" ht="15" customHeight="1" x14ac:dyDescent="0.45">
      <c r="E5" s="230"/>
      <c r="F5" s="230"/>
      <c r="G5" s="47"/>
      <c r="H5" s="70"/>
      <c r="I5" s="70"/>
      <c r="J5" s="47"/>
      <c r="K5" s="47"/>
      <c r="L5" s="47"/>
      <c r="M5" s="47"/>
      <c r="N5" s="47"/>
      <c r="O5" s="47"/>
      <c r="P5" s="47"/>
      <c r="Q5" s="47"/>
      <c r="R5" s="231" t="s">
        <v>6</v>
      </c>
      <c r="S5" s="231"/>
      <c r="T5" s="231"/>
      <c r="U5" s="231"/>
      <c r="V5" s="231"/>
      <c r="W5" s="231"/>
      <c r="X5" s="231"/>
      <c r="Y5" s="231"/>
      <c r="Z5" s="231"/>
      <c r="AA5" s="232">
        <f>WEEKNUM(AF9,21)</f>
        <v>48</v>
      </c>
      <c r="AB5" s="233"/>
      <c r="AC5" s="233"/>
      <c r="AD5" s="233"/>
      <c r="AE5" s="233"/>
      <c r="AF5" s="233"/>
      <c r="AG5" s="234"/>
      <c r="AH5" s="232">
        <f>WEEKNUM(AM9,21)</f>
        <v>49</v>
      </c>
      <c r="AI5" s="233"/>
      <c r="AJ5" s="233"/>
      <c r="AK5" s="233"/>
      <c r="AL5" s="233"/>
      <c r="AM5" s="233"/>
      <c r="AN5" s="234"/>
      <c r="AO5" s="232">
        <f>WEEKNUM(AT9,21)</f>
        <v>50</v>
      </c>
      <c r="AP5" s="233"/>
      <c r="AQ5" s="233"/>
      <c r="AR5" s="233"/>
      <c r="AS5" s="233"/>
      <c r="AT5" s="233"/>
      <c r="AU5" s="234"/>
      <c r="AV5" s="232">
        <f>WEEKNUM(BA9,21)</f>
        <v>51</v>
      </c>
      <c r="AW5" s="233"/>
      <c r="AX5" s="233"/>
      <c r="AY5" s="233"/>
      <c r="AZ5" s="233"/>
      <c r="BA5" s="233"/>
      <c r="BB5" s="234"/>
      <c r="BC5" s="232">
        <f>WEEKNUM(BH9,21)</f>
        <v>52</v>
      </c>
      <c r="BD5" s="233"/>
      <c r="BE5" s="233"/>
      <c r="BF5" s="233"/>
      <c r="BG5" s="233"/>
      <c r="BH5" s="233"/>
      <c r="BI5" s="234"/>
      <c r="BJ5" s="232">
        <f>WEEKNUM(BO9,21)</f>
        <v>1</v>
      </c>
      <c r="BK5" s="233"/>
      <c r="BL5" s="233"/>
      <c r="BM5" s="233"/>
      <c r="BN5" s="233"/>
      <c r="BO5" s="233"/>
      <c r="BP5" s="234"/>
      <c r="BQ5" s="232">
        <f>WEEKNUM(BV9,21)</f>
        <v>2</v>
      </c>
      <c r="BR5" s="233"/>
      <c r="BS5" s="233"/>
      <c r="BT5" s="233"/>
      <c r="BU5" s="233"/>
      <c r="BV5" s="233"/>
      <c r="BW5" s="234"/>
      <c r="BX5" s="232">
        <f>WEEKNUM(CC9,21)</f>
        <v>3</v>
      </c>
      <c r="BY5" s="233"/>
      <c r="BZ5" s="233"/>
      <c r="CA5" s="233"/>
      <c r="CB5" s="233"/>
      <c r="CC5" s="233"/>
      <c r="CD5" s="234"/>
      <c r="CE5" s="232">
        <f>WEEKNUM(CJ9,21)</f>
        <v>4</v>
      </c>
      <c r="CF5" s="233"/>
      <c r="CG5" s="233"/>
      <c r="CH5" s="233"/>
      <c r="CI5" s="233"/>
      <c r="CJ5" s="233"/>
      <c r="CK5" s="234"/>
      <c r="CL5" s="232">
        <f>WEEKNUM(CQ9,21)</f>
        <v>5</v>
      </c>
      <c r="CM5" s="233"/>
      <c r="CN5" s="233"/>
      <c r="CO5" s="233"/>
      <c r="CP5" s="233"/>
      <c r="CQ5" s="233"/>
      <c r="CR5" s="234"/>
      <c r="CS5" s="232">
        <f>WEEKNUM(CX9,21)</f>
        <v>6</v>
      </c>
      <c r="CT5" s="233"/>
      <c r="CU5" s="233"/>
      <c r="CV5" s="233"/>
      <c r="CW5" s="233"/>
      <c r="CX5" s="233"/>
      <c r="CY5" s="234"/>
      <c r="CZ5" s="232">
        <f>WEEKNUM(DE9,21)</f>
        <v>7</v>
      </c>
      <c r="DA5" s="233"/>
      <c r="DB5" s="233"/>
      <c r="DC5" s="233"/>
      <c r="DD5" s="233"/>
      <c r="DE5" s="233"/>
      <c r="DF5" s="234"/>
      <c r="DG5" s="232">
        <f>WEEKNUM(DL9,21)</f>
        <v>8</v>
      </c>
      <c r="DH5" s="233"/>
      <c r="DI5" s="233"/>
      <c r="DJ5" s="233"/>
      <c r="DK5" s="233"/>
      <c r="DL5" s="233"/>
      <c r="DM5" s="234"/>
      <c r="DN5" s="232">
        <f>WEEKNUM(DS9,21)</f>
        <v>9</v>
      </c>
      <c r="DO5" s="233"/>
      <c r="DP5" s="233"/>
      <c r="DQ5" s="233"/>
      <c r="DR5" s="233"/>
      <c r="DS5" s="233"/>
      <c r="DT5" s="234"/>
      <c r="DU5" s="232">
        <f>WEEKNUM(DZ9,21)</f>
        <v>10</v>
      </c>
      <c r="DV5" s="233"/>
      <c r="DW5" s="233"/>
      <c r="DX5" s="233"/>
      <c r="DY5" s="233"/>
      <c r="DZ5" s="233"/>
      <c r="EA5" s="234"/>
      <c r="EB5" s="232">
        <f>WEEKNUM(EG9,21)</f>
        <v>11</v>
      </c>
      <c r="EC5" s="233"/>
      <c r="ED5" s="233"/>
      <c r="EE5" s="233"/>
      <c r="EF5" s="233"/>
      <c r="EG5" s="233"/>
      <c r="EH5" s="234"/>
      <c r="EI5" s="232">
        <f>WEEKNUM(EN9,21)</f>
        <v>12</v>
      </c>
      <c r="EJ5" s="233"/>
      <c r="EK5" s="233"/>
      <c r="EL5" s="233"/>
      <c r="EM5" s="233"/>
      <c r="EN5" s="233"/>
      <c r="EO5" s="234"/>
      <c r="EP5" s="232">
        <f>WEEKNUM(EU9,21)</f>
        <v>13</v>
      </c>
      <c r="EQ5" s="233"/>
      <c r="ER5" s="233"/>
      <c r="ES5" s="233"/>
      <c r="ET5" s="233"/>
      <c r="EU5" s="233"/>
      <c r="EV5" s="234"/>
      <c r="EW5" s="232">
        <f>WEEKNUM(FB9,21)</f>
        <v>14</v>
      </c>
      <c r="EX5" s="233"/>
      <c r="EY5" s="233"/>
      <c r="EZ5" s="233"/>
      <c r="FA5" s="233"/>
      <c r="FB5" s="233"/>
      <c r="FC5" s="234"/>
      <c r="FD5" s="232">
        <f>WEEKNUM(FI9,21)</f>
        <v>15</v>
      </c>
      <c r="FE5" s="233"/>
      <c r="FF5" s="233"/>
      <c r="FG5" s="233"/>
      <c r="FH5" s="233"/>
      <c r="FI5" s="233"/>
      <c r="FJ5" s="234"/>
      <c r="FK5" s="232">
        <f>WEEKNUM(FP9,21)</f>
        <v>16</v>
      </c>
      <c r="FL5" s="233"/>
      <c r="FM5" s="233"/>
      <c r="FN5" s="233"/>
      <c r="FO5" s="233"/>
      <c r="FP5" s="233"/>
      <c r="FQ5" s="234"/>
      <c r="FR5" s="232">
        <f>WEEKNUM(FW9,21)</f>
        <v>17</v>
      </c>
      <c r="FS5" s="233"/>
      <c r="FT5" s="233"/>
      <c r="FU5" s="233"/>
      <c r="FV5" s="233"/>
      <c r="FW5" s="233"/>
      <c r="FX5" s="234"/>
      <c r="FY5" s="232">
        <f>WEEKNUM(GD9,21)</f>
        <v>18</v>
      </c>
      <c r="FZ5" s="233"/>
      <c r="GA5" s="233"/>
      <c r="GB5" s="233"/>
      <c r="GC5" s="233"/>
      <c r="GD5" s="233"/>
      <c r="GE5" s="234"/>
      <c r="GF5" s="232">
        <f>WEEKNUM(GK9,21)</f>
        <v>19</v>
      </c>
      <c r="GG5" s="233"/>
      <c r="GH5" s="233"/>
      <c r="GI5" s="233"/>
      <c r="GJ5" s="233"/>
      <c r="GK5" s="233"/>
      <c r="GL5" s="234"/>
      <c r="GM5" s="232">
        <f>WEEKNUM(GR9,21)</f>
        <v>20</v>
      </c>
      <c r="GN5" s="233"/>
      <c r="GO5" s="233"/>
      <c r="GP5" s="233"/>
      <c r="GQ5" s="233"/>
      <c r="GR5" s="233"/>
      <c r="GS5" s="234"/>
      <c r="GT5" s="232">
        <f>WEEKNUM(GY9,21)</f>
        <v>21</v>
      </c>
      <c r="GU5" s="233"/>
      <c r="GV5" s="233"/>
      <c r="GW5" s="233"/>
      <c r="GX5" s="233"/>
      <c r="GY5" s="233"/>
      <c r="GZ5" s="234"/>
      <c r="HA5" s="232">
        <f>WEEKNUM(HF9,21)</f>
        <v>22</v>
      </c>
      <c r="HB5" s="233"/>
      <c r="HC5" s="233"/>
      <c r="HD5" s="233"/>
      <c r="HE5" s="233"/>
      <c r="HF5" s="233"/>
      <c r="HG5" s="234"/>
      <c r="HH5" s="232">
        <f>WEEKNUM(HM9,21)</f>
        <v>23</v>
      </c>
      <c r="HI5" s="233"/>
      <c r="HJ5" s="233"/>
      <c r="HK5" s="233"/>
      <c r="HL5" s="233"/>
      <c r="HM5" s="233"/>
      <c r="HN5" s="234"/>
      <c r="HO5" s="232">
        <f>WEEKNUM(HT9,21)</f>
        <v>24</v>
      </c>
      <c r="HP5" s="233"/>
      <c r="HQ5" s="233"/>
      <c r="HR5" s="233"/>
      <c r="HS5" s="233"/>
      <c r="HT5" s="233"/>
      <c r="HU5" s="234"/>
      <c r="HV5" s="232">
        <f>WEEKNUM(IA9,21)</f>
        <v>25</v>
      </c>
      <c r="HW5" s="233"/>
      <c r="HX5" s="233"/>
      <c r="HY5" s="233"/>
      <c r="HZ5" s="233"/>
      <c r="IA5" s="233"/>
      <c r="IB5" s="234"/>
      <c r="IC5" s="232">
        <f>WEEKNUM(IH9,21)</f>
        <v>26</v>
      </c>
      <c r="ID5" s="233"/>
      <c r="IE5" s="233"/>
      <c r="IF5" s="233"/>
      <c r="IG5" s="233"/>
      <c r="IH5" s="233"/>
      <c r="II5" s="234"/>
      <c r="IJ5" s="232">
        <f>WEEKNUM(IO9,21)</f>
        <v>27</v>
      </c>
      <c r="IK5" s="233"/>
      <c r="IL5" s="233"/>
      <c r="IM5" s="233"/>
      <c r="IN5" s="233"/>
      <c r="IO5" s="233"/>
      <c r="IP5" s="234"/>
      <c r="IQ5" s="232">
        <f>WEEKNUM(IV9,21)</f>
        <v>28</v>
      </c>
      <c r="IR5" s="233"/>
      <c r="IS5" s="233"/>
      <c r="IT5" s="233"/>
      <c r="IU5" s="233"/>
      <c r="IV5" s="233"/>
      <c r="IW5" s="234"/>
      <c r="IX5" s="232">
        <f>WEEKNUM(JC9,21)</f>
        <v>29</v>
      </c>
      <c r="IY5" s="233"/>
      <c r="IZ5" s="233"/>
      <c r="JA5" s="233"/>
      <c r="JB5" s="233"/>
      <c r="JC5" s="233"/>
      <c r="JD5" s="234"/>
      <c r="JE5" s="232">
        <f>WEEKNUM(JJ9,21)</f>
        <v>30</v>
      </c>
      <c r="JF5" s="233"/>
      <c r="JG5" s="233"/>
      <c r="JH5" s="233"/>
      <c r="JI5" s="233"/>
      <c r="JJ5" s="233"/>
      <c r="JK5" s="234"/>
      <c r="JL5" s="232">
        <f>WEEKNUM(JQ9,21)</f>
        <v>31</v>
      </c>
      <c r="JM5" s="233"/>
      <c r="JN5" s="233"/>
      <c r="JO5" s="233"/>
      <c r="JP5" s="233"/>
      <c r="JQ5" s="233"/>
      <c r="JR5" s="234"/>
      <c r="JS5" s="232">
        <f>WEEKNUM(JX9,21)</f>
        <v>32</v>
      </c>
      <c r="JT5" s="233"/>
      <c r="JU5" s="233"/>
      <c r="JV5" s="233"/>
      <c r="JW5" s="233"/>
      <c r="JX5" s="233"/>
      <c r="JY5" s="234"/>
      <c r="JZ5" s="232">
        <f>WEEKNUM(KE9,21)</f>
        <v>33</v>
      </c>
      <c r="KA5" s="233"/>
      <c r="KB5" s="233"/>
      <c r="KC5" s="233"/>
      <c r="KD5" s="233"/>
      <c r="KE5" s="233"/>
      <c r="KF5" s="234"/>
      <c r="KG5" s="232">
        <f>WEEKNUM(KL9,21)</f>
        <v>34</v>
      </c>
      <c r="KH5" s="233"/>
      <c r="KI5" s="233"/>
      <c r="KJ5" s="233"/>
      <c r="KK5" s="233"/>
      <c r="KL5" s="233"/>
      <c r="KM5" s="234"/>
      <c r="KN5" s="232">
        <f>WEEKNUM(KS9,21)</f>
        <v>35</v>
      </c>
      <c r="KO5" s="233"/>
      <c r="KP5" s="233"/>
      <c r="KQ5" s="233"/>
      <c r="KR5" s="233"/>
      <c r="KS5" s="233"/>
      <c r="KT5" s="234"/>
      <c r="KU5" s="232">
        <f>WEEKNUM(KZ9,21)</f>
        <v>36</v>
      </c>
      <c r="KV5" s="233"/>
      <c r="KW5" s="233"/>
      <c r="KX5" s="233"/>
      <c r="KY5" s="233"/>
      <c r="KZ5" s="233"/>
      <c r="LA5" s="234"/>
      <c r="LB5" s="232">
        <f>WEEKNUM(LG9,21)</f>
        <v>37</v>
      </c>
      <c r="LC5" s="233"/>
      <c r="LD5" s="233"/>
      <c r="LE5" s="233"/>
      <c r="LF5" s="233"/>
      <c r="LG5" s="233"/>
      <c r="LH5" s="234"/>
      <c r="LI5" s="232">
        <f>WEEKNUM(LN9,21)</f>
        <v>38</v>
      </c>
      <c r="LJ5" s="233"/>
      <c r="LK5" s="233"/>
      <c r="LL5" s="233"/>
      <c r="LM5" s="233"/>
      <c r="LN5" s="233"/>
      <c r="LO5" s="234"/>
      <c r="LP5" s="232">
        <f>WEEKNUM(LU9,21)</f>
        <v>39</v>
      </c>
      <c r="LQ5" s="233"/>
      <c r="LR5" s="233"/>
      <c r="LS5" s="233"/>
      <c r="LT5" s="233"/>
      <c r="LU5" s="233"/>
      <c r="LV5" s="234"/>
      <c r="LW5" s="232">
        <f>WEEKNUM(MB9,21)</f>
        <v>40</v>
      </c>
      <c r="LX5" s="233"/>
      <c r="LY5" s="233"/>
      <c r="LZ5" s="233"/>
      <c r="MA5" s="233"/>
      <c r="MB5" s="233"/>
      <c r="MC5" s="234"/>
      <c r="MD5" s="232">
        <f>WEEKNUM(MI9,21)</f>
        <v>41</v>
      </c>
      <c r="ME5" s="233"/>
      <c r="MF5" s="233"/>
      <c r="MG5" s="233"/>
      <c r="MH5" s="233"/>
      <c r="MI5" s="233"/>
      <c r="MJ5" s="234"/>
      <c r="MK5" s="232">
        <f>WEEKNUM(MP9,21)</f>
        <v>42</v>
      </c>
      <c r="ML5" s="233"/>
      <c r="MM5" s="233"/>
      <c r="MN5" s="233"/>
      <c r="MO5" s="233"/>
      <c r="MP5" s="233"/>
      <c r="MQ5" s="234"/>
      <c r="MR5" s="232">
        <f>WEEKNUM(MW9,21)</f>
        <v>43</v>
      </c>
      <c r="MS5" s="233"/>
      <c r="MT5" s="233"/>
      <c r="MU5" s="233"/>
      <c r="MV5" s="233"/>
      <c r="MW5" s="233"/>
      <c r="MX5" s="234"/>
      <c r="MY5" s="232">
        <f>WEEKNUM(ND9,21)</f>
        <v>44</v>
      </c>
      <c r="MZ5" s="233"/>
      <c r="NA5" s="233"/>
      <c r="NB5" s="233"/>
      <c r="NC5" s="233"/>
      <c r="ND5" s="233"/>
      <c r="NE5" s="234"/>
      <c r="NF5" s="232">
        <f>WEEKNUM(NK9,21)</f>
        <v>45</v>
      </c>
      <c r="NG5" s="233"/>
      <c r="NH5" s="233"/>
      <c r="NI5" s="233"/>
      <c r="NJ5" s="233"/>
      <c r="NK5" s="233"/>
      <c r="NL5" s="234"/>
      <c r="NM5" s="232">
        <f>WEEKNUM(NR9,21)</f>
        <v>46</v>
      </c>
      <c r="NN5" s="233"/>
      <c r="NO5" s="233"/>
      <c r="NP5" s="233"/>
      <c r="NQ5" s="233"/>
      <c r="NR5" s="233"/>
      <c r="NS5" s="234"/>
      <c r="NT5" s="232">
        <f>WEEKNUM(NY9,21)</f>
        <v>47</v>
      </c>
      <c r="NU5" s="233"/>
      <c r="NV5" s="233"/>
      <c r="NW5" s="233"/>
      <c r="NX5" s="233"/>
      <c r="NY5" s="233"/>
      <c r="NZ5" s="234"/>
    </row>
    <row r="6" spans="2:390" ht="15" customHeight="1" x14ac:dyDescent="0.45">
      <c r="E6" s="57"/>
      <c r="R6" s="231"/>
      <c r="S6" s="231"/>
      <c r="T6" s="231"/>
      <c r="U6" s="231"/>
      <c r="V6" s="231"/>
      <c r="W6" s="231"/>
      <c r="X6" s="231"/>
      <c r="Y6" s="231"/>
      <c r="Z6" s="231"/>
      <c r="AA6" s="4">
        <v>41</v>
      </c>
      <c r="AB6" s="4">
        <v>42</v>
      </c>
      <c r="AC6" s="4">
        <v>43</v>
      </c>
      <c r="AD6" s="4">
        <v>44</v>
      </c>
      <c r="AE6" s="4">
        <v>45</v>
      </c>
      <c r="AF6" s="4">
        <v>46</v>
      </c>
      <c r="AG6" s="4">
        <v>47</v>
      </c>
      <c r="AH6" s="4">
        <v>48</v>
      </c>
      <c r="AI6" s="4">
        <v>49</v>
      </c>
      <c r="AJ6" s="4">
        <v>50</v>
      </c>
      <c r="AK6" s="4">
        <v>51</v>
      </c>
      <c r="AL6" s="4">
        <v>52</v>
      </c>
      <c r="AM6" s="4">
        <v>53</v>
      </c>
      <c r="AN6" s="4">
        <v>54</v>
      </c>
      <c r="AO6" s="4">
        <v>55</v>
      </c>
      <c r="AP6" s="4">
        <v>56</v>
      </c>
      <c r="AQ6" s="4">
        <v>57</v>
      </c>
      <c r="AR6" s="4">
        <v>58</v>
      </c>
      <c r="AS6" s="4">
        <v>59</v>
      </c>
      <c r="AT6" s="4">
        <v>60</v>
      </c>
      <c r="AU6" s="4">
        <v>61</v>
      </c>
      <c r="AV6" s="4">
        <v>62</v>
      </c>
      <c r="AW6" s="4">
        <v>63</v>
      </c>
      <c r="AX6" s="4">
        <v>64</v>
      </c>
      <c r="AY6" s="4">
        <v>65</v>
      </c>
      <c r="AZ6" s="4">
        <v>66</v>
      </c>
      <c r="BA6" s="4">
        <v>67</v>
      </c>
      <c r="BB6" s="4">
        <v>68</v>
      </c>
      <c r="BC6" s="4">
        <v>69</v>
      </c>
      <c r="BD6" s="4">
        <v>70</v>
      </c>
      <c r="BE6" s="4">
        <v>71</v>
      </c>
      <c r="BF6" s="4">
        <v>72</v>
      </c>
      <c r="BG6" s="4">
        <v>73</v>
      </c>
      <c r="BH6" s="4">
        <v>74</v>
      </c>
      <c r="BI6" s="4">
        <v>75</v>
      </c>
      <c r="BJ6" s="4">
        <v>76</v>
      </c>
      <c r="BK6" s="4">
        <v>77</v>
      </c>
      <c r="BL6" s="4">
        <v>78</v>
      </c>
      <c r="BM6" s="4">
        <v>79</v>
      </c>
      <c r="BN6" s="4">
        <v>80</v>
      </c>
      <c r="BO6" s="4">
        <v>81</v>
      </c>
      <c r="BP6" s="4">
        <v>82</v>
      </c>
      <c r="BQ6" s="4">
        <v>83</v>
      </c>
      <c r="BR6" s="4">
        <v>84</v>
      </c>
      <c r="BS6" s="4">
        <v>85</v>
      </c>
      <c r="BT6" s="4">
        <v>86</v>
      </c>
      <c r="BU6" s="4">
        <v>87</v>
      </c>
      <c r="BV6" s="4">
        <v>88</v>
      </c>
      <c r="BW6" s="4">
        <v>89</v>
      </c>
      <c r="BX6" s="4">
        <v>90</v>
      </c>
      <c r="BY6" s="4">
        <v>91</v>
      </c>
      <c r="BZ6" s="4">
        <v>92</v>
      </c>
      <c r="CA6" s="4">
        <v>93</v>
      </c>
      <c r="CB6" s="4">
        <v>94</v>
      </c>
      <c r="CC6" s="4">
        <v>95</v>
      </c>
      <c r="CD6" s="4">
        <v>96</v>
      </c>
      <c r="CE6" s="4">
        <v>97</v>
      </c>
      <c r="CF6" s="4">
        <v>98</v>
      </c>
      <c r="CG6" s="4">
        <v>99</v>
      </c>
      <c r="CH6" s="4">
        <v>100</v>
      </c>
      <c r="CI6" s="4">
        <v>101</v>
      </c>
      <c r="CJ6" s="4">
        <v>102</v>
      </c>
      <c r="CK6" s="4">
        <v>103</v>
      </c>
      <c r="CL6" s="4">
        <v>104</v>
      </c>
      <c r="CM6" s="4">
        <v>105</v>
      </c>
      <c r="CN6" s="4">
        <v>106</v>
      </c>
      <c r="CO6" s="4">
        <v>107</v>
      </c>
      <c r="CP6" s="4">
        <v>108</v>
      </c>
      <c r="CQ6" s="4">
        <v>109</v>
      </c>
      <c r="CR6" s="4">
        <v>110</v>
      </c>
      <c r="CS6" s="4">
        <v>111</v>
      </c>
      <c r="CT6" s="4">
        <v>112</v>
      </c>
      <c r="CU6" s="4">
        <v>113</v>
      </c>
      <c r="CV6" s="4">
        <v>114</v>
      </c>
      <c r="CW6" s="4">
        <v>115</v>
      </c>
      <c r="CX6" s="4">
        <v>116</v>
      </c>
      <c r="CY6" s="4">
        <v>117</v>
      </c>
      <c r="CZ6" s="4">
        <v>118</v>
      </c>
      <c r="DA6" s="4">
        <v>119</v>
      </c>
      <c r="DB6" s="4">
        <v>120</v>
      </c>
      <c r="DC6" s="4">
        <v>121</v>
      </c>
      <c r="DD6" s="4">
        <v>122</v>
      </c>
      <c r="DE6" s="4">
        <v>123</v>
      </c>
      <c r="DF6" s="4">
        <v>124</v>
      </c>
      <c r="DG6" s="4">
        <v>125</v>
      </c>
      <c r="DH6" s="4">
        <v>126</v>
      </c>
      <c r="DI6" s="4">
        <v>127</v>
      </c>
      <c r="DJ6" s="4">
        <v>128</v>
      </c>
      <c r="DK6" s="4">
        <v>129</v>
      </c>
      <c r="DL6" s="4">
        <v>130</v>
      </c>
      <c r="DM6" s="4">
        <v>131</v>
      </c>
      <c r="DN6" s="4">
        <v>132</v>
      </c>
      <c r="DO6" s="4">
        <v>133</v>
      </c>
      <c r="DP6" s="4">
        <v>134</v>
      </c>
      <c r="DQ6" s="4">
        <v>135</v>
      </c>
      <c r="DR6" s="4">
        <v>136</v>
      </c>
      <c r="DS6" s="4">
        <v>137</v>
      </c>
      <c r="DT6" s="4">
        <v>138</v>
      </c>
      <c r="DU6" s="4">
        <v>139</v>
      </c>
      <c r="DV6" s="4">
        <v>140</v>
      </c>
      <c r="DW6" s="4">
        <v>141</v>
      </c>
      <c r="DX6" s="4">
        <v>142</v>
      </c>
      <c r="DY6" s="4">
        <v>143</v>
      </c>
      <c r="DZ6" s="4">
        <v>144</v>
      </c>
      <c r="EA6" s="4">
        <v>145</v>
      </c>
      <c r="EB6" s="4">
        <v>146</v>
      </c>
      <c r="EC6" s="4">
        <v>147</v>
      </c>
      <c r="ED6" s="4">
        <v>148</v>
      </c>
      <c r="EE6" s="4">
        <v>149</v>
      </c>
      <c r="EF6" s="4"/>
      <c r="EG6" s="4">
        <v>151</v>
      </c>
      <c r="EH6" s="4">
        <v>152</v>
      </c>
      <c r="EI6" s="4">
        <v>153</v>
      </c>
      <c r="EJ6" s="4">
        <v>154</v>
      </c>
      <c r="EK6" s="4">
        <v>155</v>
      </c>
      <c r="EL6" s="4">
        <v>156</v>
      </c>
      <c r="EM6" s="4">
        <v>157</v>
      </c>
      <c r="EN6" s="4">
        <v>158</v>
      </c>
      <c r="EO6" s="4">
        <v>159</v>
      </c>
      <c r="EP6" s="4">
        <v>160</v>
      </c>
      <c r="EQ6" s="4">
        <v>161</v>
      </c>
      <c r="ER6" s="4">
        <v>162</v>
      </c>
      <c r="ES6" s="4">
        <v>163</v>
      </c>
      <c r="ET6" s="4">
        <v>164</v>
      </c>
      <c r="EU6" s="4">
        <v>165</v>
      </c>
      <c r="EV6" s="4">
        <v>166</v>
      </c>
      <c r="EW6" s="4">
        <v>167</v>
      </c>
      <c r="EX6" s="4">
        <v>168</v>
      </c>
      <c r="EY6" s="4">
        <v>169</v>
      </c>
      <c r="EZ6" s="4">
        <v>170</v>
      </c>
      <c r="FA6" s="4">
        <v>171</v>
      </c>
      <c r="FB6" s="4">
        <v>172</v>
      </c>
      <c r="FC6" s="4">
        <v>173</v>
      </c>
      <c r="FD6" s="4">
        <v>174</v>
      </c>
      <c r="FE6" s="4">
        <v>175</v>
      </c>
      <c r="FF6" s="4">
        <v>176</v>
      </c>
      <c r="FG6" s="4">
        <v>177</v>
      </c>
      <c r="FH6" s="4">
        <v>178</v>
      </c>
      <c r="FI6" s="4">
        <v>179</v>
      </c>
      <c r="FJ6" s="4">
        <v>180</v>
      </c>
      <c r="FK6" s="4">
        <v>181</v>
      </c>
      <c r="FL6" s="4">
        <v>182</v>
      </c>
      <c r="FM6" s="4">
        <v>183</v>
      </c>
      <c r="FN6" s="4">
        <v>184</v>
      </c>
      <c r="FO6" s="4">
        <v>185</v>
      </c>
      <c r="FP6" s="4">
        <v>186</v>
      </c>
      <c r="FQ6" s="4">
        <v>187</v>
      </c>
      <c r="FR6" s="4">
        <v>188</v>
      </c>
      <c r="FS6" s="4">
        <v>189</v>
      </c>
      <c r="FT6" s="4">
        <v>190</v>
      </c>
      <c r="FU6" s="4">
        <v>191</v>
      </c>
      <c r="FV6" s="4">
        <v>192</v>
      </c>
      <c r="FW6" s="4">
        <v>193</v>
      </c>
      <c r="FX6" s="4">
        <v>194</v>
      </c>
      <c r="FY6" s="4">
        <v>195</v>
      </c>
      <c r="FZ6" s="4">
        <v>196</v>
      </c>
      <c r="GA6" s="4">
        <v>197</v>
      </c>
      <c r="GB6" s="4">
        <v>198</v>
      </c>
      <c r="GC6" s="4">
        <v>199</v>
      </c>
      <c r="GD6" s="4">
        <v>200</v>
      </c>
      <c r="GE6" s="4">
        <v>201</v>
      </c>
      <c r="GF6" s="4">
        <v>202</v>
      </c>
      <c r="GG6" s="4">
        <v>203</v>
      </c>
      <c r="GH6" s="4">
        <v>204</v>
      </c>
      <c r="GI6" s="4">
        <v>205</v>
      </c>
      <c r="GJ6" s="4">
        <v>206</v>
      </c>
      <c r="GK6" s="4">
        <v>207</v>
      </c>
      <c r="GL6" s="4">
        <v>208</v>
      </c>
      <c r="GM6" s="4">
        <v>209</v>
      </c>
      <c r="GN6" s="4">
        <v>210</v>
      </c>
      <c r="GO6" s="4">
        <v>211</v>
      </c>
      <c r="GP6" s="4">
        <v>212</v>
      </c>
      <c r="GQ6" s="4">
        <v>213</v>
      </c>
      <c r="GR6" s="4">
        <v>214</v>
      </c>
      <c r="GS6" s="4">
        <v>215</v>
      </c>
      <c r="GT6" s="4">
        <v>216</v>
      </c>
      <c r="GU6" s="4">
        <v>217</v>
      </c>
      <c r="GV6" s="4">
        <v>218</v>
      </c>
      <c r="GW6" s="4">
        <v>219</v>
      </c>
      <c r="GX6" s="4">
        <v>220</v>
      </c>
      <c r="GY6" s="4">
        <v>221</v>
      </c>
      <c r="GZ6" s="4">
        <v>222</v>
      </c>
      <c r="HA6" s="4">
        <v>223</v>
      </c>
      <c r="HB6" s="4">
        <v>224</v>
      </c>
      <c r="HC6" s="4">
        <v>225</v>
      </c>
      <c r="HD6" s="4">
        <v>226</v>
      </c>
      <c r="HE6" s="4">
        <v>227</v>
      </c>
      <c r="HF6" s="4">
        <v>228</v>
      </c>
      <c r="HG6" s="4">
        <v>229</v>
      </c>
      <c r="HH6" s="4">
        <v>230</v>
      </c>
      <c r="HI6" s="4">
        <v>231</v>
      </c>
      <c r="HJ6" s="4">
        <v>232</v>
      </c>
      <c r="HK6" s="4">
        <v>233</v>
      </c>
      <c r="HL6" s="4">
        <v>234</v>
      </c>
      <c r="HM6" s="4">
        <v>235</v>
      </c>
      <c r="HN6" s="4">
        <v>236</v>
      </c>
      <c r="HO6" s="4">
        <v>237</v>
      </c>
      <c r="HP6" s="4">
        <v>238</v>
      </c>
      <c r="HQ6" s="4">
        <v>239</v>
      </c>
      <c r="HR6" s="4">
        <v>240</v>
      </c>
      <c r="HS6" s="4">
        <v>241</v>
      </c>
      <c r="HT6" s="4">
        <v>242</v>
      </c>
      <c r="HU6" s="4">
        <v>243</v>
      </c>
      <c r="HV6" s="4">
        <v>244</v>
      </c>
      <c r="HW6" s="4">
        <v>245</v>
      </c>
      <c r="HX6" s="4">
        <v>246</v>
      </c>
      <c r="HY6" s="4">
        <v>247</v>
      </c>
      <c r="HZ6" s="4">
        <v>248</v>
      </c>
      <c r="IA6" s="4">
        <v>249</v>
      </c>
      <c r="IB6" s="4">
        <v>250</v>
      </c>
      <c r="IC6" s="4">
        <v>251</v>
      </c>
      <c r="ID6" s="4">
        <v>252</v>
      </c>
      <c r="IE6" s="4">
        <v>253</v>
      </c>
      <c r="IF6" s="4">
        <v>254</v>
      </c>
      <c r="IG6" s="4">
        <v>255</v>
      </c>
      <c r="IH6" s="4">
        <v>256</v>
      </c>
      <c r="II6" s="4">
        <v>257</v>
      </c>
      <c r="IJ6" s="4">
        <v>258</v>
      </c>
      <c r="IK6" s="4">
        <v>259</v>
      </c>
      <c r="IL6" s="4">
        <v>260</v>
      </c>
      <c r="IM6" s="4">
        <v>261</v>
      </c>
      <c r="IN6" s="4">
        <v>262</v>
      </c>
      <c r="IO6" s="4">
        <v>263</v>
      </c>
      <c r="IP6" s="4">
        <v>264</v>
      </c>
      <c r="IQ6" s="4">
        <v>265</v>
      </c>
      <c r="IR6" s="4">
        <v>266</v>
      </c>
      <c r="IS6" s="4">
        <v>267</v>
      </c>
      <c r="IT6" s="4">
        <v>268</v>
      </c>
      <c r="IU6" s="4">
        <v>269</v>
      </c>
      <c r="IV6" s="4">
        <v>270</v>
      </c>
      <c r="IW6" s="4">
        <v>271</v>
      </c>
      <c r="IX6" s="4">
        <v>272</v>
      </c>
      <c r="IY6" s="4">
        <v>273</v>
      </c>
      <c r="IZ6" s="4">
        <v>274</v>
      </c>
      <c r="JA6" s="4">
        <v>275</v>
      </c>
      <c r="JB6" s="4">
        <v>276</v>
      </c>
      <c r="JC6" s="4">
        <v>277</v>
      </c>
      <c r="JD6" s="4">
        <v>278</v>
      </c>
      <c r="JE6" s="4">
        <v>279</v>
      </c>
      <c r="JF6" s="4">
        <v>280</v>
      </c>
      <c r="JG6" s="4">
        <v>281</v>
      </c>
      <c r="JH6" s="4">
        <v>282</v>
      </c>
      <c r="JI6" s="4">
        <v>283</v>
      </c>
      <c r="JJ6" s="4">
        <v>284</v>
      </c>
      <c r="JK6" s="4">
        <v>285</v>
      </c>
      <c r="JL6" s="4">
        <v>286</v>
      </c>
      <c r="JM6" s="4">
        <v>287</v>
      </c>
      <c r="JN6" s="4">
        <v>288</v>
      </c>
      <c r="JO6" s="4">
        <v>289</v>
      </c>
      <c r="JP6" s="4">
        <v>290</v>
      </c>
      <c r="JQ6" s="4">
        <v>291</v>
      </c>
      <c r="JR6" s="4">
        <v>292</v>
      </c>
      <c r="JS6" s="4">
        <v>293</v>
      </c>
      <c r="JT6" s="4">
        <v>294</v>
      </c>
      <c r="JU6" s="4">
        <v>295</v>
      </c>
      <c r="JV6" s="4">
        <v>296</v>
      </c>
      <c r="JW6" s="4">
        <v>297</v>
      </c>
      <c r="JX6" s="4">
        <v>298</v>
      </c>
      <c r="JY6" s="4">
        <v>299</v>
      </c>
      <c r="JZ6" s="4">
        <v>300</v>
      </c>
      <c r="KA6" s="4">
        <v>301</v>
      </c>
      <c r="KB6" s="4">
        <v>302</v>
      </c>
      <c r="KC6" s="4">
        <v>303</v>
      </c>
      <c r="KD6" s="4">
        <v>304</v>
      </c>
      <c r="KE6" s="4">
        <v>305</v>
      </c>
      <c r="KF6" s="4">
        <v>306</v>
      </c>
      <c r="KG6" s="4">
        <v>307</v>
      </c>
      <c r="KH6" s="4">
        <v>308</v>
      </c>
      <c r="KI6" s="4">
        <v>309</v>
      </c>
      <c r="KJ6" s="4">
        <v>310</v>
      </c>
      <c r="KK6" s="4">
        <v>311</v>
      </c>
      <c r="KL6" s="4">
        <v>312</v>
      </c>
      <c r="KM6" s="4">
        <v>313</v>
      </c>
      <c r="KN6" s="4">
        <v>314</v>
      </c>
      <c r="KO6" s="4">
        <v>315</v>
      </c>
      <c r="KP6" s="4">
        <v>316</v>
      </c>
      <c r="KQ6" s="4">
        <v>317</v>
      </c>
      <c r="KR6" s="4">
        <v>318</v>
      </c>
      <c r="KS6" s="4">
        <v>319</v>
      </c>
      <c r="KT6" s="4">
        <v>320</v>
      </c>
      <c r="KU6" s="4">
        <v>321</v>
      </c>
      <c r="KV6" s="4">
        <v>322</v>
      </c>
      <c r="KW6" s="4">
        <v>323</v>
      </c>
      <c r="KX6" s="4">
        <v>324</v>
      </c>
      <c r="KY6" s="4">
        <v>325</v>
      </c>
      <c r="KZ6" s="4">
        <v>326</v>
      </c>
      <c r="LA6" s="4">
        <v>327</v>
      </c>
      <c r="LB6" s="4">
        <v>328</v>
      </c>
      <c r="LC6" s="4">
        <v>329</v>
      </c>
      <c r="LD6" s="4">
        <v>330</v>
      </c>
      <c r="LE6" s="4">
        <v>331</v>
      </c>
      <c r="LF6" s="4">
        <v>332</v>
      </c>
      <c r="LG6" s="4">
        <v>333</v>
      </c>
      <c r="LH6" s="4">
        <v>334</v>
      </c>
      <c r="LI6" s="4">
        <v>335</v>
      </c>
      <c r="LJ6" s="4">
        <v>336</v>
      </c>
      <c r="LK6" s="4">
        <v>337</v>
      </c>
      <c r="LL6" s="4">
        <v>338</v>
      </c>
      <c r="LM6" s="4">
        <v>339</v>
      </c>
      <c r="LN6" s="4">
        <v>340</v>
      </c>
      <c r="LO6" s="4">
        <v>341</v>
      </c>
      <c r="LP6" s="4">
        <v>342</v>
      </c>
      <c r="LQ6" s="4">
        <v>343</v>
      </c>
      <c r="LR6" s="4">
        <v>344</v>
      </c>
      <c r="LS6" s="4">
        <v>345</v>
      </c>
      <c r="LT6" s="4">
        <v>346</v>
      </c>
      <c r="LU6" s="4">
        <v>347</v>
      </c>
      <c r="LV6" s="4">
        <v>348</v>
      </c>
      <c r="LW6" s="4">
        <v>349</v>
      </c>
      <c r="LX6" s="4">
        <v>350</v>
      </c>
      <c r="LY6" s="4">
        <v>351</v>
      </c>
      <c r="LZ6" s="4">
        <v>352</v>
      </c>
      <c r="MA6" s="4">
        <v>353</v>
      </c>
      <c r="MB6" s="4">
        <v>354</v>
      </c>
      <c r="MC6" s="4">
        <v>355</v>
      </c>
      <c r="MD6" s="4">
        <v>356</v>
      </c>
      <c r="ME6" s="4">
        <v>357</v>
      </c>
      <c r="MF6" s="4">
        <v>358</v>
      </c>
      <c r="MG6" s="4">
        <v>359</v>
      </c>
      <c r="MH6" s="4">
        <v>360</v>
      </c>
      <c r="MI6" s="4">
        <v>361</v>
      </c>
      <c r="MJ6" s="4">
        <v>362</v>
      </c>
      <c r="MK6" s="4">
        <v>363</v>
      </c>
      <c r="ML6" s="4">
        <v>364</v>
      </c>
      <c r="MM6" s="4">
        <v>365</v>
      </c>
      <c r="MN6" s="4">
        <v>366</v>
      </c>
      <c r="MO6" s="4">
        <v>367</v>
      </c>
      <c r="MP6" s="4">
        <v>368</v>
      </c>
      <c r="MQ6" s="4">
        <v>369</v>
      </c>
      <c r="MR6" s="4">
        <v>370</v>
      </c>
      <c r="MS6" s="4">
        <v>371</v>
      </c>
      <c r="MT6" s="4">
        <v>372</v>
      </c>
      <c r="MU6" s="4">
        <v>373</v>
      </c>
      <c r="MV6" s="4">
        <v>374</v>
      </c>
      <c r="MW6" s="4">
        <v>375</v>
      </c>
      <c r="MX6" s="4">
        <v>376</v>
      </c>
      <c r="MY6" s="4">
        <v>377</v>
      </c>
      <c r="MZ6" s="4">
        <v>378</v>
      </c>
      <c r="NA6" s="4">
        <v>379</v>
      </c>
      <c r="NB6" s="4">
        <v>380</v>
      </c>
      <c r="NC6" s="4">
        <v>381</v>
      </c>
      <c r="ND6" s="4">
        <v>382</v>
      </c>
      <c r="NE6" s="4">
        <v>383</v>
      </c>
      <c r="NF6" s="4">
        <v>384</v>
      </c>
      <c r="NG6" s="4">
        <v>385</v>
      </c>
      <c r="NH6" s="4">
        <v>386</v>
      </c>
      <c r="NI6" s="4">
        <v>387</v>
      </c>
      <c r="NJ6" s="4">
        <v>388</v>
      </c>
      <c r="NK6" s="4">
        <v>389</v>
      </c>
      <c r="NL6" s="4">
        <v>390</v>
      </c>
      <c r="NM6" s="4">
        <v>391</v>
      </c>
      <c r="NN6" s="4">
        <v>392</v>
      </c>
      <c r="NO6" s="4">
        <v>393</v>
      </c>
      <c r="NP6" s="4">
        <v>394</v>
      </c>
      <c r="NQ6" s="4">
        <v>395</v>
      </c>
      <c r="NR6" s="4">
        <v>396</v>
      </c>
      <c r="NS6" s="4">
        <v>397</v>
      </c>
      <c r="NT6" s="4">
        <v>398</v>
      </c>
      <c r="NU6" s="4">
        <v>399</v>
      </c>
      <c r="NV6" s="4">
        <v>400</v>
      </c>
      <c r="NW6" s="4">
        <v>401</v>
      </c>
      <c r="NX6" s="4">
        <v>402</v>
      </c>
      <c r="NY6" s="4">
        <v>403</v>
      </c>
      <c r="NZ6" s="4">
        <v>404</v>
      </c>
    </row>
    <row r="7" spans="2:390" ht="15" customHeight="1" x14ac:dyDescent="0.45">
      <c r="E7" s="17"/>
      <c r="U7" s="10"/>
      <c r="V7" s="10"/>
      <c r="W7" s="10"/>
      <c r="X7" s="10"/>
      <c r="Y7" s="10"/>
      <c r="AA7" s="5" t="str">
        <f t="shared" ref="AA7:AX7" si="0">TEXT(AA9,"TTT")</f>
        <v>Mon</v>
      </c>
      <c r="AB7" s="5" t="str">
        <f t="shared" si="0"/>
        <v>Tue</v>
      </c>
      <c r="AC7" s="5" t="str">
        <f t="shared" si="0"/>
        <v>Wed</v>
      </c>
      <c r="AD7" s="5" t="str">
        <f t="shared" si="0"/>
        <v>Thu</v>
      </c>
      <c r="AE7" s="5" t="str">
        <f t="shared" si="0"/>
        <v>Fri</v>
      </c>
      <c r="AF7" s="5" t="str">
        <f t="shared" si="0"/>
        <v>Sat</v>
      </c>
      <c r="AG7" s="5" t="str">
        <f t="shared" si="0"/>
        <v>Sun</v>
      </c>
      <c r="AH7" s="5" t="str">
        <f t="shared" si="0"/>
        <v>Mon</v>
      </c>
      <c r="AI7" s="5" t="str">
        <f t="shared" si="0"/>
        <v>Tue</v>
      </c>
      <c r="AJ7" s="5" t="str">
        <f t="shared" si="0"/>
        <v>Wed</v>
      </c>
      <c r="AK7" s="5" t="str">
        <f t="shared" si="0"/>
        <v>Thu</v>
      </c>
      <c r="AL7" s="5" t="str">
        <f t="shared" si="0"/>
        <v>Fri</v>
      </c>
      <c r="AM7" s="5" t="str">
        <f t="shared" si="0"/>
        <v>Sat</v>
      </c>
      <c r="AN7" s="5" t="str">
        <f t="shared" si="0"/>
        <v>Sun</v>
      </c>
      <c r="AO7" s="5" t="str">
        <f t="shared" si="0"/>
        <v>Mon</v>
      </c>
      <c r="AP7" s="5" t="str">
        <f t="shared" si="0"/>
        <v>Tue</v>
      </c>
      <c r="AQ7" s="5" t="str">
        <f t="shared" si="0"/>
        <v>Wed</v>
      </c>
      <c r="AR7" s="5" t="str">
        <f t="shared" si="0"/>
        <v>Thu</v>
      </c>
      <c r="AS7" s="5" t="str">
        <f t="shared" si="0"/>
        <v>Fri</v>
      </c>
      <c r="AT7" s="5" t="str">
        <f t="shared" si="0"/>
        <v>Sat</v>
      </c>
      <c r="AU7" s="5" t="str">
        <f t="shared" si="0"/>
        <v>Sun</v>
      </c>
      <c r="AV7" s="5" t="str">
        <f t="shared" si="0"/>
        <v>Mon</v>
      </c>
      <c r="AW7" s="5" t="str">
        <f t="shared" si="0"/>
        <v>Tue</v>
      </c>
      <c r="AX7" s="5" t="str">
        <f t="shared" si="0"/>
        <v>Wed</v>
      </c>
      <c r="AY7" s="5" t="str">
        <f t="shared" ref="AY7:DJ7" si="1">TEXT(AY9,"TTT")</f>
        <v>Thu</v>
      </c>
      <c r="AZ7" s="5" t="str">
        <f t="shared" si="1"/>
        <v>Fri</v>
      </c>
      <c r="BA7" s="5" t="str">
        <f t="shared" si="1"/>
        <v>Sat</v>
      </c>
      <c r="BB7" s="5" t="str">
        <f t="shared" si="1"/>
        <v>Sun</v>
      </c>
      <c r="BC7" s="5" t="str">
        <f t="shared" si="1"/>
        <v>Mon</v>
      </c>
      <c r="BD7" s="5" t="str">
        <f t="shared" si="1"/>
        <v>Tue</v>
      </c>
      <c r="BE7" s="5" t="str">
        <f t="shared" si="1"/>
        <v>Wed</v>
      </c>
      <c r="BF7" s="5" t="str">
        <f t="shared" si="1"/>
        <v>Thu</v>
      </c>
      <c r="BG7" s="5" t="str">
        <f t="shared" si="1"/>
        <v>Fri</v>
      </c>
      <c r="BH7" s="5" t="str">
        <f t="shared" si="1"/>
        <v>Sat</v>
      </c>
      <c r="BI7" s="5" t="str">
        <f t="shared" si="1"/>
        <v>Sun</v>
      </c>
      <c r="BJ7" s="5" t="str">
        <f t="shared" si="1"/>
        <v>Mon</v>
      </c>
      <c r="BK7" s="5" t="str">
        <f t="shared" si="1"/>
        <v>Tue</v>
      </c>
      <c r="BL7" s="5" t="str">
        <f t="shared" si="1"/>
        <v>Wed</v>
      </c>
      <c r="BM7" s="5" t="str">
        <f t="shared" si="1"/>
        <v>Thu</v>
      </c>
      <c r="BN7" s="5" t="str">
        <f t="shared" si="1"/>
        <v>Fri</v>
      </c>
      <c r="BO7" s="5" t="str">
        <f t="shared" si="1"/>
        <v>Sat</v>
      </c>
      <c r="BP7" s="5" t="str">
        <f t="shared" si="1"/>
        <v>Sun</v>
      </c>
      <c r="BQ7" s="5" t="str">
        <f t="shared" si="1"/>
        <v>Mon</v>
      </c>
      <c r="BR7" s="5" t="str">
        <f t="shared" si="1"/>
        <v>Tue</v>
      </c>
      <c r="BS7" s="5" t="str">
        <f t="shared" si="1"/>
        <v>Wed</v>
      </c>
      <c r="BT7" s="5" t="str">
        <f t="shared" si="1"/>
        <v>Thu</v>
      </c>
      <c r="BU7" s="5" t="str">
        <f t="shared" si="1"/>
        <v>Fri</v>
      </c>
      <c r="BV7" s="5" t="str">
        <f t="shared" si="1"/>
        <v>Sat</v>
      </c>
      <c r="BW7" s="5" t="str">
        <f t="shared" si="1"/>
        <v>Sun</v>
      </c>
      <c r="BX7" s="5" t="str">
        <f t="shared" si="1"/>
        <v>Mon</v>
      </c>
      <c r="BY7" s="5" t="str">
        <f t="shared" si="1"/>
        <v>Tue</v>
      </c>
      <c r="BZ7" s="5" t="str">
        <f t="shared" si="1"/>
        <v>Wed</v>
      </c>
      <c r="CA7" s="5" t="str">
        <f t="shared" si="1"/>
        <v>Thu</v>
      </c>
      <c r="CB7" s="5" t="str">
        <f t="shared" si="1"/>
        <v>Fri</v>
      </c>
      <c r="CC7" s="5" t="str">
        <f t="shared" si="1"/>
        <v>Sat</v>
      </c>
      <c r="CD7" s="5" t="str">
        <f t="shared" si="1"/>
        <v>Sun</v>
      </c>
      <c r="CE7" s="5" t="str">
        <f t="shared" si="1"/>
        <v>Mon</v>
      </c>
      <c r="CF7" s="5" t="str">
        <f t="shared" si="1"/>
        <v>Tue</v>
      </c>
      <c r="CG7" s="5" t="str">
        <f t="shared" si="1"/>
        <v>Wed</v>
      </c>
      <c r="CH7" s="5" t="str">
        <f t="shared" si="1"/>
        <v>Thu</v>
      </c>
      <c r="CI7" s="5" t="str">
        <f t="shared" si="1"/>
        <v>Fri</v>
      </c>
      <c r="CJ7" s="5" t="str">
        <f t="shared" si="1"/>
        <v>Sat</v>
      </c>
      <c r="CK7" s="5" t="str">
        <f t="shared" si="1"/>
        <v>Sun</v>
      </c>
      <c r="CL7" s="5" t="str">
        <f t="shared" si="1"/>
        <v>Mon</v>
      </c>
      <c r="CM7" s="5" t="str">
        <f t="shared" si="1"/>
        <v>Tue</v>
      </c>
      <c r="CN7" s="5" t="str">
        <f t="shared" si="1"/>
        <v>Wed</v>
      </c>
      <c r="CO7" s="5" t="str">
        <f t="shared" si="1"/>
        <v>Thu</v>
      </c>
      <c r="CP7" s="5" t="str">
        <f t="shared" si="1"/>
        <v>Fri</v>
      </c>
      <c r="CQ7" s="5" t="str">
        <f t="shared" si="1"/>
        <v>Sat</v>
      </c>
      <c r="CR7" s="5" t="str">
        <f t="shared" si="1"/>
        <v>Sun</v>
      </c>
      <c r="CS7" s="5" t="str">
        <f t="shared" si="1"/>
        <v>Mon</v>
      </c>
      <c r="CT7" s="5" t="str">
        <f t="shared" si="1"/>
        <v>Tue</v>
      </c>
      <c r="CU7" s="5" t="str">
        <f t="shared" si="1"/>
        <v>Wed</v>
      </c>
      <c r="CV7" s="5" t="str">
        <f t="shared" si="1"/>
        <v>Thu</v>
      </c>
      <c r="CW7" s="5" t="str">
        <f t="shared" si="1"/>
        <v>Fri</v>
      </c>
      <c r="CX7" s="5" t="str">
        <f t="shared" si="1"/>
        <v>Sat</v>
      </c>
      <c r="CY7" s="5" t="str">
        <f t="shared" si="1"/>
        <v>Sun</v>
      </c>
      <c r="CZ7" s="5" t="str">
        <f t="shared" si="1"/>
        <v>Mon</v>
      </c>
      <c r="DA7" s="5" t="str">
        <f t="shared" si="1"/>
        <v>Tue</v>
      </c>
      <c r="DB7" s="5" t="str">
        <f t="shared" si="1"/>
        <v>Wed</v>
      </c>
      <c r="DC7" s="5" t="str">
        <f t="shared" si="1"/>
        <v>Thu</v>
      </c>
      <c r="DD7" s="5" t="str">
        <f t="shared" si="1"/>
        <v>Fri</v>
      </c>
      <c r="DE7" s="5" t="str">
        <f t="shared" si="1"/>
        <v>Sat</v>
      </c>
      <c r="DF7" s="5" t="str">
        <f t="shared" si="1"/>
        <v>Sun</v>
      </c>
      <c r="DG7" s="5" t="str">
        <f t="shared" si="1"/>
        <v>Mon</v>
      </c>
      <c r="DH7" s="5" t="str">
        <f t="shared" si="1"/>
        <v>Tue</v>
      </c>
      <c r="DI7" s="5" t="str">
        <f t="shared" si="1"/>
        <v>Wed</v>
      </c>
      <c r="DJ7" s="5" t="str">
        <f t="shared" si="1"/>
        <v>Thu</v>
      </c>
      <c r="DK7" s="5" t="str">
        <f t="shared" ref="DK7:FV7" si="2">TEXT(DK9,"TTT")</f>
        <v>Fri</v>
      </c>
      <c r="DL7" s="5" t="str">
        <f t="shared" si="2"/>
        <v>Sat</v>
      </c>
      <c r="DM7" s="5" t="str">
        <f t="shared" si="2"/>
        <v>Sun</v>
      </c>
      <c r="DN7" s="5" t="str">
        <f t="shared" si="2"/>
        <v>Mon</v>
      </c>
      <c r="DO7" s="5" t="str">
        <f t="shared" si="2"/>
        <v>Tue</v>
      </c>
      <c r="DP7" s="5" t="str">
        <f t="shared" si="2"/>
        <v>Wed</v>
      </c>
      <c r="DQ7" s="5" t="str">
        <f t="shared" si="2"/>
        <v>Thu</v>
      </c>
      <c r="DR7" s="5" t="str">
        <f t="shared" si="2"/>
        <v>Fri</v>
      </c>
      <c r="DS7" s="5" t="str">
        <f t="shared" si="2"/>
        <v>Sat</v>
      </c>
      <c r="DT7" s="5" t="str">
        <f t="shared" si="2"/>
        <v>Sun</v>
      </c>
      <c r="DU7" s="5" t="str">
        <f t="shared" si="2"/>
        <v>Mon</v>
      </c>
      <c r="DV7" s="5" t="str">
        <f t="shared" si="2"/>
        <v>Tue</v>
      </c>
      <c r="DW7" s="5" t="str">
        <f t="shared" si="2"/>
        <v>Wed</v>
      </c>
      <c r="DX7" s="5" t="str">
        <f t="shared" si="2"/>
        <v>Thu</v>
      </c>
      <c r="DY7" s="5" t="str">
        <f t="shared" si="2"/>
        <v>Fri</v>
      </c>
      <c r="DZ7" s="5" t="str">
        <f t="shared" si="2"/>
        <v>Sat</v>
      </c>
      <c r="EA7" s="5" t="str">
        <f t="shared" si="2"/>
        <v>Sun</v>
      </c>
      <c r="EB7" s="5" t="str">
        <f t="shared" si="2"/>
        <v>Mon</v>
      </c>
      <c r="EC7" s="5" t="str">
        <f t="shared" si="2"/>
        <v>Tue</v>
      </c>
      <c r="ED7" s="5" t="str">
        <f t="shared" si="2"/>
        <v>Wed</v>
      </c>
      <c r="EE7" s="5" t="str">
        <f t="shared" si="2"/>
        <v>Thu</v>
      </c>
      <c r="EF7" s="5" t="str">
        <f t="shared" si="2"/>
        <v>Fri</v>
      </c>
      <c r="EG7" s="5" t="str">
        <f t="shared" si="2"/>
        <v>Sat</v>
      </c>
      <c r="EH7" s="5" t="str">
        <f t="shared" si="2"/>
        <v>Sun</v>
      </c>
      <c r="EI7" s="5" t="str">
        <f t="shared" si="2"/>
        <v>Mon</v>
      </c>
      <c r="EJ7" s="5" t="str">
        <f t="shared" si="2"/>
        <v>Tue</v>
      </c>
      <c r="EK7" s="5" t="str">
        <f t="shared" si="2"/>
        <v>Wed</v>
      </c>
      <c r="EL7" s="5" t="str">
        <f t="shared" si="2"/>
        <v>Thu</v>
      </c>
      <c r="EM7" s="5" t="str">
        <f t="shared" si="2"/>
        <v>Fri</v>
      </c>
      <c r="EN7" s="5" t="str">
        <f t="shared" si="2"/>
        <v>Sat</v>
      </c>
      <c r="EO7" s="5" t="str">
        <f t="shared" si="2"/>
        <v>Sun</v>
      </c>
      <c r="EP7" s="5" t="str">
        <f t="shared" si="2"/>
        <v>Mon</v>
      </c>
      <c r="EQ7" s="5" t="str">
        <f t="shared" si="2"/>
        <v>Tue</v>
      </c>
      <c r="ER7" s="5" t="str">
        <f t="shared" si="2"/>
        <v>Wed</v>
      </c>
      <c r="ES7" s="5" t="str">
        <f t="shared" si="2"/>
        <v>Thu</v>
      </c>
      <c r="ET7" s="5" t="str">
        <f t="shared" si="2"/>
        <v>Fri</v>
      </c>
      <c r="EU7" s="5" t="str">
        <f t="shared" si="2"/>
        <v>Sat</v>
      </c>
      <c r="EV7" s="5" t="str">
        <f t="shared" si="2"/>
        <v>Sun</v>
      </c>
      <c r="EW7" s="5" t="str">
        <f t="shared" si="2"/>
        <v>Mon</v>
      </c>
      <c r="EX7" s="5" t="str">
        <f t="shared" si="2"/>
        <v>Tue</v>
      </c>
      <c r="EY7" s="5" t="str">
        <f t="shared" si="2"/>
        <v>Wed</v>
      </c>
      <c r="EZ7" s="5" t="str">
        <f t="shared" si="2"/>
        <v>Thu</v>
      </c>
      <c r="FA7" s="5" t="str">
        <f t="shared" si="2"/>
        <v>Fri</v>
      </c>
      <c r="FB7" s="5" t="str">
        <f t="shared" si="2"/>
        <v>Sat</v>
      </c>
      <c r="FC7" s="5" t="str">
        <f t="shared" si="2"/>
        <v>Sun</v>
      </c>
      <c r="FD7" s="5" t="str">
        <f t="shared" si="2"/>
        <v>Mon</v>
      </c>
      <c r="FE7" s="5" t="str">
        <f t="shared" si="2"/>
        <v>Tue</v>
      </c>
      <c r="FF7" s="5" t="str">
        <f t="shared" si="2"/>
        <v>Wed</v>
      </c>
      <c r="FG7" s="5" t="str">
        <f t="shared" si="2"/>
        <v>Thu</v>
      </c>
      <c r="FH7" s="5" t="str">
        <f t="shared" si="2"/>
        <v>Fri</v>
      </c>
      <c r="FI7" s="5" t="str">
        <f t="shared" si="2"/>
        <v>Sat</v>
      </c>
      <c r="FJ7" s="5" t="str">
        <f t="shared" si="2"/>
        <v>Sun</v>
      </c>
      <c r="FK7" s="5" t="str">
        <f t="shared" si="2"/>
        <v>Mon</v>
      </c>
      <c r="FL7" s="5" t="str">
        <f t="shared" si="2"/>
        <v>Tue</v>
      </c>
      <c r="FM7" s="5" t="str">
        <f t="shared" si="2"/>
        <v>Wed</v>
      </c>
      <c r="FN7" s="5" t="str">
        <f t="shared" si="2"/>
        <v>Thu</v>
      </c>
      <c r="FO7" s="5" t="str">
        <f t="shared" si="2"/>
        <v>Fri</v>
      </c>
      <c r="FP7" s="5" t="str">
        <f t="shared" si="2"/>
        <v>Sat</v>
      </c>
      <c r="FQ7" s="5" t="str">
        <f t="shared" si="2"/>
        <v>Sun</v>
      </c>
      <c r="FR7" s="5" t="str">
        <f t="shared" si="2"/>
        <v>Mon</v>
      </c>
      <c r="FS7" s="5" t="str">
        <f t="shared" si="2"/>
        <v>Tue</v>
      </c>
      <c r="FT7" s="5" t="str">
        <f t="shared" si="2"/>
        <v>Wed</v>
      </c>
      <c r="FU7" s="5" t="str">
        <f t="shared" si="2"/>
        <v>Thu</v>
      </c>
      <c r="FV7" s="5" t="str">
        <f t="shared" si="2"/>
        <v>Fri</v>
      </c>
      <c r="FW7" s="5" t="str">
        <f t="shared" ref="FW7:IH7" si="3">TEXT(FW9,"TTT")</f>
        <v>Sat</v>
      </c>
      <c r="FX7" s="5" t="str">
        <f t="shared" si="3"/>
        <v>Sun</v>
      </c>
      <c r="FY7" s="5" t="str">
        <f t="shared" si="3"/>
        <v>Mon</v>
      </c>
      <c r="FZ7" s="5" t="str">
        <f t="shared" si="3"/>
        <v>Tue</v>
      </c>
      <c r="GA7" s="5" t="str">
        <f t="shared" si="3"/>
        <v>Wed</v>
      </c>
      <c r="GB7" s="5" t="str">
        <f t="shared" si="3"/>
        <v>Thu</v>
      </c>
      <c r="GC7" s="5" t="str">
        <f t="shared" si="3"/>
        <v>Fri</v>
      </c>
      <c r="GD7" s="5" t="str">
        <f t="shared" si="3"/>
        <v>Sat</v>
      </c>
      <c r="GE7" s="5" t="str">
        <f t="shared" si="3"/>
        <v>Sun</v>
      </c>
      <c r="GF7" s="5" t="str">
        <f t="shared" si="3"/>
        <v>Mon</v>
      </c>
      <c r="GG7" s="5" t="str">
        <f t="shared" si="3"/>
        <v>Tue</v>
      </c>
      <c r="GH7" s="5" t="str">
        <f t="shared" si="3"/>
        <v>Wed</v>
      </c>
      <c r="GI7" s="5" t="str">
        <f t="shared" si="3"/>
        <v>Thu</v>
      </c>
      <c r="GJ7" s="5" t="str">
        <f t="shared" si="3"/>
        <v>Fri</v>
      </c>
      <c r="GK7" s="5" t="str">
        <f t="shared" si="3"/>
        <v>Sat</v>
      </c>
      <c r="GL7" s="5" t="str">
        <f t="shared" si="3"/>
        <v>Sun</v>
      </c>
      <c r="GM7" s="5" t="str">
        <f t="shared" si="3"/>
        <v>Mon</v>
      </c>
      <c r="GN7" s="5" t="str">
        <f t="shared" si="3"/>
        <v>Tue</v>
      </c>
      <c r="GO7" s="5" t="str">
        <f t="shared" si="3"/>
        <v>Wed</v>
      </c>
      <c r="GP7" s="5" t="str">
        <f t="shared" si="3"/>
        <v>Thu</v>
      </c>
      <c r="GQ7" s="5" t="str">
        <f t="shared" si="3"/>
        <v>Fri</v>
      </c>
      <c r="GR7" s="5" t="str">
        <f t="shared" si="3"/>
        <v>Sat</v>
      </c>
      <c r="GS7" s="5" t="str">
        <f t="shared" si="3"/>
        <v>Sun</v>
      </c>
      <c r="GT7" s="5" t="str">
        <f t="shared" si="3"/>
        <v>Mon</v>
      </c>
      <c r="GU7" s="5" t="str">
        <f t="shared" si="3"/>
        <v>Tue</v>
      </c>
      <c r="GV7" s="5" t="str">
        <f t="shared" si="3"/>
        <v>Wed</v>
      </c>
      <c r="GW7" s="5" t="str">
        <f t="shared" si="3"/>
        <v>Thu</v>
      </c>
      <c r="GX7" s="5" t="str">
        <f t="shared" si="3"/>
        <v>Fri</v>
      </c>
      <c r="GY7" s="5" t="str">
        <f t="shared" si="3"/>
        <v>Sat</v>
      </c>
      <c r="GZ7" s="5" t="str">
        <f t="shared" si="3"/>
        <v>Sun</v>
      </c>
      <c r="HA7" s="5" t="str">
        <f t="shared" si="3"/>
        <v>Mon</v>
      </c>
      <c r="HB7" s="5" t="str">
        <f t="shared" si="3"/>
        <v>Tue</v>
      </c>
      <c r="HC7" s="5" t="str">
        <f t="shared" si="3"/>
        <v>Wed</v>
      </c>
      <c r="HD7" s="5" t="str">
        <f t="shared" si="3"/>
        <v>Thu</v>
      </c>
      <c r="HE7" s="5" t="str">
        <f t="shared" si="3"/>
        <v>Fri</v>
      </c>
      <c r="HF7" s="5" t="str">
        <f t="shared" si="3"/>
        <v>Sat</v>
      </c>
      <c r="HG7" s="5" t="str">
        <f t="shared" si="3"/>
        <v>Sun</v>
      </c>
      <c r="HH7" s="5" t="str">
        <f t="shared" si="3"/>
        <v>Mon</v>
      </c>
      <c r="HI7" s="5" t="str">
        <f t="shared" si="3"/>
        <v>Tue</v>
      </c>
      <c r="HJ7" s="5" t="str">
        <f t="shared" si="3"/>
        <v>Wed</v>
      </c>
      <c r="HK7" s="5" t="str">
        <f t="shared" si="3"/>
        <v>Thu</v>
      </c>
      <c r="HL7" s="5" t="str">
        <f t="shared" si="3"/>
        <v>Fri</v>
      </c>
      <c r="HM7" s="5" t="str">
        <f t="shared" si="3"/>
        <v>Sat</v>
      </c>
      <c r="HN7" s="5" t="str">
        <f t="shared" si="3"/>
        <v>Sun</v>
      </c>
      <c r="HO7" s="5" t="str">
        <f t="shared" si="3"/>
        <v>Mon</v>
      </c>
      <c r="HP7" s="5" t="str">
        <f t="shared" si="3"/>
        <v>Tue</v>
      </c>
      <c r="HQ7" s="5" t="str">
        <f t="shared" si="3"/>
        <v>Wed</v>
      </c>
      <c r="HR7" s="5" t="str">
        <f t="shared" si="3"/>
        <v>Thu</v>
      </c>
      <c r="HS7" s="5" t="str">
        <f t="shared" si="3"/>
        <v>Fri</v>
      </c>
      <c r="HT7" s="5" t="str">
        <f t="shared" si="3"/>
        <v>Sat</v>
      </c>
      <c r="HU7" s="5" t="str">
        <f t="shared" si="3"/>
        <v>Sun</v>
      </c>
      <c r="HV7" s="5" t="str">
        <f t="shared" si="3"/>
        <v>Mon</v>
      </c>
      <c r="HW7" s="5" t="str">
        <f t="shared" si="3"/>
        <v>Tue</v>
      </c>
      <c r="HX7" s="5" t="str">
        <f t="shared" si="3"/>
        <v>Wed</v>
      </c>
      <c r="HY7" s="5" t="str">
        <f t="shared" si="3"/>
        <v>Thu</v>
      </c>
      <c r="HZ7" s="5" t="str">
        <f t="shared" si="3"/>
        <v>Fri</v>
      </c>
      <c r="IA7" s="5" t="str">
        <f t="shared" si="3"/>
        <v>Sat</v>
      </c>
      <c r="IB7" s="5" t="str">
        <f t="shared" si="3"/>
        <v>Sun</v>
      </c>
      <c r="IC7" s="5" t="str">
        <f t="shared" si="3"/>
        <v>Mon</v>
      </c>
      <c r="ID7" s="5" t="str">
        <f t="shared" si="3"/>
        <v>Tue</v>
      </c>
      <c r="IE7" s="5" t="str">
        <f t="shared" si="3"/>
        <v>Wed</v>
      </c>
      <c r="IF7" s="5" t="str">
        <f t="shared" si="3"/>
        <v>Thu</v>
      </c>
      <c r="IG7" s="5" t="str">
        <f t="shared" si="3"/>
        <v>Fri</v>
      </c>
      <c r="IH7" s="5" t="str">
        <f t="shared" si="3"/>
        <v>Sat</v>
      </c>
      <c r="II7" s="5" t="str">
        <f t="shared" ref="II7:KT7" si="4">TEXT(II9,"TTT")</f>
        <v>Sun</v>
      </c>
      <c r="IJ7" s="5" t="str">
        <f t="shared" si="4"/>
        <v>Mon</v>
      </c>
      <c r="IK7" s="5" t="str">
        <f t="shared" si="4"/>
        <v>Tue</v>
      </c>
      <c r="IL7" s="5" t="str">
        <f t="shared" si="4"/>
        <v>Wed</v>
      </c>
      <c r="IM7" s="5" t="str">
        <f t="shared" si="4"/>
        <v>Thu</v>
      </c>
      <c r="IN7" s="5" t="str">
        <f t="shared" si="4"/>
        <v>Fri</v>
      </c>
      <c r="IO7" s="5" t="str">
        <f t="shared" si="4"/>
        <v>Sat</v>
      </c>
      <c r="IP7" s="5" t="str">
        <f t="shared" si="4"/>
        <v>Sun</v>
      </c>
      <c r="IQ7" s="5" t="str">
        <f t="shared" si="4"/>
        <v>Mon</v>
      </c>
      <c r="IR7" s="5" t="str">
        <f t="shared" si="4"/>
        <v>Tue</v>
      </c>
      <c r="IS7" s="5" t="str">
        <f t="shared" si="4"/>
        <v>Wed</v>
      </c>
      <c r="IT7" s="5" t="str">
        <f t="shared" si="4"/>
        <v>Thu</v>
      </c>
      <c r="IU7" s="5" t="str">
        <f t="shared" si="4"/>
        <v>Fri</v>
      </c>
      <c r="IV7" s="5" t="str">
        <f t="shared" si="4"/>
        <v>Sat</v>
      </c>
      <c r="IW7" s="5" t="str">
        <f t="shared" si="4"/>
        <v>Sun</v>
      </c>
      <c r="IX7" s="5" t="str">
        <f t="shared" si="4"/>
        <v>Mon</v>
      </c>
      <c r="IY7" s="5" t="str">
        <f t="shared" si="4"/>
        <v>Tue</v>
      </c>
      <c r="IZ7" s="5" t="str">
        <f t="shared" si="4"/>
        <v>Wed</v>
      </c>
      <c r="JA7" s="5" t="str">
        <f t="shared" si="4"/>
        <v>Thu</v>
      </c>
      <c r="JB7" s="5" t="str">
        <f t="shared" si="4"/>
        <v>Fri</v>
      </c>
      <c r="JC7" s="5" t="str">
        <f t="shared" si="4"/>
        <v>Sat</v>
      </c>
      <c r="JD7" s="5" t="str">
        <f t="shared" si="4"/>
        <v>Sun</v>
      </c>
      <c r="JE7" s="5" t="str">
        <f t="shared" si="4"/>
        <v>Mon</v>
      </c>
      <c r="JF7" s="5" t="str">
        <f t="shared" si="4"/>
        <v>Tue</v>
      </c>
      <c r="JG7" s="5" t="str">
        <f t="shared" si="4"/>
        <v>Wed</v>
      </c>
      <c r="JH7" s="5" t="str">
        <f t="shared" si="4"/>
        <v>Thu</v>
      </c>
      <c r="JI7" s="5" t="str">
        <f t="shared" si="4"/>
        <v>Fri</v>
      </c>
      <c r="JJ7" s="5" t="str">
        <f t="shared" si="4"/>
        <v>Sat</v>
      </c>
      <c r="JK7" s="5" t="str">
        <f t="shared" si="4"/>
        <v>Sun</v>
      </c>
      <c r="JL7" s="5" t="str">
        <f t="shared" si="4"/>
        <v>Mon</v>
      </c>
      <c r="JM7" s="5" t="str">
        <f t="shared" si="4"/>
        <v>Tue</v>
      </c>
      <c r="JN7" s="5" t="str">
        <f t="shared" si="4"/>
        <v>Wed</v>
      </c>
      <c r="JO7" s="5" t="str">
        <f t="shared" si="4"/>
        <v>Thu</v>
      </c>
      <c r="JP7" s="5" t="str">
        <f t="shared" si="4"/>
        <v>Fri</v>
      </c>
      <c r="JQ7" s="5" t="str">
        <f t="shared" si="4"/>
        <v>Sat</v>
      </c>
      <c r="JR7" s="5" t="str">
        <f t="shared" si="4"/>
        <v>Sun</v>
      </c>
      <c r="JS7" s="5" t="str">
        <f t="shared" si="4"/>
        <v>Mon</v>
      </c>
      <c r="JT7" s="5" t="str">
        <f t="shared" si="4"/>
        <v>Tue</v>
      </c>
      <c r="JU7" s="5" t="str">
        <f t="shared" si="4"/>
        <v>Wed</v>
      </c>
      <c r="JV7" s="5" t="str">
        <f t="shared" si="4"/>
        <v>Thu</v>
      </c>
      <c r="JW7" s="5" t="str">
        <f t="shared" si="4"/>
        <v>Fri</v>
      </c>
      <c r="JX7" s="5" t="str">
        <f t="shared" si="4"/>
        <v>Sat</v>
      </c>
      <c r="JY7" s="5" t="str">
        <f t="shared" si="4"/>
        <v>Sun</v>
      </c>
      <c r="JZ7" s="5" t="str">
        <f t="shared" si="4"/>
        <v>Mon</v>
      </c>
      <c r="KA7" s="5" t="str">
        <f t="shared" si="4"/>
        <v>Tue</v>
      </c>
      <c r="KB7" s="5" t="str">
        <f t="shared" si="4"/>
        <v>Wed</v>
      </c>
      <c r="KC7" s="5" t="str">
        <f t="shared" si="4"/>
        <v>Thu</v>
      </c>
      <c r="KD7" s="5" t="str">
        <f t="shared" si="4"/>
        <v>Fri</v>
      </c>
      <c r="KE7" s="5" t="str">
        <f t="shared" si="4"/>
        <v>Sat</v>
      </c>
      <c r="KF7" s="5" t="str">
        <f t="shared" si="4"/>
        <v>Sun</v>
      </c>
      <c r="KG7" s="5" t="str">
        <f t="shared" si="4"/>
        <v>Mon</v>
      </c>
      <c r="KH7" s="5" t="str">
        <f t="shared" si="4"/>
        <v>Tue</v>
      </c>
      <c r="KI7" s="5" t="str">
        <f t="shared" si="4"/>
        <v>Wed</v>
      </c>
      <c r="KJ7" s="5" t="str">
        <f t="shared" si="4"/>
        <v>Thu</v>
      </c>
      <c r="KK7" s="5" t="str">
        <f t="shared" si="4"/>
        <v>Fri</v>
      </c>
      <c r="KL7" s="5" t="str">
        <f t="shared" si="4"/>
        <v>Sat</v>
      </c>
      <c r="KM7" s="5" t="str">
        <f t="shared" si="4"/>
        <v>Sun</v>
      </c>
      <c r="KN7" s="5" t="str">
        <f t="shared" si="4"/>
        <v>Mon</v>
      </c>
      <c r="KO7" s="5" t="str">
        <f t="shared" si="4"/>
        <v>Tue</v>
      </c>
      <c r="KP7" s="5" t="str">
        <f t="shared" si="4"/>
        <v>Wed</v>
      </c>
      <c r="KQ7" s="5" t="str">
        <f t="shared" si="4"/>
        <v>Thu</v>
      </c>
      <c r="KR7" s="5" t="str">
        <f t="shared" si="4"/>
        <v>Fri</v>
      </c>
      <c r="KS7" s="5" t="str">
        <f t="shared" si="4"/>
        <v>Sat</v>
      </c>
      <c r="KT7" s="5" t="str">
        <f t="shared" si="4"/>
        <v>Sun</v>
      </c>
      <c r="KU7" s="5" t="str">
        <f t="shared" ref="KU7:NF7" si="5">TEXT(KU9,"TTT")</f>
        <v>Mon</v>
      </c>
      <c r="KV7" s="5" t="str">
        <f t="shared" si="5"/>
        <v>Tue</v>
      </c>
      <c r="KW7" s="5" t="str">
        <f t="shared" si="5"/>
        <v>Wed</v>
      </c>
      <c r="KX7" s="5" t="str">
        <f t="shared" si="5"/>
        <v>Thu</v>
      </c>
      <c r="KY7" s="5" t="str">
        <f t="shared" si="5"/>
        <v>Fri</v>
      </c>
      <c r="KZ7" s="5" t="str">
        <f t="shared" si="5"/>
        <v>Sat</v>
      </c>
      <c r="LA7" s="5" t="str">
        <f t="shared" si="5"/>
        <v>Sun</v>
      </c>
      <c r="LB7" s="5" t="str">
        <f t="shared" si="5"/>
        <v>Mon</v>
      </c>
      <c r="LC7" s="5" t="str">
        <f t="shared" si="5"/>
        <v>Tue</v>
      </c>
      <c r="LD7" s="5" t="str">
        <f t="shared" si="5"/>
        <v>Wed</v>
      </c>
      <c r="LE7" s="5" t="str">
        <f t="shared" si="5"/>
        <v>Thu</v>
      </c>
      <c r="LF7" s="5" t="str">
        <f t="shared" si="5"/>
        <v>Fri</v>
      </c>
      <c r="LG7" s="5" t="str">
        <f t="shared" si="5"/>
        <v>Sat</v>
      </c>
      <c r="LH7" s="5" t="str">
        <f t="shared" si="5"/>
        <v>Sun</v>
      </c>
      <c r="LI7" s="5" t="str">
        <f t="shared" si="5"/>
        <v>Mon</v>
      </c>
      <c r="LJ7" s="5" t="str">
        <f t="shared" si="5"/>
        <v>Tue</v>
      </c>
      <c r="LK7" s="5" t="str">
        <f t="shared" si="5"/>
        <v>Wed</v>
      </c>
      <c r="LL7" s="5" t="str">
        <f t="shared" si="5"/>
        <v>Thu</v>
      </c>
      <c r="LM7" s="5" t="str">
        <f t="shared" si="5"/>
        <v>Fri</v>
      </c>
      <c r="LN7" s="5" t="str">
        <f t="shared" si="5"/>
        <v>Sat</v>
      </c>
      <c r="LO7" s="5" t="str">
        <f t="shared" si="5"/>
        <v>Sun</v>
      </c>
      <c r="LP7" s="5" t="str">
        <f t="shared" si="5"/>
        <v>Mon</v>
      </c>
      <c r="LQ7" s="5" t="str">
        <f t="shared" si="5"/>
        <v>Tue</v>
      </c>
      <c r="LR7" s="5" t="str">
        <f t="shared" si="5"/>
        <v>Wed</v>
      </c>
      <c r="LS7" s="5" t="str">
        <f t="shared" si="5"/>
        <v>Thu</v>
      </c>
      <c r="LT7" s="5" t="str">
        <f t="shared" si="5"/>
        <v>Fri</v>
      </c>
      <c r="LU7" s="5" t="str">
        <f t="shared" si="5"/>
        <v>Sat</v>
      </c>
      <c r="LV7" s="5" t="str">
        <f t="shared" si="5"/>
        <v>Sun</v>
      </c>
      <c r="LW7" s="5" t="str">
        <f t="shared" si="5"/>
        <v>Mon</v>
      </c>
      <c r="LX7" s="5" t="str">
        <f t="shared" si="5"/>
        <v>Tue</v>
      </c>
      <c r="LY7" s="5" t="str">
        <f t="shared" si="5"/>
        <v>Wed</v>
      </c>
      <c r="LZ7" s="5" t="str">
        <f t="shared" si="5"/>
        <v>Thu</v>
      </c>
      <c r="MA7" s="5" t="str">
        <f t="shared" si="5"/>
        <v>Fri</v>
      </c>
      <c r="MB7" s="5" t="str">
        <f t="shared" si="5"/>
        <v>Sat</v>
      </c>
      <c r="MC7" s="5" t="str">
        <f t="shared" si="5"/>
        <v>Sun</v>
      </c>
      <c r="MD7" s="5" t="str">
        <f t="shared" si="5"/>
        <v>Mon</v>
      </c>
      <c r="ME7" s="5" t="str">
        <f t="shared" si="5"/>
        <v>Tue</v>
      </c>
      <c r="MF7" s="5" t="str">
        <f t="shared" si="5"/>
        <v>Wed</v>
      </c>
      <c r="MG7" s="5" t="str">
        <f t="shared" si="5"/>
        <v>Thu</v>
      </c>
      <c r="MH7" s="5" t="str">
        <f t="shared" si="5"/>
        <v>Fri</v>
      </c>
      <c r="MI7" s="5" t="str">
        <f t="shared" si="5"/>
        <v>Sat</v>
      </c>
      <c r="MJ7" s="5" t="str">
        <f t="shared" si="5"/>
        <v>Sun</v>
      </c>
      <c r="MK7" s="5" t="str">
        <f t="shared" si="5"/>
        <v>Mon</v>
      </c>
      <c r="ML7" s="5" t="str">
        <f t="shared" si="5"/>
        <v>Tue</v>
      </c>
      <c r="MM7" s="5" t="str">
        <f t="shared" si="5"/>
        <v>Wed</v>
      </c>
      <c r="MN7" s="5" t="str">
        <f t="shared" si="5"/>
        <v>Thu</v>
      </c>
      <c r="MO7" s="5" t="str">
        <f t="shared" si="5"/>
        <v>Fri</v>
      </c>
      <c r="MP7" s="5" t="str">
        <f t="shared" si="5"/>
        <v>Sat</v>
      </c>
      <c r="MQ7" s="5" t="str">
        <f t="shared" si="5"/>
        <v>Sun</v>
      </c>
      <c r="MR7" s="5" t="str">
        <f t="shared" si="5"/>
        <v>Mon</v>
      </c>
      <c r="MS7" s="5" t="str">
        <f t="shared" si="5"/>
        <v>Tue</v>
      </c>
      <c r="MT7" s="5" t="str">
        <f t="shared" si="5"/>
        <v>Wed</v>
      </c>
      <c r="MU7" s="5" t="str">
        <f t="shared" si="5"/>
        <v>Thu</v>
      </c>
      <c r="MV7" s="5" t="str">
        <f t="shared" si="5"/>
        <v>Fri</v>
      </c>
      <c r="MW7" s="5" t="str">
        <f t="shared" si="5"/>
        <v>Sat</v>
      </c>
      <c r="MX7" s="5" t="str">
        <f t="shared" si="5"/>
        <v>Sun</v>
      </c>
      <c r="MY7" s="5" t="str">
        <f t="shared" si="5"/>
        <v>Mon</v>
      </c>
      <c r="MZ7" s="5" t="str">
        <f t="shared" si="5"/>
        <v>Tue</v>
      </c>
      <c r="NA7" s="5" t="str">
        <f t="shared" si="5"/>
        <v>Wed</v>
      </c>
      <c r="NB7" s="5" t="str">
        <f t="shared" si="5"/>
        <v>Thu</v>
      </c>
      <c r="NC7" s="5" t="str">
        <f t="shared" si="5"/>
        <v>Fri</v>
      </c>
      <c r="ND7" s="5" t="str">
        <f t="shared" si="5"/>
        <v>Sat</v>
      </c>
      <c r="NE7" s="5" t="str">
        <f t="shared" si="5"/>
        <v>Sun</v>
      </c>
      <c r="NF7" s="5" t="str">
        <f t="shared" si="5"/>
        <v>Mon</v>
      </c>
      <c r="NG7" s="5" t="str">
        <f t="shared" ref="NG7:NZ7" si="6">TEXT(NG9,"TTT")</f>
        <v>Tue</v>
      </c>
      <c r="NH7" s="5" t="str">
        <f t="shared" si="6"/>
        <v>Wed</v>
      </c>
      <c r="NI7" s="5" t="str">
        <f t="shared" si="6"/>
        <v>Thu</v>
      </c>
      <c r="NJ7" s="5" t="str">
        <f t="shared" si="6"/>
        <v>Fri</v>
      </c>
      <c r="NK7" s="5" t="str">
        <f t="shared" si="6"/>
        <v>Sat</v>
      </c>
      <c r="NL7" s="5" t="str">
        <f t="shared" si="6"/>
        <v>Sun</v>
      </c>
      <c r="NM7" s="5" t="str">
        <f t="shared" si="6"/>
        <v>Mon</v>
      </c>
      <c r="NN7" s="5" t="str">
        <f t="shared" si="6"/>
        <v>Tue</v>
      </c>
      <c r="NO7" s="5" t="str">
        <f t="shared" si="6"/>
        <v>Wed</v>
      </c>
      <c r="NP7" s="5" t="str">
        <f t="shared" si="6"/>
        <v>Thu</v>
      </c>
      <c r="NQ7" s="5" t="str">
        <f t="shared" si="6"/>
        <v>Fri</v>
      </c>
      <c r="NR7" s="5" t="str">
        <f t="shared" si="6"/>
        <v>Sat</v>
      </c>
      <c r="NS7" s="5" t="str">
        <f t="shared" si="6"/>
        <v>Sun</v>
      </c>
      <c r="NT7" s="5" t="str">
        <f t="shared" si="6"/>
        <v>Mon</v>
      </c>
      <c r="NU7" s="5" t="str">
        <f t="shared" si="6"/>
        <v>Tue</v>
      </c>
      <c r="NV7" s="5" t="str">
        <f t="shared" si="6"/>
        <v>Wed</v>
      </c>
      <c r="NW7" s="5" t="str">
        <f t="shared" si="6"/>
        <v>Thu</v>
      </c>
      <c r="NX7" s="5" t="str">
        <f t="shared" si="6"/>
        <v>Fri</v>
      </c>
      <c r="NY7" s="5" t="str">
        <f t="shared" si="6"/>
        <v>Sat</v>
      </c>
      <c r="NZ7" s="5" t="str">
        <f t="shared" si="6"/>
        <v>Sun</v>
      </c>
    </row>
    <row r="8" spans="2:390" ht="15" customHeight="1" x14ac:dyDescent="0.45">
      <c r="E8" s="17"/>
      <c r="R8" s="175"/>
      <c r="S8" s="176"/>
      <c r="U8" s="10"/>
      <c r="V8" s="10"/>
      <c r="W8" s="10"/>
      <c r="X8" s="10"/>
      <c r="Y8" s="10"/>
      <c r="AA8" s="5">
        <f>+_xlfn.ISOWEEKNUM(AA9)</f>
        <v>48</v>
      </c>
      <c r="AB8" s="5">
        <f t="shared" ref="AB8:CM8" si="7">+_xlfn.ISOWEEKNUM(AB9)</f>
        <v>48</v>
      </c>
      <c r="AC8" s="5">
        <f t="shared" si="7"/>
        <v>48</v>
      </c>
      <c r="AD8" s="5">
        <f t="shared" si="7"/>
        <v>48</v>
      </c>
      <c r="AE8" s="5">
        <f t="shared" si="7"/>
        <v>48</v>
      </c>
      <c r="AF8" s="5">
        <f t="shared" si="7"/>
        <v>48</v>
      </c>
      <c r="AG8" s="5">
        <f t="shared" si="7"/>
        <v>48</v>
      </c>
      <c r="AH8" s="5">
        <f t="shared" si="7"/>
        <v>49</v>
      </c>
      <c r="AI8" s="5">
        <f t="shared" si="7"/>
        <v>49</v>
      </c>
      <c r="AJ8" s="5">
        <f t="shared" si="7"/>
        <v>49</v>
      </c>
      <c r="AK8" s="5">
        <f t="shared" si="7"/>
        <v>49</v>
      </c>
      <c r="AL8" s="5">
        <f t="shared" si="7"/>
        <v>49</v>
      </c>
      <c r="AM8" s="5">
        <f t="shared" si="7"/>
        <v>49</v>
      </c>
      <c r="AN8" s="5">
        <f t="shared" si="7"/>
        <v>49</v>
      </c>
      <c r="AO8" s="5">
        <f t="shared" si="7"/>
        <v>50</v>
      </c>
      <c r="AP8" s="5">
        <f t="shared" si="7"/>
        <v>50</v>
      </c>
      <c r="AQ8" s="5">
        <f t="shared" si="7"/>
        <v>50</v>
      </c>
      <c r="AR8" s="5">
        <f t="shared" si="7"/>
        <v>50</v>
      </c>
      <c r="AS8" s="5">
        <f t="shared" si="7"/>
        <v>50</v>
      </c>
      <c r="AT8" s="5">
        <f t="shared" si="7"/>
        <v>50</v>
      </c>
      <c r="AU8" s="5">
        <f t="shared" si="7"/>
        <v>50</v>
      </c>
      <c r="AV8" s="5">
        <f t="shared" si="7"/>
        <v>51</v>
      </c>
      <c r="AW8" s="5">
        <f t="shared" si="7"/>
        <v>51</v>
      </c>
      <c r="AX8" s="5">
        <f t="shared" si="7"/>
        <v>51</v>
      </c>
      <c r="AY8" s="5">
        <f t="shared" si="7"/>
        <v>51</v>
      </c>
      <c r="AZ8" s="5">
        <f t="shared" si="7"/>
        <v>51</v>
      </c>
      <c r="BA8" s="5">
        <f t="shared" si="7"/>
        <v>51</v>
      </c>
      <c r="BB8" s="5">
        <f t="shared" si="7"/>
        <v>51</v>
      </c>
      <c r="BC8" s="5">
        <f t="shared" si="7"/>
        <v>52</v>
      </c>
      <c r="BD8" s="5">
        <f t="shared" si="7"/>
        <v>52</v>
      </c>
      <c r="BE8" s="5">
        <f t="shared" si="7"/>
        <v>52</v>
      </c>
      <c r="BF8" s="5">
        <f t="shared" si="7"/>
        <v>52</v>
      </c>
      <c r="BG8" s="5">
        <f t="shared" si="7"/>
        <v>52</v>
      </c>
      <c r="BH8" s="5">
        <f t="shared" si="7"/>
        <v>52</v>
      </c>
      <c r="BI8" s="5">
        <f t="shared" si="7"/>
        <v>52</v>
      </c>
      <c r="BJ8" s="5">
        <f t="shared" si="7"/>
        <v>1</v>
      </c>
      <c r="BK8" s="5">
        <f t="shared" si="7"/>
        <v>1</v>
      </c>
      <c r="BL8" s="5">
        <f t="shared" si="7"/>
        <v>1</v>
      </c>
      <c r="BM8" s="5">
        <f t="shared" si="7"/>
        <v>1</v>
      </c>
      <c r="BN8" s="5">
        <f t="shared" si="7"/>
        <v>1</v>
      </c>
      <c r="BO8" s="5">
        <f t="shared" si="7"/>
        <v>1</v>
      </c>
      <c r="BP8" s="5">
        <f t="shared" si="7"/>
        <v>1</v>
      </c>
      <c r="BQ8" s="5">
        <f t="shared" si="7"/>
        <v>2</v>
      </c>
      <c r="BR8" s="5">
        <f t="shared" si="7"/>
        <v>2</v>
      </c>
      <c r="BS8" s="5">
        <f t="shared" si="7"/>
        <v>2</v>
      </c>
      <c r="BT8" s="5">
        <f t="shared" si="7"/>
        <v>2</v>
      </c>
      <c r="BU8" s="5">
        <f t="shared" si="7"/>
        <v>2</v>
      </c>
      <c r="BV8" s="5">
        <f t="shared" si="7"/>
        <v>2</v>
      </c>
      <c r="BW8" s="5">
        <f t="shared" si="7"/>
        <v>2</v>
      </c>
      <c r="BX8" s="5">
        <f t="shared" si="7"/>
        <v>3</v>
      </c>
      <c r="BY8" s="5">
        <f t="shared" si="7"/>
        <v>3</v>
      </c>
      <c r="BZ8" s="5">
        <f t="shared" si="7"/>
        <v>3</v>
      </c>
      <c r="CA8" s="5">
        <f t="shared" si="7"/>
        <v>3</v>
      </c>
      <c r="CB8" s="5">
        <f t="shared" si="7"/>
        <v>3</v>
      </c>
      <c r="CC8" s="5">
        <f t="shared" si="7"/>
        <v>3</v>
      </c>
      <c r="CD8" s="5">
        <f t="shared" si="7"/>
        <v>3</v>
      </c>
      <c r="CE8" s="5">
        <f t="shared" si="7"/>
        <v>4</v>
      </c>
      <c r="CF8" s="5">
        <f t="shared" si="7"/>
        <v>4</v>
      </c>
      <c r="CG8" s="5">
        <f t="shared" si="7"/>
        <v>4</v>
      </c>
      <c r="CH8" s="5">
        <f t="shared" si="7"/>
        <v>4</v>
      </c>
      <c r="CI8" s="5">
        <f t="shared" si="7"/>
        <v>4</v>
      </c>
      <c r="CJ8" s="5">
        <f t="shared" si="7"/>
        <v>4</v>
      </c>
      <c r="CK8" s="5">
        <f t="shared" si="7"/>
        <v>4</v>
      </c>
      <c r="CL8" s="5">
        <f t="shared" si="7"/>
        <v>5</v>
      </c>
      <c r="CM8" s="5">
        <f t="shared" si="7"/>
        <v>5</v>
      </c>
      <c r="CN8" s="5">
        <f t="shared" ref="CN8:EY8" si="8">+_xlfn.ISOWEEKNUM(CN9)</f>
        <v>5</v>
      </c>
      <c r="CO8" s="5">
        <f t="shared" si="8"/>
        <v>5</v>
      </c>
      <c r="CP8" s="5">
        <f t="shared" si="8"/>
        <v>5</v>
      </c>
      <c r="CQ8" s="5">
        <f t="shared" si="8"/>
        <v>5</v>
      </c>
      <c r="CR8" s="5">
        <f t="shared" si="8"/>
        <v>5</v>
      </c>
      <c r="CS8" s="5">
        <f t="shared" si="8"/>
        <v>6</v>
      </c>
      <c r="CT8" s="5">
        <f t="shared" si="8"/>
        <v>6</v>
      </c>
      <c r="CU8" s="5">
        <f t="shared" si="8"/>
        <v>6</v>
      </c>
      <c r="CV8" s="5">
        <f t="shared" si="8"/>
        <v>6</v>
      </c>
      <c r="CW8" s="5">
        <f t="shared" si="8"/>
        <v>6</v>
      </c>
      <c r="CX8" s="5">
        <f t="shared" si="8"/>
        <v>6</v>
      </c>
      <c r="CY8" s="5">
        <f t="shared" si="8"/>
        <v>6</v>
      </c>
      <c r="CZ8" s="5">
        <f t="shared" si="8"/>
        <v>7</v>
      </c>
      <c r="DA8" s="5">
        <f t="shared" si="8"/>
        <v>7</v>
      </c>
      <c r="DB8" s="5">
        <f t="shared" si="8"/>
        <v>7</v>
      </c>
      <c r="DC8" s="5">
        <f t="shared" si="8"/>
        <v>7</v>
      </c>
      <c r="DD8" s="5">
        <f t="shared" si="8"/>
        <v>7</v>
      </c>
      <c r="DE8" s="5">
        <f t="shared" si="8"/>
        <v>7</v>
      </c>
      <c r="DF8" s="5">
        <f t="shared" si="8"/>
        <v>7</v>
      </c>
      <c r="DG8" s="5">
        <f t="shared" si="8"/>
        <v>8</v>
      </c>
      <c r="DH8" s="5">
        <f t="shared" si="8"/>
        <v>8</v>
      </c>
      <c r="DI8" s="5">
        <f t="shared" si="8"/>
        <v>8</v>
      </c>
      <c r="DJ8" s="5">
        <f t="shared" si="8"/>
        <v>8</v>
      </c>
      <c r="DK8" s="5">
        <f t="shared" si="8"/>
        <v>8</v>
      </c>
      <c r="DL8" s="5">
        <f t="shared" si="8"/>
        <v>8</v>
      </c>
      <c r="DM8" s="5">
        <f t="shared" si="8"/>
        <v>8</v>
      </c>
      <c r="DN8" s="5">
        <f t="shared" si="8"/>
        <v>9</v>
      </c>
      <c r="DO8" s="5">
        <f t="shared" si="8"/>
        <v>9</v>
      </c>
      <c r="DP8" s="5">
        <f t="shared" si="8"/>
        <v>9</v>
      </c>
      <c r="DQ8" s="5">
        <f t="shared" si="8"/>
        <v>9</v>
      </c>
      <c r="DR8" s="5">
        <f t="shared" si="8"/>
        <v>9</v>
      </c>
      <c r="DS8" s="5">
        <f t="shared" si="8"/>
        <v>9</v>
      </c>
      <c r="DT8" s="5">
        <f t="shared" si="8"/>
        <v>9</v>
      </c>
      <c r="DU8" s="5">
        <f t="shared" si="8"/>
        <v>10</v>
      </c>
      <c r="DV8" s="5">
        <f t="shared" si="8"/>
        <v>10</v>
      </c>
      <c r="DW8" s="5">
        <f t="shared" si="8"/>
        <v>10</v>
      </c>
      <c r="DX8" s="5">
        <f t="shared" si="8"/>
        <v>10</v>
      </c>
      <c r="DY8" s="5">
        <f t="shared" si="8"/>
        <v>10</v>
      </c>
      <c r="DZ8" s="5">
        <f t="shared" si="8"/>
        <v>10</v>
      </c>
      <c r="EA8" s="5">
        <f t="shared" si="8"/>
        <v>10</v>
      </c>
      <c r="EB8" s="5">
        <f t="shared" si="8"/>
        <v>11</v>
      </c>
      <c r="EC8" s="5">
        <f t="shared" si="8"/>
        <v>11</v>
      </c>
      <c r="ED8" s="5">
        <f t="shared" si="8"/>
        <v>11</v>
      </c>
      <c r="EE8" s="5">
        <f t="shared" si="8"/>
        <v>11</v>
      </c>
      <c r="EF8" s="5">
        <f t="shared" si="8"/>
        <v>11</v>
      </c>
      <c r="EG8" s="5">
        <f t="shared" si="8"/>
        <v>11</v>
      </c>
      <c r="EH8" s="5">
        <f t="shared" si="8"/>
        <v>11</v>
      </c>
      <c r="EI8" s="5">
        <f t="shared" si="8"/>
        <v>12</v>
      </c>
      <c r="EJ8" s="5">
        <f t="shared" si="8"/>
        <v>12</v>
      </c>
      <c r="EK8" s="5">
        <f t="shared" si="8"/>
        <v>12</v>
      </c>
      <c r="EL8" s="5">
        <f t="shared" si="8"/>
        <v>12</v>
      </c>
      <c r="EM8" s="5">
        <f t="shared" si="8"/>
        <v>12</v>
      </c>
      <c r="EN8" s="5">
        <f t="shared" si="8"/>
        <v>12</v>
      </c>
      <c r="EO8" s="5">
        <f t="shared" si="8"/>
        <v>12</v>
      </c>
      <c r="EP8" s="5">
        <f t="shared" si="8"/>
        <v>13</v>
      </c>
      <c r="EQ8" s="5">
        <f t="shared" si="8"/>
        <v>13</v>
      </c>
      <c r="ER8" s="5">
        <f t="shared" si="8"/>
        <v>13</v>
      </c>
      <c r="ES8" s="5">
        <f t="shared" si="8"/>
        <v>13</v>
      </c>
      <c r="ET8" s="5">
        <f t="shared" si="8"/>
        <v>13</v>
      </c>
      <c r="EU8" s="5">
        <f t="shared" si="8"/>
        <v>13</v>
      </c>
      <c r="EV8" s="5">
        <f t="shared" si="8"/>
        <v>13</v>
      </c>
      <c r="EW8" s="5">
        <f t="shared" si="8"/>
        <v>14</v>
      </c>
      <c r="EX8" s="5">
        <f t="shared" si="8"/>
        <v>14</v>
      </c>
      <c r="EY8" s="5">
        <f t="shared" si="8"/>
        <v>14</v>
      </c>
      <c r="EZ8" s="5">
        <f t="shared" ref="EZ8:HK8" si="9">+_xlfn.ISOWEEKNUM(EZ9)</f>
        <v>14</v>
      </c>
      <c r="FA8" s="5">
        <f t="shared" si="9"/>
        <v>14</v>
      </c>
      <c r="FB8" s="5">
        <f t="shared" si="9"/>
        <v>14</v>
      </c>
      <c r="FC8" s="5">
        <f t="shared" si="9"/>
        <v>14</v>
      </c>
      <c r="FD8" s="5">
        <f t="shared" si="9"/>
        <v>15</v>
      </c>
      <c r="FE8" s="5">
        <f t="shared" si="9"/>
        <v>15</v>
      </c>
      <c r="FF8" s="5">
        <f t="shared" si="9"/>
        <v>15</v>
      </c>
      <c r="FG8" s="5">
        <f t="shared" si="9"/>
        <v>15</v>
      </c>
      <c r="FH8" s="5">
        <f t="shared" si="9"/>
        <v>15</v>
      </c>
      <c r="FI8" s="5">
        <f t="shared" si="9"/>
        <v>15</v>
      </c>
      <c r="FJ8" s="5">
        <f t="shared" si="9"/>
        <v>15</v>
      </c>
      <c r="FK8" s="5">
        <f t="shared" si="9"/>
        <v>16</v>
      </c>
      <c r="FL8" s="5">
        <f t="shared" si="9"/>
        <v>16</v>
      </c>
      <c r="FM8" s="5">
        <f t="shared" si="9"/>
        <v>16</v>
      </c>
      <c r="FN8" s="5">
        <f t="shared" si="9"/>
        <v>16</v>
      </c>
      <c r="FO8" s="5">
        <f t="shared" si="9"/>
        <v>16</v>
      </c>
      <c r="FP8" s="5">
        <f t="shared" si="9"/>
        <v>16</v>
      </c>
      <c r="FQ8" s="5">
        <f t="shared" si="9"/>
        <v>16</v>
      </c>
      <c r="FR8" s="5">
        <f t="shared" si="9"/>
        <v>17</v>
      </c>
      <c r="FS8" s="5">
        <f t="shared" si="9"/>
        <v>17</v>
      </c>
      <c r="FT8" s="5">
        <f t="shared" si="9"/>
        <v>17</v>
      </c>
      <c r="FU8" s="5">
        <f t="shared" si="9"/>
        <v>17</v>
      </c>
      <c r="FV8" s="5">
        <f t="shared" si="9"/>
        <v>17</v>
      </c>
      <c r="FW8" s="5">
        <f t="shared" si="9"/>
        <v>17</v>
      </c>
      <c r="FX8" s="5">
        <f t="shared" si="9"/>
        <v>17</v>
      </c>
      <c r="FY8" s="5">
        <f t="shared" si="9"/>
        <v>18</v>
      </c>
      <c r="FZ8" s="5">
        <f t="shared" si="9"/>
        <v>18</v>
      </c>
      <c r="GA8" s="5">
        <f t="shared" si="9"/>
        <v>18</v>
      </c>
      <c r="GB8" s="5">
        <f t="shared" si="9"/>
        <v>18</v>
      </c>
      <c r="GC8" s="5">
        <f t="shared" si="9"/>
        <v>18</v>
      </c>
      <c r="GD8" s="5">
        <f t="shared" si="9"/>
        <v>18</v>
      </c>
      <c r="GE8" s="5">
        <f t="shared" si="9"/>
        <v>18</v>
      </c>
      <c r="GF8" s="5">
        <f t="shared" si="9"/>
        <v>19</v>
      </c>
      <c r="GG8" s="5">
        <f t="shared" si="9"/>
        <v>19</v>
      </c>
      <c r="GH8" s="5">
        <f t="shared" si="9"/>
        <v>19</v>
      </c>
      <c r="GI8" s="5">
        <f t="shared" si="9"/>
        <v>19</v>
      </c>
      <c r="GJ8" s="5">
        <f t="shared" si="9"/>
        <v>19</v>
      </c>
      <c r="GK8" s="5">
        <f t="shared" si="9"/>
        <v>19</v>
      </c>
      <c r="GL8" s="5">
        <f t="shared" si="9"/>
        <v>19</v>
      </c>
      <c r="GM8" s="5">
        <f t="shared" si="9"/>
        <v>20</v>
      </c>
      <c r="GN8" s="5">
        <f t="shared" si="9"/>
        <v>20</v>
      </c>
      <c r="GO8" s="5">
        <f t="shared" si="9"/>
        <v>20</v>
      </c>
      <c r="GP8" s="5">
        <f t="shared" si="9"/>
        <v>20</v>
      </c>
      <c r="GQ8" s="5">
        <f t="shared" si="9"/>
        <v>20</v>
      </c>
      <c r="GR8" s="5">
        <f t="shared" si="9"/>
        <v>20</v>
      </c>
      <c r="GS8" s="5">
        <f t="shared" si="9"/>
        <v>20</v>
      </c>
      <c r="GT8" s="5">
        <f t="shared" si="9"/>
        <v>21</v>
      </c>
      <c r="GU8" s="5">
        <f t="shared" si="9"/>
        <v>21</v>
      </c>
      <c r="GV8" s="5">
        <f t="shared" si="9"/>
        <v>21</v>
      </c>
      <c r="GW8" s="5">
        <f t="shared" si="9"/>
        <v>21</v>
      </c>
      <c r="GX8" s="5">
        <f t="shared" si="9"/>
        <v>21</v>
      </c>
      <c r="GY8" s="5">
        <f t="shared" si="9"/>
        <v>21</v>
      </c>
      <c r="GZ8" s="5">
        <f t="shared" si="9"/>
        <v>21</v>
      </c>
      <c r="HA8" s="5">
        <f t="shared" si="9"/>
        <v>22</v>
      </c>
      <c r="HB8" s="5">
        <f t="shared" si="9"/>
        <v>22</v>
      </c>
      <c r="HC8" s="5">
        <f t="shared" si="9"/>
        <v>22</v>
      </c>
      <c r="HD8" s="5">
        <f t="shared" si="9"/>
        <v>22</v>
      </c>
      <c r="HE8" s="5">
        <f t="shared" si="9"/>
        <v>22</v>
      </c>
      <c r="HF8" s="5">
        <f t="shared" si="9"/>
        <v>22</v>
      </c>
      <c r="HG8" s="5">
        <f t="shared" si="9"/>
        <v>22</v>
      </c>
      <c r="HH8" s="5">
        <f t="shared" si="9"/>
        <v>23</v>
      </c>
      <c r="HI8" s="5">
        <f t="shared" si="9"/>
        <v>23</v>
      </c>
      <c r="HJ8" s="5">
        <f t="shared" si="9"/>
        <v>23</v>
      </c>
      <c r="HK8" s="5">
        <f t="shared" si="9"/>
        <v>23</v>
      </c>
      <c r="HL8" s="5">
        <f t="shared" ref="HL8:JW8" si="10">+_xlfn.ISOWEEKNUM(HL9)</f>
        <v>23</v>
      </c>
      <c r="HM8" s="5">
        <f t="shared" si="10"/>
        <v>23</v>
      </c>
      <c r="HN8" s="5">
        <f t="shared" si="10"/>
        <v>23</v>
      </c>
      <c r="HO8" s="5">
        <f t="shared" si="10"/>
        <v>24</v>
      </c>
      <c r="HP8" s="5">
        <f t="shared" si="10"/>
        <v>24</v>
      </c>
      <c r="HQ8" s="5">
        <f t="shared" si="10"/>
        <v>24</v>
      </c>
      <c r="HR8" s="5">
        <f t="shared" si="10"/>
        <v>24</v>
      </c>
      <c r="HS8" s="5">
        <f t="shared" si="10"/>
        <v>24</v>
      </c>
      <c r="HT8" s="5">
        <f t="shared" si="10"/>
        <v>24</v>
      </c>
      <c r="HU8" s="5">
        <f t="shared" si="10"/>
        <v>24</v>
      </c>
      <c r="HV8" s="5">
        <f t="shared" si="10"/>
        <v>25</v>
      </c>
      <c r="HW8" s="5">
        <f t="shared" si="10"/>
        <v>25</v>
      </c>
      <c r="HX8" s="5">
        <f t="shared" si="10"/>
        <v>25</v>
      </c>
      <c r="HY8" s="5">
        <f t="shared" si="10"/>
        <v>25</v>
      </c>
      <c r="HZ8" s="5">
        <f t="shared" si="10"/>
        <v>25</v>
      </c>
      <c r="IA8" s="5">
        <f t="shared" si="10"/>
        <v>25</v>
      </c>
      <c r="IB8" s="5">
        <f t="shared" si="10"/>
        <v>25</v>
      </c>
      <c r="IC8" s="5">
        <f t="shared" si="10"/>
        <v>26</v>
      </c>
      <c r="ID8" s="5">
        <f t="shared" si="10"/>
        <v>26</v>
      </c>
      <c r="IE8" s="5">
        <f t="shared" si="10"/>
        <v>26</v>
      </c>
      <c r="IF8" s="5">
        <f t="shared" si="10"/>
        <v>26</v>
      </c>
      <c r="IG8" s="5">
        <f t="shared" si="10"/>
        <v>26</v>
      </c>
      <c r="IH8" s="5">
        <f t="shared" si="10"/>
        <v>26</v>
      </c>
      <c r="II8" s="5">
        <f t="shared" si="10"/>
        <v>26</v>
      </c>
      <c r="IJ8" s="5">
        <f t="shared" si="10"/>
        <v>27</v>
      </c>
      <c r="IK8" s="5">
        <f t="shared" si="10"/>
        <v>27</v>
      </c>
      <c r="IL8" s="5">
        <f t="shared" si="10"/>
        <v>27</v>
      </c>
      <c r="IM8" s="5">
        <f t="shared" si="10"/>
        <v>27</v>
      </c>
      <c r="IN8" s="5">
        <f t="shared" si="10"/>
        <v>27</v>
      </c>
      <c r="IO8" s="5">
        <f t="shared" si="10"/>
        <v>27</v>
      </c>
      <c r="IP8" s="5">
        <f t="shared" si="10"/>
        <v>27</v>
      </c>
      <c r="IQ8" s="5">
        <f t="shared" si="10"/>
        <v>28</v>
      </c>
      <c r="IR8" s="5">
        <f t="shared" si="10"/>
        <v>28</v>
      </c>
      <c r="IS8" s="5">
        <f t="shared" si="10"/>
        <v>28</v>
      </c>
      <c r="IT8" s="5">
        <f t="shared" si="10"/>
        <v>28</v>
      </c>
      <c r="IU8" s="5">
        <f t="shared" si="10"/>
        <v>28</v>
      </c>
      <c r="IV8" s="5">
        <f t="shared" si="10"/>
        <v>28</v>
      </c>
      <c r="IW8" s="5">
        <f t="shared" si="10"/>
        <v>28</v>
      </c>
      <c r="IX8" s="5">
        <f t="shared" si="10"/>
        <v>29</v>
      </c>
      <c r="IY8" s="5">
        <f t="shared" si="10"/>
        <v>29</v>
      </c>
      <c r="IZ8" s="5">
        <f t="shared" si="10"/>
        <v>29</v>
      </c>
      <c r="JA8" s="5">
        <f t="shared" si="10"/>
        <v>29</v>
      </c>
      <c r="JB8" s="5">
        <f t="shared" si="10"/>
        <v>29</v>
      </c>
      <c r="JC8" s="5">
        <f t="shared" si="10"/>
        <v>29</v>
      </c>
      <c r="JD8" s="5">
        <f t="shared" si="10"/>
        <v>29</v>
      </c>
      <c r="JE8" s="5">
        <f t="shared" si="10"/>
        <v>30</v>
      </c>
      <c r="JF8" s="5">
        <f t="shared" si="10"/>
        <v>30</v>
      </c>
      <c r="JG8" s="5">
        <f t="shared" si="10"/>
        <v>30</v>
      </c>
      <c r="JH8" s="5">
        <f t="shared" si="10"/>
        <v>30</v>
      </c>
      <c r="JI8" s="5">
        <f t="shared" si="10"/>
        <v>30</v>
      </c>
      <c r="JJ8" s="5">
        <f t="shared" si="10"/>
        <v>30</v>
      </c>
      <c r="JK8" s="5">
        <f t="shared" si="10"/>
        <v>30</v>
      </c>
      <c r="JL8" s="5">
        <f t="shared" si="10"/>
        <v>31</v>
      </c>
      <c r="JM8" s="5">
        <f t="shared" si="10"/>
        <v>31</v>
      </c>
      <c r="JN8" s="5">
        <f t="shared" si="10"/>
        <v>31</v>
      </c>
      <c r="JO8" s="5">
        <f t="shared" si="10"/>
        <v>31</v>
      </c>
      <c r="JP8" s="5">
        <f t="shared" si="10"/>
        <v>31</v>
      </c>
      <c r="JQ8" s="5">
        <f t="shared" si="10"/>
        <v>31</v>
      </c>
      <c r="JR8" s="5">
        <f t="shared" si="10"/>
        <v>31</v>
      </c>
      <c r="JS8" s="5">
        <f t="shared" si="10"/>
        <v>32</v>
      </c>
      <c r="JT8" s="5">
        <f t="shared" si="10"/>
        <v>32</v>
      </c>
      <c r="JU8" s="5">
        <f t="shared" si="10"/>
        <v>32</v>
      </c>
      <c r="JV8" s="5">
        <f t="shared" si="10"/>
        <v>32</v>
      </c>
      <c r="JW8" s="5">
        <f t="shared" si="10"/>
        <v>32</v>
      </c>
      <c r="JX8" s="5">
        <f t="shared" ref="JX8:MI8" si="11">+_xlfn.ISOWEEKNUM(JX9)</f>
        <v>32</v>
      </c>
      <c r="JY8" s="5">
        <f t="shared" si="11"/>
        <v>32</v>
      </c>
      <c r="JZ8" s="5">
        <f t="shared" si="11"/>
        <v>33</v>
      </c>
      <c r="KA8" s="5">
        <f t="shared" si="11"/>
        <v>33</v>
      </c>
      <c r="KB8" s="5">
        <f t="shared" si="11"/>
        <v>33</v>
      </c>
      <c r="KC8" s="5">
        <f t="shared" si="11"/>
        <v>33</v>
      </c>
      <c r="KD8" s="5">
        <f t="shared" si="11"/>
        <v>33</v>
      </c>
      <c r="KE8" s="5">
        <f t="shared" si="11"/>
        <v>33</v>
      </c>
      <c r="KF8" s="5">
        <f t="shared" si="11"/>
        <v>33</v>
      </c>
      <c r="KG8" s="5">
        <f t="shared" si="11"/>
        <v>34</v>
      </c>
      <c r="KH8" s="5">
        <f t="shared" si="11"/>
        <v>34</v>
      </c>
      <c r="KI8" s="5">
        <f t="shared" si="11"/>
        <v>34</v>
      </c>
      <c r="KJ8" s="5">
        <f t="shared" si="11"/>
        <v>34</v>
      </c>
      <c r="KK8" s="5">
        <f t="shared" si="11"/>
        <v>34</v>
      </c>
      <c r="KL8" s="5">
        <f t="shared" si="11"/>
        <v>34</v>
      </c>
      <c r="KM8" s="5">
        <f t="shared" si="11"/>
        <v>34</v>
      </c>
      <c r="KN8" s="5">
        <f t="shared" si="11"/>
        <v>35</v>
      </c>
      <c r="KO8" s="5">
        <f t="shared" si="11"/>
        <v>35</v>
      </c>
      <c r="KP8" s="5">
        <f t="shared" si="11"/>
        <v>35</v>
      </c>
      <c r="KQ8" s="5">
        <f t="shared" si="11"/>
        <v>35</v>
      </c>
      <c r="KR8" s="5">
        <f t="shared" si="11"/>
        <v>35</v>
      </c>
      <c r="KS8" s="5">
        <f t="shared" si="11"/>
        <v>35</v>
      </c>
      <c r="KT8" s="5">
        <f t="shared" si="11"/>
        <v>35</v>
      </c>
      <c r="KU8" s="5">
        <f t="shared" si="11"/>
        <v>36</v>
      </c>
      <c r="KV8" s="5">
        <f t="shared" si="11"/>
        <v>36</v>
      </c>
      <c r="KW8" s="5">
        <f t="shared" si="11"/>
        <v>36</v>
      </c>
      <c r="KX8" s="5">
        <f t="shared" si="11"/>
        <v>36</v>
      </c>
      <c r="KY8" s="5">
        <f t="shared" si="11"/>
        <v>36</v>
      </c>
      <c r="KZ8" s="5">
        <f t="shared" si="11"/>
        <v>36</v>
      </c>
      <c r="LA8" s="5">
        <f t="shared" si="11"/>
        <v>36</v>
      </c>
      <c r="LB8" s="5">
        <f t="shared" si="11"/>
        <v>37</v>
      </c>
      <c r="LC8" s="5">
        <f t="shared" si="11"/>
        <v>37</v>
      </c>
      <c r="LD8" s="5">
        <f t="shared" si="11"/>
        <v>37</v>
      </c>
      <c r="LE8" s="5">
        <f t="shared" si="11"/>
        <v>37</v>
      </c>
      <c r="LF8" s="5">
        <f t="shared" si="11"/>
        <v>37</v>
      </c>
      <c r="LG8" s="5">
        <f t="shared" si="11"/>
        <v>37</v>
      </c>
      <c r="LH8" s="5">
        <f t="shared" si="11"/>
        <v>37</v>
      </c>
      <c r="LI8" s="5">
        <f t="shared" si="11"/>
        <v>38</v>
      </c>
      <c r="LJ8" s="5">
        <f t="shared" si="11"/>
        <v>38</v>
      </c>
      <c r="LK8" s="5">
        <f t="shared" si="11"/>
        <v>38</v>
      </c>
      <c r="LL8" s="5">
        <f t="shared" si="11"/>
        <v>38</v>
      </c>
      <c r="LM8" s="5">
        <f t="shared" si="11"/>
        <v>38</v>
      </c>
      <c r="LN8" s="5">
        <f t="shared" si="11"/>
        <v>38</v>
      </c>
      <c r="LO8" s="5">
        <f t="shared" si="11"/>
        <v>38</v>
      </c>
      <c r="LP8" s="5">
        <f t="shared" si="11"/>
        <v>39</v>
      </c>
      <c r="LQ8" s="5">
        <f t="shared" si="11"/>
        <v>39</v>
      </c>
      <c r="LR8" s="5">
        <f t="shared" si="11"/>
        <v>39</v>
      </c>
      <c r="LS8" s="5">
        <f t="shared" si="11"/>
        <v>39</v>
      </c>
      <c r="LT8" s="5">
        <f t="shared" si="11"/>
        <v>39</v>
      </c>
      <c r="LU8" s="5">
        <f t="shared" si="11"/>
        <v>39</v>
      </c>
      <c r="LV8" s="5">
        <f t="shared" si="11"/>
        <v>39</v>
      </c>
      <c r="LW8" s="5">
        <f t="shared" si="11"/>
        <v>40</v>
      </c>
      <c r="LX8" s="5">
        <f t="shared" si="11"/>
        <v>40</v>
      </c>
      <c r="LY8" s="5">
        <f t="shared" si="11"/>
        <v>40</v>
      </c>
      <c r="LZ8" s="5">
        <f t="shared" si="11"/>
        <v>40</v>
      </c>
      <c r="MA8" s="5">
        <f t="shared" si="11"/>
        <v>40</v>
      </c>
      <c r="MB8" s="5">
        <f t="shared" si="11"/>
        <v>40</v>
      </c>
      <c r="MC8" s="5">
        <f t="shared" si="11"/>
        <v>40</v>
      </c>
      <c r="MD8" s="5">
        <f t="shared" si="11"/>
        <v>41</v>
      </c>
      <c r="ME8" s="5">
        <f t="shared" si="11"/>
        <v>41</v>
      </c>
      <c r="MF8" s="5">
        <f t="shared" si="11"/>
        <v>41</v>
      </c>
      <c r="MG8" s="5">
        <f t="shared" si="11"/>
        <v>41</v>
      </c>
      <c r="MH8" s="5">
        <f t="shared" si="11"/>
        <v>41</v>
      </c>
      <c r="MI8" s="5">
        <f t="shared" si="11"/>
        <v>41</v>
      </c>
      <c r="MJ8" s="5">
        <f t="shared" ref="MJ8:NZ8" si="12">+_xlfn.ISOWEEKNUM(MJ9)</f>
        <v>41</v>
      </c>
      <c r="MK8" s="5">
        <f t="shared" si="12"/>
        <v>42</v>
      </c>
      <c r="ML8" s="5">
        <f t="shared" si="12"/>
        <v>42</v>
      </c>
      <c r="MM8" s="5">
        <f t="shared" si="12"/>
        <v>42</v>
      </c>
      <c r="MN8" s="5">
        <f t="shared" si="12"/>
        <v>42</v>
      </c>
      <c r="MO8" s="5">
        <f t="shared" si="12"/>
        <v>42</v>
      </c>
      <c r="MP8" s="5">
        <f t="shared" si="12"/>
        <v>42</v>
      </c>
      <c r="MQ8" s="5">
        <f t="shared" si="12"/>
        <v>42</v>
      </c>
      <c r="MR8" s="5">
        <f t="shared" si="12"/>
        <v>43</v>
      </c>
      <c r="MS8" s="5">
        <f t="shared" si="12"/>
        <v>43</v>
      </c>
      <c r="MT8" s="5">
        <f t="shared" si="12"/>
        <v>43</v>
      </c>
      <c r="MU8" s="5">
        <f t="shared" si="12"/>
        <v>43</v>
      </c>
      <c r="MV8" s="5">
        <f t="shared" si="12"/>
        <v>43</v>
      </c>
      <c r="MW8" s="5">
        <f t="shared" si="12"/>
        <v>43</v>
      </c>
      <c r="MX8" s="5">
        <f t="shared" si="12"/>
        <v>43</v>
      </c>
      <c r="MY8" s="5">
        <f t="shared" si="12"/>
        <v>44</v>
      </c>
      <c r="MZ8" s="5">
        <f t="shared" si="12"/>
        <v>44</v>
      </c>
      <c r="NA8" s="5">
        <f t="shared" si="12"/>
        <v>44</v>
      </c>
      <c r="NB8" s="5">
        <f t="shared" si="12"/>
        <v>44</v>
      </c>
      <c r="NC8" s="5">
        <f t="shared" si="12"/>
        <v>44</v>
      </c>
      <c r="ND8" s="5">
        <f t="shared" si="12"/>
        <v>44</v>
      </c>
      <c r="NE8" s="5">
        <f t="shared" si="12"/>
        <v>44</v>
      </c>
      <c r="NF8" s="5">
        <f t="shared" si="12"/>
        <v>45</v>
      </c>
      <c r="NG8" s="5">
        <f t="shared" si="12"/>
        <v>45</v>
      </c>
      <c r="NH8" s="5">
        <f t="shared" si="12"/>
        <v>45</v>
      </c>
      <c r="NI8" s="5">
        <f t="shared" si="12"/>
        <v>45</v>
      </c>
      <c r="NJ8" s="5">
        <f t="shared" si="12"/>
        <v>45</v>
      </c>
      <c r="NK8" s="5">
        <f t="shared" si="12"/>
        <v>45</v>
      </c>
      <c r="NL8" s="5">
        <f t="shared" si="12"/>
        <v>45</v>
      </c>
      <c r="NM8" s="5">
        <f t="shared" si="12"/>
        <v>46</v>
      </c>
      <c r="NN8" s="5">
        <f t="shared" si="12"/>
        <v>46</v>
      </c>
      <c r="NO8" s="5">
        <f t="shared" si="12"/>
        <v>46</v>
      </c>
      <c r="NP8" s="5">
        <f t="shared" si="12"/>
        <v>46</v>
      </c>
      <c r="NQ8" s="5">
        <f t="shared" si="12"/>
        <v>46</v>
      </c>
      <c r="NR8" s="5">
        <f t="shared" si="12"/>
        <v>46</v>
      </c>
      <c r="NS8" s="5">
        <f t="shared" si="12"/>
        <v>46</v>
      </c>
      <c r="NT8" s="5">
        <f t="shared" si="12"/>
        <v>47</v>
      </c>
      <c r="NU8" s="5">
        <f t="shared" si="12"/>
        <v>47</v>
      </c>
      <c r="NV8" s="5">
        <f t="shared" si="12"/>
        <v>47</v>
      </c>
      <c r="NW8" s="5">
        <f t="shared" si="12"/>
        <v>47</v>
      </c>
      <c r="NX8" s="5">
        <f t="shared" si="12"/>
        <v>47</v>
      </c>
      <c r="NY8" s="5">
        <f t="shared" si="12"/>
        <v>47</v>
      </c>
      <c r="NZ8" s="5">
        <f t="shared" si="12"/>
        <v>47</v>
      </c>
    </row>
    <row r="9" spans="2:390" ht="14.65" thickBot="1" x14ac:dyDescent="0.5">
      <c r="O9" s="117"/>
      <c r="P9" s="117"/>
      <c r="Q9" s="117"/>
      <c r="R9" s="13"/>
      <c r="S9" s="7"/>
      <c r="T9" s="7"/>
      <c r="U9" s="7"/>
      <c r="V9" s="7"/>
      <c r="W9" s="7"/>
      <c r="X9" s="7"/>
      <c r="Y9" s="7"/>
      <c r="Z9" s="7" t="s">
        <v>138</v>
      </c>
      <c r="AA9" s="9">
        <v>45985</v>
      </c>
      <c r="AB9" s="9">
        <f t="shared" ref="AB9:AY9" si="13">AA9+1</f>
        <v>45986</v>
      </c>
      <c r="AC9" s="9">
        <f t="shared" si="13"/>
        <v>45987</v>
      </c>
      <c r="AD9" s="9">
        <f t="shared" si="13"/>
        <v>45988</v>
      </c>
      <c r="AE9" s="9">
        <f t="shared" si="13"/>
        <v>45989</v>
      </c>
      <c r="AF9" s="9">
        <f t="shared" si="13"/>
        <v>45990</v>
      </c>
      <c r="AG9" s="9">
        <f t="shared" si="13"/>
        <v>45991</v>
      </c>
      <c r="AH9" s="9">
        <f t="shared" si="13"/>
        <v>45992</v>
      </c>
      <c r="AI9" s="9">
        <f t="shared" si="13"/>
        <v>45993</v>
      </c>
      <c r="AJ9" s="9">
        <f t="shared" si="13"/>
        <v>45994</v>
      </c>
      <c r="AK9" s="9">
        <f t="shared" si="13"/>
        <v>45995</v>
      </c>
      <c r="AL9" s="9">
        <f t="shared" si="13"/>
        <v>45996</v>
      </c>
      <c r="AM9" s="9">
        <f t="shared" si="13"/>
        <v>45997</v>
      </c>
      <c r="AN9" s="9">
        <f t="shared" si="13"/>
        <v>45998</v>
      </c>
      <c r="AO9" s="9">
        <f t="shared" si="13"/>
        <v>45999</v>
      </c>
      <c r="AP9" s="9">
        <f t="shared" si="13"/>
        <v>46000</v>
      </c>
      <c r="AQ9" s="9">
        <f t="shared" si="13"/>
        <v>46001</v>
      </c>
      <c r="AR9" s="9">
        <f t="shared" si="13"/>
        <v>46002</v>
      </c>
      <c r="AS9" s="9">
        <f t="shared" si="13"/>
        <v>46003</v>
      </c>
      <c r="AT9" s="9">
        <f t="shared" si="13"/>
        <v>46004</v>
      </c>
      <c r="AU9" s="9">
        <f t="shared" si="13"/>
        <v>46005</v>
      </c>
      <c r="AV9" s="9">
        <f t="shared" si="13"/>
        <v>46006</v>
      </c>
      <c r="AW9" s="9">
        <f t="shared" si="13"/>
        <v>46007</v>
      </c>
      <c r="AX9" s="9">
        <f t="shared" si="13"/>
        <v>46008</v>
      </c>
      <c r="AY9" s="9">
        <f t="shared" si="13"/>
        <v>46009</v>
      </c>
      <c r="AZ9" s="9">
        <f t="shared" ref="AZ9:DK9" si="14">AY9+1</f>
        <v>46010</v>
      </c>
      <c r="BA9" s="9">
        <f t="shared" si="14"/>
        <v>46011</v>
      </c>
      <c r="BB9" s="9">
        <f t="shared" si="14"/>
        <v>46012</v>
      </c>
      <c r="BC9" s="9">
        <f t="shared" si="14"/>
        <v>46013</v>
      </c>
      <c r="BD9" s="9">
        <f t="shared" si="14"/>
        <v>46014</v>
      </c>
      <c r="BE9" s="9">
        <f t="shared" si="14"/>
        <v>46015</v>
      </c>
      <c r="BF9" s="9">
        <f t="shared" si="14"/>
        <v>46016</v>
      </c>
      <c r="BG9" s="9">
        <f t="shared" si="14"/>
        <v>46017</v>
      </c>
      <c r="BH9" s="9">
        <f t="shared" si="14"/>
        <v>46018</v>
      </c>
      <c r="BI9" s="9">
        <f t="shared" si="14"/>
        <v>46019</v>
      </c>
      <c r="BJ9" s="9">
        <f t="shared" si="14"/>
        <v>46020</v>
      </c>
      <c r="BK9" s="9">
        <f t="shared" si="14"/>
        <v>46021</v>
      </c>
      <c r="BL9" s="9">
        <f t="shared" si="14"/>
        <v>46022</v>
      </c>
      <c r="BM9" s="9">
        <f t="shared" si="14"/>
        <v>46023</v>
      </c>
      <c r="BN9" s="9">
        <f t="shared" si="14"/>
        <v>46024</v>
      </c>
      <c r="BO9" s="9">
        <f t="shared" si="14"/>
        <v>46025</v>
      </c>
      <c r="BP9" s="9">
        <f t="shared" si="14"/>
        <v>46026</v>
      </c>
      <c r="BQ9" s="9">
        <f t="shared" si="14"/>
        <v>46027</v>
      </c>
      <c r="BR9" s="9">
        <f t="shared" si="14"/>
        <v>46028</v>
      </c>
      <c r="BS9" s="9">
        <f t="shared" si="14"/>
        <v>46029</v>
      </c>
      <c r="BT9" s="9">
        <f t="shared" si="14"/>
        <v>46030</v>
      </c>
      <c r="BU9" s="9">
        <f t="shared" si="14"/>
        <v>46031</v>
      </c>
      <c r="BV9" s="9">
        <f t="shared" si="14"/>
        <v>46032</v>
      </c>
      <c r="BW9" s="9">
        <f t="shared" si="14"/>
        <v>46033</v>
      </c>
      <c r="BX9" s="9">
        <f t="shared" si="14"/>
        <v>46034</v>
      </c>
      <c r="BY9" s="9">
        <f t="shared" si="14"/>
        <v>46035</v>
      </c>
      <c r="BZ9" s="9">
        <f t="shared" si="14"/>
        <v>46036</v>
      </c>
      <c r="CA9" s="9">
        <f t="shared" si="14"/>
        <v>46037</v>
      </c>
      <c r="CB9" s="9">
        <f t="shared" si="14"/>
        <v>46038</v>
      </c>
      <c r="CC9" s="9">
        <f t="shared" si="14"/>
        <v>46039</v>
      </c>
      <c r="CD9" s="9">
        <f t="shared" si="14"/>
        <v>46040</v>
      </c>
      <c r="CE9" s="9">
        <f t="shared" si="14"/>
        <v>46041</v>
      </c>
      <c r="CF9" s="9">
        <f t="shared" si="14"/>
        <v>46042</v>
      </c>
      <c r="CG9" s="9">
        <f t="shared" si="14"/>
        <v>46043</v>
      </c>
      <c r="CH9" s="9">
        <f t="shared" si="14"/>
        <v>46044</v>
      </c>
      <c r="CI9" s="9">
        <f t="shared" si="14"/>
        <v>46045</v>
      </c>
      <c r="CJ9" s="9">
        <f t="shared" si="14"/>
        <v>46046</v>
      </c>
      <c r="CK9" s="9">
        <f t="shared" si="14"/>
        <v>46047</v>
      </c>
      <c r="CL9" s="9">
        <f t="shared" si="14"/>
        <v>46048</v>
      </c>
      <c r="CM9" s="9">
        <f t="shared" si="14"/>
        <v>46049</v>
      </c>
      <c r="CN9" s="9">
        <f t="shared" si="14"/>
        <v>46050</v>
      </c>
      <c r="CO9" s="9">
        <f t="shared" si="14"/>
        <v>46051</v>
      </c>
      <c r="CP9" s="9">
        <f t="shared" si="14"/>
        <v>46052</v>
      </c>
      <c r="CQ9" s="9">
        <f t="shared" si="14"/>
        <v>46053</v>
      </c>
      <c r="CR9" s="9">
        <f t="shared" si="14"/>
        <v>46054</v>
      </c>
      <c r="CS9" s="9">
        <f t="shared" si="14"/>
        <v>46055</v>
      </c>
      <c r="CT9" s="9">
        <f t="shared" si="14"/>
        <v>46056</v>
      </c>
      <c r="CU9" s="9">
        <f t="shared" si="14"/>
        <v>46057</v>
      </c>
      <c r="CV9" s="9">
        <f t="shared" si="14"/>
        <v>46058</v>
      </c>
      <c r="CW9" s="9">
        <f t="shared" si="14"/>
        <v>46059</v>
      </c>
      <c r="CX9" s="9">
        <f t="shared" si="14"/>
        <v>46060</v>
      </c>
      <c r="CY9" s="9">
        <f t="shared" si="14"/>
        <v>46061</v>
      </c>
      <c r="CZ9" s="9">
        <f t="shared" si="14"/>
        <v>46062</v>
      </c>
      <c r="DA9" s="9">
        <f t="shared" si="14"/>
        <v>46063</v>
      </c>
      <c r="DB9" s="9">
        <f t="shared" si="14"/>
        <v>46064</v>
      </c>
      <c r="DC9" s="9">
        <f t="shared" si="14"/>
        <v>46065</v>
      </c>
      <c r="DD9" s="9">
        <f t="shared" si="14"/>
        <v>46066</v>
      </c>
      <c r="DE9" s="9">
        <f t="shared" si="14"/>
        <v>46067</v>
      </c>
      <c r="DF9" s="9">
        <f t="shared" si="14"/>
        <v>46068</v>
      </c>
      <c r="DG9" s="9">
        <f t="shared" si="14"/>
        <v>46069</v>
      </c>
      <c r="DH9" s="9">
        <f t="shared" si="14"/>
        <v>46070</v>
      </c>
      <c r="DI9" s="9">
        <f t="shared" si="14"/>
        <v>46071</v>
      </c>
      <c r="DJ9" s="9">
        <f t="shared" si="14"/>
        <v>46072</v>
      </c>
      <c r="DK9" s="9">
        <f t="shared" si="14"/>
        <v>46073</v>
      </c>
      <c r="DL9" s="9">
        <f t="shared" ref="DL9:FW9" si="15">DK9+1</f>
        <v>46074</v>
      </c>
      <c r="DM9" s="9">
        <f t="shared" si="15"/>
        <v>46075</v>
      </c>
      <c r="DN9" s="9">
        <f t="shared" si="15"/>
        <v>46076</v>
      </c>
      <c r="DO9" s="9">
        <f t="shared" si="15"/>
        <v>46077</v>
      </c>
      <c r="DP9" s="9">
        <f t="shared" si="15"/>
        <v>46078</v>
      </c>
      <c r="DQ9" s="9">
        <f t="shared" si="15"/>
        <v>46079</v>
      </c>
      <c r="DR9" s="9">
        <f t="shared" si="15"/>
        <v>46080</v>
      </c>
      <c r="DS9" s="9">
        <f t="shared" si="15"/>
        <v>46081</v>
      </c>
      <c r="DT9" s="9">
        <f t="shared" si="15"/>
        <v>46082</v>
      </c>
      <c r="DU9" s="9">
        <f t="shared" si="15"/>
        <v>46083</v>
      </c>
      <c r="DV9" s="9">
        <f t="shared" si="15"/>
        <v>46084</v>
      </c>
      <c r="DW9" s="9">
        <f t="shared" si="15"/>
        <v>46085</v>
      </c>
      <c r="DX9" s="9">
        <f t="shared" si="15"/>
        <v>46086</v>
      </c>
      <c r="DY9" s="9">
        <f t="shared" si="15"/>
        <v>46087</v>
      </c>
      <c r="DZ9" s="9">
        <f t="shared" si="15"/>
        <v>46088</v>
      </c>
      <c r="EA9" s="9">
        <f t="shared" si="15"/>
        <v>46089</v>
      </c>
      <c r="EB9" s="9">
        <f t="shared" si="15"/>
        <v>46090</v>
      </c>
      <c r="EC9" s="9">
        <f t="shared" si="15"/>
        <v>46091</v>
      </c>
      <c r="ED9" s="9">
        <f t="shared" si="15"/>
        <v>46092</v>
      </c>
      <c r="EE9" s="9">
        <f t="shared" si="15"/>
        <v>46093</v>
      </c>
      <c r="EF9" s="9">
        <f t="shared" si="15"/>
        <v>46094</v>
      </c>
      <c r="EG9" s="9">
        <f t="shared" si="15"/>
        <v>46095</v>
      </c>
      <c r="EH9" s="9">
        <f t="shared" si="15"/>
        <v>46096</v>
      </c>
      <c r="EI9" s="9">
        <f t="shared" si="15"/>
        <v>46097</v>
      </c>
      <c r="EJ9" s="9">
        <f t="shared" si="15"/>
        <v>46098</v>
      </c>
      <c r="EK9" s="9">
        <f t="shared" si="15"/>
        <v>46099</v>
      </c>
      <c r="EL9" s="9">
        <f t="shared" si="15"/>
        <v>46100</v>
      </c>
      <c r="EM9" s="9">
        <f t="shared" si="15"/>
        <v>46101</v>
      </c>
      <c r="EN9" s="9">
        <f t="shared" si="15"/>
        <v>46102</v>
      </c>
      <c r="EO9" s="9">
        <f t="shared" si="15"/>
        <v>46103</v>
      </c>
      <c r="EP9" s="9">
        <f t="shared" si="15"/>
        <v>46104</v>
      </c>
      <c r="EQ9" s="9">
        <f t="shared" si="15"/>
        <v>46105</v>
      </c>
      <c r="ER9" s="9">
        <f t="shared" si="15"/>
        <v>46106</v>
      </c>
      <c r="ES9" s="9">
        <f t="shared" si="15"/>
        <v>46107</v>
      </c>
      <c r="ET9" s="9">
        <f t="shared" si="15"/>
        <v>46108</v>
      </c>
      <c r="EU9" s="9">
        <f t="shared" si="15"/>
        <v>46109</v>
      </c>
      <c r="EV9" s="9">
        <f t="shared" si="15"/>
        <v>46110</v>
      </c>
      <c r="EW9" s="9">
        <f t="shared" si="15"/>
        <v>46111</v>
      </c>
      <c r="EX9" s="9">
        <f t="shared" si="15"/>
        <v>46112</v>
      </c>
      <c r="EY9" s="9">
        <f t="shared" si="15"/>
        <v>46113</v>
      </c>
      <c r="EZ9" s="9">
        <f t="shared" si="15"/>
        <v>46114</v>
      </c>
      <c r="FA9" s="9">
        <f t="shared" si="15"/>
        <v>46115</v>
      </c>
      <c r="FB9" s="9">
        <f t="shared" si="15"/>
        <v>46116</v>
      </c>
      <c r="FC9" s="9">
        <f t="shared" si="15"/>
        <v>46117</v>
      </c>
      <c r="FD9" s="9">
        <f t="shared" si="15"/>
        <v>46118</v>
      </c>
      <c r="FE9" s="9">
        <f t="shared" si="15"/>
        <v>46119</v>
      </c>
      <c r="FF9" s="9">
        <f t="shared" si="15"/>
        <v>46120</v>
      </c>
      <c r="FG9" s="9">
        <f t="shared" si="15"/>
        <v>46121</v>
      </c>
      <c r="FH9" s="9">
        <f t="shared" si="15"/>
        <v>46122</v>
      </c>
      <c r="FI9" s="9">
        <f t="shared" si="15"/>
        <v>46123</v>
      </c>
      <c r="FJ9" s="185">
        <f t="shared" si="15"/>
        <v>46124</v>
      </c>
      <c r="FK9" s="9">
        <f t="shared" si="15"/>
        <v>46125</v>
      </c>
      <c r="FL9" s="9">
        <f t="shared" si="15"/>
        <v>46126</v>
      </c>
      <c r="FM9" s="9">
        <f t="shared" si="15"/>
        <v>46127</v>
      </c>
      <c r="FN9" s="9">
        <f t="shared" si="15"/>
        <v>46128</v>
      </c>
      <c r="FO9" s="9">
        <f t="shared" si="15"/>
        <v>46129</v>
      </c>
      <c r="FP9" s="9">
        <f t="shared" si="15"/>
        <v>46130</v>
      </c>
      <c r="FQ9" s="9">
        <f t="shared" si="15"/>
        <v>46131</v>
      </c>
      <c r="FR9" s="9">
        <f t="shared" si="15"/>
        <v>46132</v>
      </c>
      <c r="FS9" s="9">
        <f t="shared" si="15"/>
        <v>46133</v>
      </c>
      <c r="FT9" s="9">
        <f t="shared" si="15"/>
        <v>46134</v>
      </c>
      <c r="FU9" s="9">
        <f t="shared" si="15"/>
        <v>46135</v>
      </c>
      <c r="FV9" s="9">
        <f t="shared" si="15"/>
        <v>46136</v>
      </c>
      <c r="FW9" s="9">
        <f t="shared" si="15"/>
        <v>46137</v>
      </c>
      <c r="FX9" s="9">
        <f t="shared" ref="FX9:II9" si="16">FW9+1</f>
        <v>46138</v>
      </c>
      <c r="FY9" s="9">
        <f t="shared" si="16"/>
        <v>46139</v>
      </c>
      <c r="FZ9" s="9">
        <f t="shared" si="16"/>
        <v>46140</v>
      </c>
      <c r="GA9" s="9">
        <f t="shared" si="16"/>
        <v>46141</v>
      </c>
      <c r="GB9" s="9">
        <f t="shared" si="16"/>
        <v>46142</v>
      </c>
      <c r="GC9" s="9">
        <f t="shared" si="16"/>
        <v>46143</v>
      </c>
      <c r="GD9" s="9">
        <f t="shared" si="16"/>
        <v>46144</v>
      </c>
      <c r="GE9" s="9">
        <f t="shared" si="16"/>
        <v>46145</v>
      </c>
      <c r="GF9" s="9">
        <f t="shared" si="16"/>
        <v>46146</v>
      </c>
      <c r="GG9" s="9">
        <f t="shared" si="16"/>
        <v>46147</v>
      </c>
      <c r="GH9" s="9">
        <f t="shared" si="16"/>
        <v>46148</v>
      </c>
      <c r="GI9" s="9">
        <f t="shared" si="16"/>
        <v>46149</v>
      </c>
      <c r="GJ9" s="9">
        <f t="shared" si="16"/>
        <v>46150</v>
      </c>
      <c r="GK9" s="9">
        <f t="shared" si="16"/>
        <v>46151</v>
      </c>
      <c r="GL9" s="9">
        <f t="shared" si="16"/>
        <v>46152</v>
      </c>
      <c r="GM9" s="9">
        <f t="shared" si="16"/>
        <v>46153</v>
      </c>
      <c r="GN9" s="9">
        <f t="shared" si="16"/>
        <v>46154</v>
      </c>
      <c r="GO9" s="9">
        <f t="shared" si="16"/>
        <v>46155</v>
      </c>
      <c r="GP9" s="9">
        <f t="shared" si="16"/>
        <v>46156</v>
      </c>
      <c r="GQ9" s="9">
        <f t="shared" si="16"/>
        <v>46157</v>
      </c>
      <c r="GR9" s="9">
        <f t="shared" si="16"/>
        <v>46158</v>
      </c>
      <c r="GS9" s="9">
        <f t="shared" si="16"/>
        <v>46159</v>
      </c>
      <c r="GT9" s="9">
        <f t="shared" si="16"/>
        <v>46160</v>
      </c>
      <c r="GU9" s="9">
        <f t="shared" si="16"/>
        <v>46161</v>
      </c>
      <c r="GV9" s="9">
        <f t="shared" si="16"/>
        <v>46162</v>
      </c>
      <c r="GW9" s="9">
        <f t="shared" si="16"/>
        <v>46163</v>
      </c>
      <c r="GX9" s="9">
        <f t="shared" si="16"/>
        <v>46164</v>
      </c>
      <c r="GY9" s="9">
        <f t="shared" si="16"/>
        <v>46165</v>
      </c>
      <c r="GZ9" s="9">
        <f t="shared" si="16"/>
        <v>46166</v>
      </c>
      <c r="HA9" s="9">
        <f t="shared" si="16"/>
        <v>46167</v>
      </c>
      <c r="HB9" s="9">
        <f t="shared" si="16"/>
        <v>46168</v>
      </c>
      <c r="HC9" s="9">
        <f t="shared" si="16"/>
        <v>46169</v>
      </c>
      <c r="HD9" s="9">
        <f t="shared" si="16"/>
        <v>46170</v>
      </c>
      <c r="HE9" s="9">
        <f t="shared" si="16"/>
        <v>46171</v>
      </c>
      <c r="HF9" s="9">
        <f t="shared" si="16"/>
        <v>46172</v>
      </c>
      <c r="HG9" s="9">
        <f t="shared" si="16"/>
        <v>46173</v>
      </c>
      <c r="HH9" s="9">
        <f t="shared" si="16"/>
        <v>46174</v>
      </c>
      <c r="HI9" s="9">
        <f t="shared" si="16"/>
        <v>46175</v>
      </c>
      <c r="HJ9" s="9">
        <f t="shared" si="16"/>
        <v>46176</v>
      </c>
      <c r="HK9" s="9">
        <f t="shared" si="16"/>
        <v>46177</v>
      </c>
      <c r="HL9" s="9">
        <f t="shared" si="16"/>
        <v>46178</v>
      </c>
      <c r="HM9" s="9">
        <f t="shared" si="16"/>
        <v>46179</v>
      </c>
      <c r="HN9" s="9">
        <f t="shared" si="16"/>
        <v>46180</v>
      </c>
      <c r="HO9" s="9">
        <f t="shared" si="16"/>
        <v>46181</v>
      </c>
      <c r="HP9" s="9">
        <f t="shared" si="16"/>
        <v>46182</v>
      </c>
      <c r="HQ9" s="9">
        <f t="shared" si="16"/>
        <v>46183</v>
      </c>
      <c r="HR9" s="9">
        <f t="shared" si="16"/>
        <v>46184</v>
      </c>
      <c r="HS9" s="9">
        <f t="shared" si="16"/>
        <v>46185</v>
      </c>
      <c r="HT9" s="9">
        <f t="shared" si="16"/>
        <v>46186</v>
      </c>
      <c r="HU9" s="9">
        <f t="shared" si="16"/>
        <v>46187</v>
      </c>
      <c r="HV9" s="9">
        <f t="shared" si="16"/>
        <v>46188</v>
      </c>
      <c r="HW9" s="9">
        <f t="shared" si="16"/>
        <v>46189</v>
      </c>
      <c r="HX9" s="9">
        <f t="shared" si="16"/>
        <v>46190</v>
      </c>
      <c r="HY9" s="9">
        <f t="shared" si="16"/>
        <v>46191</v>
      </c>
      <c r="HZ9" s="9">
        <f t="shared" si="16"/>
        <v>46192</v>
      </c>
      <c r="IA9" s="9">
        <f t="shared" si="16"/>
        <v>46193</v>
      </c>
      <c r="IB9" s="9">
        <f t="shared" si="16"/>
        <v>46194</v>
      </c>
      <c r="IC9" s="9">
        <f t="shared" si="16"/>
        <v>46195</v>
      </c>
      <c r="ID9" s="9">
        <f t="shared" si="16"/>
        <v>46196</v>
      </c>
      <c r="IE9" s="9">
        <f t="shared" si="16"/>
        <v>46197</v>
      </c>
      <c r="IF9" s="9">
        <f t="shared" si="16"/>
        <v>46198</v>
      </c>
      <c r="IG9" s="9">
        <f t="shared" si="16"/>
        <v>46199</v>
      </c>
      <c r="IH9" s="9">
        <f t="shared" si="16"/>
        <v>46200</v>
      </c>
      <c r="II9" s="9">
        <f t="shared" si="16"/>
        <v>46201</v>
      </c>
      <c r="IJ9" s="9">
        <f t="shared" ref="IJ9:KU9" si="17">II9+1</f>
        <v>46202</v>
      </c>
      <c r="IK9" s="9">
        <f t="shared" si="17"/>
        <v>46203</v>
      </c>
      <c r="IL9" s="9">
        <f t="shared" si="17"/>
        <v>46204</v>
      </c>
      <c r="IM9" s="9">
        <f t="shared" si="17"/>
        <v>46205</v>
      </c>
      <c r="IN9" s="9">
        <f t="shared" si="17"/>
        <v>46206</v>
      </c>
      <c r="IO9" s="9">
        <f t="shared" si="17"/>
        <v>46207</v>
      </c>
      <c r="IP9" s="9">
        <f t="shared" si="17"/>
        <v>46208</v>
      </c>
      <c r="IQ9" s="9">
        <f t="shared" si="17"/>
        <v>46209</v>
      </c>
      <c r="IR9" s="9">
        <f t="shared" si="17"/>
        <v>46210</v>
      </c>
      <c r="IS9" s="9">
        <f t="shared" si="17"/>
        <v>46211</v>
      </c>
      <c r="IT9" s="9">
        <f t="shared" si="17"/>
        <v>46212</v>
      </c>
      <c r="IU9" s="9">
        <f t="shared" si="17"/>
        <v>46213</v>
      </c>
      <c r="IV9" s="9">
        <f t="shared" si="17"/>
        <v>46214</v>
      </c>
      <c r="IW9" s="9">
        <f t="shared" si="17"/>
        <v>46215</v>
      </c>
      <c r="IX9" s="9">
        <f t="shared" si="17"/>
        <v>46216</v>
      </c>
      <c r="IY9" s="9">
        <f t="shared" si="17"/>
        <v>46217</v>
      </c>
      <c r="IZ9" s="9">
        <f t="shared" si="17"/>
        <v>46218</v>
      </c>
      <c r="JA9" s="9">
        <f t="shared" si="17"/>
        <v>46219</v>
      </c>
      <c r="JB9" s="9">
        <f t="shared" si="17"/>
        <v>46220</v>
      </c>
      <c r="JC9" s="9">
        <f t="shared" si="17"/>
        <v>46221</v>
      </c>
      <c r="JD9" s="9">
        <f t="shared" si="17"/>
        <v>46222</v>
      </c>
      <c r="JE9" s="9">
        <f t="shared" si="17"/>
        <v>46223</v>
      </c>
      <c r="JF9" s="9">
        <f t="shared" si="17"/>
        <v>46224</v>
      </c>
      <c r="JG9" s="9">
        <f t="shared" si="17"/>
        <v>46225</v>
      </c>
      <c r="JH9" s="9">
        <f t="shared" si="17"/>
        <v>46226</v>
      </c>
      <c r="JI9" s="9">
        <f t="shared" si="17"/>
        <v>46227</v>
      </c>
      <c r="JJ9" s="9">
        <f t="shared" si="17"/>
        <v>46228</v>
      </c>
      <c r="JK9" s="9">
        <f t="shared" si="17"/>
        <v>46229</v>
      </c>
      <c r="JL9" s="9">
        <f t="shared" si="17"/>
        <v>46230</v>
      </c>
      <c r="JM9" s="9">
        <f t="shared" si="17"/>
        <v>46231</v>
      </c>
      <c r="JN9" s="9">
        <f t="shared" si="17"/>
        <v>46232</v>
      </c>
      <c r="JO9" s="9">
        <f t="shared" si="17"/>
        <v>46233</v>
      </c>
      <c r="JP9" s="9">
        <f t="shared" si="17"/>
        <v>46234</v>
      </c>
      <c r="JQ9" s="9">
        <f t="shared" si="17"/>
        <v>46235</v>
      </c>
      <c r="JR9" s="9">
        <f t="shared" si="17"/>
        <v>46236</v>
      </c>
      <c r="JS9" s="9">
        <f t="shared" si="17"/>
        <v>46237</v>
      </c>
      <c r="JT9" s="9">
        <f t="shared" si="17"/>
        <v>46238</v>
      </c>
      <c r="JU9" s="9">
        <f t="shared" si="17"/>
        <v>46239</v>
      </c>
      <c r="JV9" s="9">
        <f t="shared" si="17"/>
        <v>46240</v>
      </c>
      <c r="JW9" s="9">
        <f t="shared" si="17"/>
        <v>46241</v>
      </c>
      <c r="JX9" s="9">
        <f t="shared" si="17"/>
        <v>46242</v>
      </c>
      <c r="JY9" s="9">
        <f t="shared" si="17"/>
        <v>46243</v>
      </c>
      <c r="JZ9" s="9">
        <f t="shared" si="17"/>
        <v>46244</v>
      </c>
      <c r="KA9" s="9">
        <f t="shared" si="17"/>
        <v>46245</v>
      </c>
      <c r="KB9" s="9">
        <f t="shared" si="17"/>
        <v>46246</v>
      </c>
      <c r="KC9" s="9">
        <f t="shared" si="17"/>
        <v>46247</v>
      </c>
      <c r="KD9" s="9">
        <f t="shared" si="17"/>
        <v>46248</v>
      </c>
      <c r="KE9" s="9">
        <f t="shared" si="17"/>
        <v>46249</v>
      </c>
      <c r="KF9" s="9">
        <f t="shared" si="17"/>
        <v>46250</v>
      </c>
      <c r="KG9" s="9">
        <f t="shared" si="17"/>
        <v>46251</v>
      </c>
      <c r="KH9" s="9">
        <f t="shared" si="17"/>
        <v>46252</v>
      </c>
      <c r="KI9" s="9">
        <f t="shared" si="17"/>
        <v>46253</v>
      </c>
      <c r="KJ9" s="9">
        <f t="shared" si="17"/>
        <v>46254</v>
      </c>
      <c r="KK9" s="9">
        <f t="shared" si="17"/>
        <v>46255</v>
      </c>
      <c r="KL9" s="9">
        <f t="shared" si="17"/>
        <v>46256</v>
      </c>
      <c r="KM9" s="9">
        <f t="shared" si="17"/>
        <v>46257</v>
      </c>
      <c r="KN9" s="9">
        <f t="shared" si="17"/>
        <v>46258</v>
      </c>
      <c r="KO9" s="9">
        <f t="shared" si="17"/>
        <v>46259</v>
      </c>
      <c r="KP9" s="9">
        <f t="shared" si="17"/>
        <v>46260</v>
      </c>
      <c r="KQ9" s="9">
        <f t="shared" si="17"/>
        <v>46261</v>
      </c>
      <c r="KR9" s="9">
        <f t="shared" si="17"/>
        <v>46262</v>
      </c>
      <c r="KS9" s="9">
        <f t="shared" si="17"/>
        <v>46263</v>
      </c>
      <c r="KT9" s="9">
        <f t="shared" si="17"/>
        <v>46264</v>
      </c>
      <c r="KU9" s="9">
        <f t="shared" si="17"/>
        <v>46265</v>
      </c>
      <c r="KV9" s="9">
        <f t="shared" ref="KV9:NG9" si="18">KU9+1</f>
        <v>46266</v>
      </c>
      <c r="KW9" s="9">
        <f t="shared" si="18"/>
        <v>46267</v>
      </c>
      <c r="KX9" s="9">
        <f t="shared" si="18"/>
        <v>46268</v>
      </c>
      <c r="KY9" s="9">
        <f t="shared" si="18"/>
        <v>46269</v>
      </c>
      <c r="KZ9" s="9">
        <f t="shared" si="18"/>
        <v>46270</v>
      </c>
      <c r="LA9" s="9">
        <f t="shared" si="18"/>
        <v>46271</v>
      </c>
      <c r="LB9" s="9">
        <f t="shared" si="18"/>
        <v>46272</v>
      </c>
      <c r="LC9" s="9">
        <f t="shared" si="18"/>
        <v>46273</v>
      </c>
      <c r="LD9" s="9">
        <f t="shared" si="18"/>
        <v>46274</v>
      </c>
      <c r="LE9" s="9">
        <f t="shared" si="18"/>
        <v>46275</v>
      </c>
      <c r="LF9" s="9">
        <f t="shared" si="18"/>
        <v>46276</v>
      </c>
      <c r="LG9" s="9">
        <f t="shared" si="18"/>
        <v>46277</v>
      </c>
      <c r="LH9" s="9">
        <f t="shared" si="18"/>
        <v>46278</v>
      </c>
      <c r="LI9" s="9">
        <f t="shared" si="18"/>
        <v>46279</v>
      </c>
      <c r="LJ9" s="9">
        <f t="shared" si="18"/>
        <v>46280</v>
      </c>
      <c r="LK9" s="9">
        <f t="shared" si="18"/>
        <v>46281</v>
      </c>
      <c r="LL9" s="9">
        <f t="shared" si="18"/>
        <v>46282</v>
      </c>
      <c r="LM9" s="9">
        <f t="shared" si="18"/>
        <v>46283</v>
      </c>
      <c r="LN9" s="9">
        <f t="shared" si="18"/>
        <v>46284</v>
      </c>
      <c r="LO9" s="9">
        <f t="shared" si="18"/>
        <v>46285</v>
      </c>
      <c r="LP9" s="9">
        <f t="shared" si="18"/>
        <v>46286</v>
      </c>
      <c r="LQ9" s="9">
        <f t="shared" si="18"/>
        <v>46287</v>
      </c>
      <c r="LR9" s="9">
        <f t="shared" si="18"/>
        <v>46288</v>
      </c>
      <c r="LS9" s="9">
        <f t="shared" si="18"/>
        <v>46289</v>
      </c>
      <c r="LT9" s="9">
        <f t="shared" si="18"/>
        <v>46290</v>
      </c>
      <c r="LU9" s="9">
        <f t="shared" si="18"/>
        <v>46291</v>
      </c>
      <c r="LV9" s="9">
        <f t="shared" si="18"/>
        <v>46292</v>
      </c>
      <c r="LW9" s="9">
        <f t="shared" si="18"/>
        <v>46293</v>
      </c>
      <c r="LX9" s="9">
        <f t="shared" si="18"/>
        <v>46294</v>
      </c>
      <c r="LY9" s="9">
        <f t="shared" si="18"/>
        <v>46295</v>
      </c>
      <c r="LZ9" s="9">
        <f t="shared" si="18"/>
        <v>46296</v>
      </c>
      <c r="MA9" s="9">
        <f t="shared" si="18"/>
        <v>46297</v>
      </c>
      <c r="MB9" s="9">
        <f t="shared" si="18"/>
        <v>46298</v>
      </c>
      <c r="MC9" s="9">
        <f t="shared" si="18"/>
        <v>46299</v>
      </c>
      <c r="MD9" s="9">
        <f t="shared" si="18"/>
        <v>46300</v>
      </c>
      <c r="ME9" s="9">
        <f t="shared" si="18"/>
        <v>46301</v>
      </c>
      <c r="MF9" s="9">
        <f t="shared" si="18"/>
        <v>46302</v>
      </c>
      <c r="MG9" s="9">
        <f t="shared" si="18"/>
        <v>46303</v>
      </c>
      <c r="MH9" s="9">
        <f t="shared" si="18"/>
        <v>46304</v>
      </c>
      <c r="MI9" s="9">
        <f t="shared" si="18"/>
        <v>46305</v>
      </c>
      <c r="MJ9" s="9">
        <f t="shared" si="18"/>
        <v>46306</v>
      </c>
      <c r="MK9" s="9">
        <f t="shared" si="18"/>
        <v>46307</v>
      </c>
      <c r="ML9" s="9">
        <f t="shared" si="18"/>
        <v>46308</v>
      </c>
      <c r="MM9" s="9">
        <f t="shared" si="18"/>
        <v>46309</v>
      </c>
      <c r="MN9" s="9">
        <f t="shared" si="18"/>
        <v>46310</v>
      </c>
      <c r="MO9" s="9">
        <f t="shared" si="18"/>
        <v>46311</v>
      </c>
      <c r="MP9" s="9">
        <f t="shared" si="18"/>
        <v>46312</v>
      </c>
      <c r="MQ9" s="9">
        <f t="shared" si="18"/>
        <v>46313</v>
      </c>
      <c r="MR9" s="9">
        <f t="shared" si="18"/>
        <v>46314</v>
      </c>
      <c r="MS9" s="9">
        <f t="shared" si="18"/>
        <v>46315</v>
      </c>
      <c r="MT9" s="9">
        <f t="shared" si="18"/>
        <v>46316</v>
      </c>
      <c r="MU9" s="9">
        <f t="shared" si="18"/>
        <v>46317</v>
      </c>
      <c r="MV9" s="9">
        <f t="shared" si="18"/>
        <v>46318</v>
      </c>
      <c r="MW9" s="9">
        <f t="shared" si="18"/>
        <v>46319</v>
      </c>
      <c r="MX9" s="9">
        <f t="shared" si="18"/>
        <v>46320</v>
      </c>
      <c r="MY9" s="9">
        <f t="shared" si="18"/>
        <v>46321</v>
      </c>
      <c r="MZ9" s="9">
        <f t="shared" si="18"/>
        <v>46322</v>
      </c>
      <c r="NA9" s="9">
        <f t="shared" si="18"/>
        <v>46323</v>
      </c>
      <c r="NB9" s="9">
        <f t="shared" si="18"/>
        <v>46324</v>
      </c>
      <c r="NC9" s="9">
        <f t="shared" si="18"/>
        <v>46325</v>
      </c>
      <c r="ND9" s="9">
        <f t="shared" si="18"/>
        <v>46326</v>
      </c>
      <c r="NE9" s="9">
        <f t="shared" si="18"/>
        <v>46327</v>
      </c>
      <c r="NF9" s="9">
        <f t="shared" si="18"/>
        <v>46328</v>
      </c>
      <c r="NG9" s="9">
        <f t="shared" si="18"/>
        <v>46329</v>
      </c>
      <c r="NH9" s="9">
        <f t="shared" ref="NH9:NZ9" si="19">NG9+1</f>
        <v>46330</v>
      </c>
      <c r="NI9" s="9">
        <f t="shared" si="19"/>
        <v>46331</v>
      </c>
      <c r="NJ9" s="9">
        <f t="shared" si="19"/>
        <v>46332</v>
      </c>
      <c r="NK9" s="9">
        <f t="shared" si="19"/>
        <v>46333</v>
      </c>
      <c r="NL9" s="9">
        <f t="shared" si="19"/>
        <v>46334</v>
      </c>
      <c r="NM9" s="9">
        <f t="shared" si="19"/>
        <v>46335</v>
      </c>
      <c r="NN9" s="9">
        <f t="shared" si="19"/>
        <v>46336</v>
      </c>
      <c r="NO9" s="9">
        <f t="shared" si="19"/>
        <v>46337</v>
      </c>
      <c r="NP9" s="9">
        <f t="shared" si="19"/>
        <v>46338</v>
      </c>
      <c r="NQ9" s="9">
        <f t="shared" si="19"/>
        <v>46339</v>
      </c>
      <c r="NR9" s="9">
        <f t="shared" si="19"/>
        <v>46340</v>
      </c>
      <c r="NS9" s="9">
        <f t="shared" si="19"/>
        <v>46341</v>
      </c>
      <c r="NT9" s="9">
        <f t="shared" si="19"/>
        <v>46342</v>
      </c>
      <c r="NU9" s="9">
        <f t="shared" si="19"/>
        <v>46343</v>
      </c>
      <c r="NV9" s="9">
        <f t="shared" si="19"/>
        <v>46344</v>
      </c>
      <c r="NW9" s="9">
        <f t="shared" si="19"/>
        <v>46345</v>
      </c>
      <c r="NX9" s="9">
        <f t="shared" si="19"/>
        <v>46346</v>
      </c>
      <c r="NY9" s="9">
        <f t="shared" si="19"/>
        <v>46347</v>
      </c>
      <c r="NZ9" s="9">
        <f t="shared" si="19"/>
        <v>46348</v>
      </c>
    </row>
    <row r="10" spans="2:390" ht="43.5" customHeight="1" thickBot="1" x14ac:dyDescent="0.5">
      <c r="E10" s="171" t="s">
        <v>0</v>
      </c>
      <c r="F10" s="49" t="s">
        <v>2</v>
      </c>
      <c r="G10" s="50" t="s">
        <v>76</v>
      </c>
      <c r="H10" s="50" t="s">
        <v>75</v>
      </c>
      <c r="I10" s="50" t="s">
        <v>155</v>
      </c>
      <c r="J10" s="50" t="s">
        <v>77</v>
      </c>
      <c r="K10" s="50" t="s">
        <v>78</v>
      </c>
      <c r="L10" s="50" t="s">
        <v>79</v>
      </c>
      <c r="M10" s="50" t="s">
        <v>54</v>
      </c>
      <c r="N10" s="50" t="s">
        <v>55</v>
      </c>
      <c r="O10" s="50" t="s">
        <v>56</v>
      </c>
      <c r="P10" s="50"/>
      <c r="Q10" s="50"/>
      <c r="R10" s="50" t="s">
        <v>1</v>
      </c>
      <c r="S10" s="50" t="str">
        <f>IF($Z$9="x","Ende nach [AT]","Endet nach [Tagen]")</f>
        <v>Ende nach [AT]</v>
      </c>
      <c r="T10" s="50" t="s">
        <v>3</v>
      </c>
      <c r="U10" s="50" t="s">
        <v>4</v>
      </c>
      <c r="V10" s="50"/>
      <c r="W10" s="50" t="str">
        <f>+"KW"&amp;W12&amp;" Progress"</f>
        <v>KW2 Progress</v>
      </c>
      <c r="X10" s="50" t="str">
        <f>+"Cumulative Progress =&lt;"&amp;"KW"&amp;W12</f>
        <v>Cumulative Progress =&lt;KW2</v>
      </c>
      <c r="Y10" s="204"/>
      <c r="Z10" s="172" t="s">
        <v>5</v>
      </c>
      <c r="AA10" s="6"/>
      <c r="AB10" s="6"/>
      <c r="AC10" s="6"/>
      <c r="AD10" s="6"/>
      <c r="AE10" s="6"/>
      <c r="AF10" s="6"/>
      <c r="AG10" s="46" t="s">
        <v>52</v>
      </c>
      <c r="AH10" s="6"/>
      <c r="AI10" s="46"/>
      <c r="AJ10" s="6"/>
      <c r="AK10" s="46"/>
      <c r="AL10" s="46" t="s">
        <v>52</v>
      </c>
      <c r="AM10" s="46" t="s">
        <v>52</v>
      </c>
      <c r="AN10" s="46" t="s">
        <v>52</v>
      </c>
      <c r="AR10" s="6"/>
      <c r="AS10" s="6"/>
      <c r="AT10" s="6"/>
      <c r="AU10" s="46" t="s">
        <v>52</v>
      </c>
      <c r="AV10" s="46"/>
      <c r="AW10" s="46"/>
      <c r="AX10" s="6"/>
      <c r="AY10" s="6"/>
      <c r="AZ10" s="46" t="s">
        <v>52</v>
      </c>
      <c r="BA10" s="46" t="s">
        <v>52</v>
      </c>
      <c r="BB10" s="46" t="s">
        <v>52</v>
      </c>
      <c r="BC10" s="6"/>
      <c r="BD10" s="46"/>
      <c r="BE10" s="46"/>
      <c r="BF10" s="6"/>
      <c r="BG10" s="6"/>
      <c r="BH10" s="6"/>
      <c r="BI10" s="6"/>
      <c r="BJ10" s="6"/>
      <c r="BK10" s="46"/>
      <c r="BL10" s="6"/>
      <c r="BM10" s="6"/>
      <c r="BN10" s="6"/>
      <c r="BO10" s="46"/>
      <c r="BP10" s="6"/>
      <c r="BQ10" s="6"/>
      <c r="BR10" s="46"/>
      <c r="BS10" s="6"/>
      <c r="BT10" s="6"/>
      <c r="BU10" s="6"/>
      <c r="BV10" s="6"/>
      <c r="BW10" s="6"/>
      <c r="BX10" s="6"/>
      <c r="BY10" s="4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18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</row>
    <row r="11" spans="2:390" ht="29.25" customHeight="1" thickBot="1" x14ac:dyDescent="0.5">
      <c r="E11" s="58"/>
      <c r="F11" s="43"/>
      <c r="G11" s="43"/>
      <c r="H11" s="43"/>
      <c r="I11" s="43"/>
      <c r="J11" s="43"/>
      <c r="K11" s="43"/>
      <c r="L11" s="43"/>
      <c r="M11" s="43"/>
      <c r="N11" s="43"/>
      <c r="O11" s="169">
        <f>+O12+O45+O89+O125</f>
        <v>4169</v>
      </c>
      <c r="P11" s="43"/>
      <c r="Q11" s="43"/>
      <c r="R11" s="44"/>
      <c r="S11" s="44"/>
      <c r="T11" s="44"/>
      <c r="U11" s="170">
        <f>+(O12*U12+O45*U45+O89*U89+O125*U125)/O11</f>
        <v>8.848464229744589E-2</v>
      </c>
      <c r="V11" s="170"/>
      <c r="W11" s="157">
        <f>HLOOKUP(W12,AA8:PLB9,2,FALSE)+6</f>
        <v>46033</v>
      </c>
      <c r="X11" s="44"/>
      <c r="Y11" s="44"/>
      <c r="Z11" s="45"/>
      <c r="AA11" s="173">
        <f t="shared" ref="AA11:AY11" si="20">SUM(AA13:AA180)</f>
        <v>15</v>
      </c>
      <c r="AB11" s="173">
        <f t="shared" si="20"/>
        <v>15</v>
      </c>
      <c r="AC11" s="173">
        <f t="shared" si="20"/>
        <v>15</v>
      </c>
      <c r="AD11" s="173">
        <f t="shared" si="20"/>
        <v>15</v>
      </c>
      <c r="AE11" s="173">
        <f t="shared" si="20"/>
        <v>15</v>
      </c>
      <c r="AF11" s="173">
        <f t="shared" si="20"/>
        <v>15</v>
      </c>
      <c r="AG11" s="183">
        <f>SUM(AG13:AG180)</f>
        <v>0</v>
      </c>
      <c r="AH11" s="173">
        <f t="shared" si="20"/>
        <v>19</v>
      </c>
      <c r="AI11" s="173">
        <f t="shared" si="20"/>
        <v>19</v>
      </c>
      <c r="AJ11" s="173">
        <f t="shared" si="20"/>
        <v>19</v>
      </c>
      <c r="AK11" s="173">
        <f t="shared" si="20"/>
        <v>19</v>
      </c>
      <c r="AL11" s="173">
        <f t="shared" si="20"/>
        <v>19</v>
      </c>
      <c r="AM11" s="173">
        <f t="shared" si="20"/>
        <v>19</v>
      </c>
      <c r="AN11" s="183">
        <f>SUM(AN13:AN180)</f>
        <v>0</v>
      </c>
      <c r="AO11" s="173">
        <f t="shared" si="20"/>
        <v>23</v>
      </c>
      <c r="AP11" s="173">
        <f t="shared" si="20"/>
        <v>23</v>
      </c>
      <c r="AQ11" s="173">
        <f t="shared" si="20"/>
        <v>23</v>
      </c>
      <c r="AR11" s="173">
        <f t="shared" si="20"/>
        <v>27</v>
      </c>
      <c r="AS11" s="173">
        <f t="shared" si="20"/>
        <v>27</v>
      </c>
      <c r="AT11" s="173">
        <f t="shared" si="20"/>
        <v>23</v>
      </c>
      <c r="AU11" s="183">
        <f>SUM(AU13:AU180)</f>
        <v>0</v>
      </c>
      <c r="AV11" s="173">
        <f t="shared" si="20"/>
        <v>23</v>
      </c>
      <c r="AW11" s="173">
        <f t="shared" si="20"/>
        <v>23</v>
      </c>
      <c r="AX11" s="173">
        <f t="shared" si="20"/>
        <v>23</v>
      </c>
      <c r="AY11" s="173">
        <f t="shared" si="20"/>
        <v>23</v>
      </c>
      <c r="AZ11" s="173">
        <f t="shared" ref="AZ11:CE11" si="21">SUM(AZ13:AZ180)</f>
        <v>23</v>
      </c>
      <c r="BA11" s="173">
        <f t="shared" si="21"/>
        <v>2</v>
      </c>
      <c r="BB11" s="183">
        <f t="shared" si="21"/>
        <v>0</v>
      </c>
      <c r="BC11" s="173">
        <f t="shared" si="21"/>
        <v>2</v>
      </c>
      <c r="BD11" s="173">
        <f t="shared" si="21"/>
        <v>2</v>
      </c>
      <c r="BE11" s="173">
        <f t="shared" si="21"/>
        <v>2</v>
      </c>
      <c r="BF11" s="173">
        <f t="shared" si="21"/>
        <v>2</v>
      </c>
      <c r="BG11" s="173">
        <f t="shared" si="21"/>
        <v>2</v>
      </c>
      <c r="BH11" s="173">
        <f t="shared" si="21"/>
        <v>2</v>
      </c>
      <c r="BI11" s="173">
        <f t="shared" si="21"/>
        <v>0</v>
      </c>
      <c r="BJ11" s="173">
        <f t="shared" si="21"/>
        <v>2</v>
      </c>
      <c r="BK11" s="173">
        <f t="shared" si="21"/>
        <v>2</v>
      </c>
      <c r="BL11" s="173">
        <f t="shared" si="21"/>
        <v>2</v>
      </c>
      <c r="BM11" s="173">
        <f t="shared" si="21"/>
        <v>2</v>
      </c>
      <c r="BN11" s="173">
        <f t="shared" si="21"/>
        <v>2</v>
      </c>
      <c r="BO11" s="173">
        <f t="shared" si="21"/>
        <v>2</v>
      </c>
      <c r="BP11" s="173">
        <f t="shared" si="21"/>
        <v>0</v>
      </c>
      <c r="BQ11" s="173">
        <f t="shared" si="21"/>
        <v>2</v>
      </c>
      <c r="BR11" s="173">
        <f t="shared" si="21"/>
        <v>2</v>
      </c>
      <c r="BS11" s="173">
        <f t="shared" si="21"/>
        <v>2</v>
      </c>
      <c r="BT11" s="173">
        <f t="shared" si="21"/>
        <v>2</v>
      </c>
      <c r="BU11" s="173">
        <f t="shared" si="21"/>
        <v>2</v>
      </c>
      <c r="BV11" s="173">
        <f t="shared" si="21"/>
        <v>2</v>
      </c>
      <c r="BW11" s="173">
        <f t="shared" si="21"/>
        <v>0</v>
      </c>
      <c r="BX11" s="173">
        <f t="shared" si="21"/>
        <v>29</v>
      </c>
      <c r="BY11" s="173">
        <f t="shared" si="21"/>
        <v>29</v>
      </c>
      <c r="BZ11" s="173">
        <f t="shared" si="21"/>
        <v>29</v>
      </c>
      <c r="CA11" s="173">
        <f t="shared" si="21"/>
        <v>29</v>
      </c>
      <c r="CB11" s="173">
        <f t="shared" si="21"/>
        <v>29</v>
      </c>
      <c r="CC11" s="173">
        <f t="shared" si="21"/>
        <v>29</v>
      </c>
      <c r="CD11" s="183">
        <f t="shared" si="21"/>
        <v>0</v>
      </c>
      <c r="CE11" s="173">
        <f t="shared" si="21"/>
        <v>32</v>
      </c>
      <c r="CF11" s="173">
        <f t="shared" ref="CF11:DK11" si="22">SUM(CF13:CF180)</f>
        <v>32</v>
      </c>
      <c r="CG11" s="173">
        <f t="shared" si="22"/>
        <v>32</v>
      </c>
      <c r="CH11" s="173">
        <f t="shared" si="22"/>
        <v>32</v>
      </c>
      <c r="CI11" s="173">
        <f t="shared" si="22"/>
        <v>32</v>
      </c>
      <c r="CJ11" s="173">
        <f t="shared" si="22"/>
        <v>32</v>
      </c>
      <c r="CK11" s="183">
        <f t="shared" si="22"/>
        <v>0</v>
      </c>
      <c r="CL11" s="173">
        <f t="shared" si="22"/>
        <v>34</v>
      </c>
      <c r="CM11" s="173">
        <f t="shared" si="22"/>
        <v>34</v>
      </c>
      <c r="CN11" s="173">
        <f t="shared" si="22"/>
        <v>34</v>
      </c>
      <c r="CO11" s="173">
        <f t="shared" si="22"/>
        <v>34</v>
      </c>
      <c r="CP11" s="173">
        <f t="shared" si="22"/>
        <v>34</v>
      </c>
      <c r="CQ11" s="173">
        <f t="shared" si="22"/>
        <v>34</v>
      </c>
      <c r="CR11" s="183">
        <f t="shared" si="22"/>
        <v>0</v>
      </c>
      <c r="CS11" s="173">
        <f t="shared" si="22"/>
        <v>39</v>
      </c>
      <c r="CT11" s="173">
        <f t="shared" si="22"/>
        <v>39</v>
      </c>
      <c r="CU11" s="173">
        <f t="shared" si="22"/>
        <v>39</v>
      </c>
      <c r="CV11" s="173">
        <f t="shared" si="22"/>
        <v>35</v>
      </c>
      <c r="CW11" s="173">
        <f t="shared" si="22"/>
        <v>35</v>
      </c>
      <c r="CX11" s="173">
        <f t="shared" si="22"/>
        <v>35</v>
      </c>
      <c r="CY11" s="183">
        <f t="shared" si="22"/>
        <v>0</v>
      </c>
      <c r="CZ11" s="173">
        <f t="shared" si="22"/>
        <v>36</v>
      </c>
      <c r="DA11" s="173">
        <f t="shared" si="22"/>
        <v>36</v>
      </c>
      <c r="DB11" s="173">
        <f t="shared" si="22"/>
        <v>36</v>
      </c>
      <c r="DC11" s="173">
        <f t="shared" si="22"/>
        <v>36</v>
      </c>
      <c r="DD11" s="173">
        <f t="shared" si="22"/>
        <v>36</v>
      </c>
      <c r="DE11" s="173">
        <f t="shared" si="22"/>
        <v>36</v>
      </c>
      <c r="DF11" s="183">
        <f t="shared" si="22"/>
        <v>0</v>
      </c>
      <c r="DG11" s="173">
        <f t="shared" si="22"/>
        <v>37</v>
      </c>
      <c r="DH11" s="173">
        <f t="shared" si="22"/>
        <v>37</v>
      </c>
      <c r="DI11" s="173">
        <f t="shared" si="22"/>
        <v>37</v>
      </c>
      <c r="DJ11" s="173">
        <f t="shared" si="22"/>
        <v>37</v>
      </c>
      <c r="DK11" s="173">
        <f t="shared" si="22"/>
        <v>37</v>
      </c>
      <c r="DL11" s="173">
        <f t="shared" ref="DL11:EQ11" si="23">SUM(DL13:DL180)</f>
        <v>37</v>
      </c>
      <c r="DM11" s="183">
        <f t="shared" si="23"/>
        <v>0</v>
      </c>
      <c r="DN11" s="173">
        <f t="shared" si="23"/>
        <v>37</v>
      </c>
      <c r="DO11" s="173">
        <f t="shared" si="23"/>
        <v>37</v>
      </c>
      <c r="DP11" s="173">
        <f t="shared" si="23"/>
        <v>37</v>
      </c>
      <c r="DQ11" s="173">
        <f t="shared" si="23"/>
        <v>37</v>
      </c>
      <c r="DR11" s="173">
        <f t="shared" si="23"/>
        <v>37</v>
      </c>
      <c r="DS11" s="173">
        <f t="shared" si="23"/>
        <v>37</v>
      </c>
      <c r="DT11" s="183">
        <f t="shared" si="23"/>
        <v>0</v>
      </c>
      <c r="DU11" s="173">
        <f t="shared" si="23"/>
        <v>40</v>
      </c>
      <c r="DV11" s="173">
        <f t="shared" si="23"/>
        <v>40</v>
      </c>
      <c r="DW11" s="173">
        <f t="shared" si="23"/>
        <v>40</v>
      </c>
      <c r="DX11" s="173">
        <f t="shared" si="23"/>
        <v>40</v>
      </c>
      <c r="DY11" s="173">
        <f t="shared" si="23"/>
        <v>40</v>
      </c>
      <c r="DZ11" s="173">
        <f t="shared" si="23"/>
        <v>40</v>
      </c>
      <c r="EA11" s="183">
        <f t="shared" si="23"/>
        <v>0</v>
      </c>
      <c r="EB11" s="173">
        <f t="shared" si="23"/>
        <v>46</v>
      </c>
      <c r="EC11" s="173">
        <f t="shared" si="23"/>
        <v>46</v>
      </c>
      <c r="ED11" s="173">
        <f t="shared" si="23"/>
        <v>46</v>
      </c>
      <c r="EE11" s="173">
        <f t="shared" si="23"/>
        <v>46</v>
      </c>
      <c r="EF11" s="173">
        <f t="shared" si="23"/>
        <v>46</v>
      </c>
      <c r="EG11" s="173">
        <f t="shared" si="23"/>
        <v>46</v>
      </c>
      <c r="EH11" s="183">
        <f t="shared" si="23"/>
        <v>0</v>
      </c>
      <c r="EI11" s="173">
        <f t="shared" si="23"/>
        <v>44</v>
      </c>
      <c r="EJ11" s="173">
        <f t="shared" si="23"/>
        <v>44</v>
      </c>
      <c r="EK11" s="173">
        <f t="shared" si="23"/>
        <v>44</v>
      </c>
      <c r="EL11" s="173">
        <f t="shared" si="23"/>
        <v>44</v>
      </c>
      <c r="EM11" s="173">
        <f t="shared" si="23"/>
        <v>44</v>
      </c>
      <c r="EN11" s="173">
        <f t="shared" si="23"/>
        <v>44</v>
      </c>
      <c r="EO11" s="183">
        <f t="shared" si="23"/>
        <v>0</v>
      </c>
      <c r="EP11" s="173">
        <f t="shared" si="23"/>
        <v>46</v>
      </c>
      <c r="EQ11" s="173">
        <f t="shared" si="23"/>
        <v>46</v>
      </c>
      <c r="ER11" s="173">
        <f t="shared" ref="ER11:FZ11" si="24">SUM(ER13:ER180)</f>
        <v>46</v>
      </c>
      <c r="ES11" s="173">
        <f t="shared" si="24"/>
        <v>46</v>
      </c>
      <c r="ET11" s="173">
        <f t="shared" si="24"/>
        <v>46</v>
      </c>
      <c r="EU11" s="173">
        <f t="shared" si="24"/>
        <v>46</v>
      </c>
      <c r="EV11" s="183">
        <f t="shared" si="24"/>
        <v>0</v>
      </c>
      <c r="EW11" s="173">
        <f t="shared" si="24"/>
        <v>41</v>
      </c>
      <c r="EX11" s="173">
        <f t="shared" si="24"/>
        <v>41</v>
      </c>
      <c r="EY11" s="173">
        <f t="shared" si="24"/>
        <v>41</v>
      </c>
      <c r="EZ11" s="173">
        <f t="shared" si="24"/>
        <v>41</v>
      </c>
      <c r="FA11" s="173">
        <f t="shared" si="24"/>
        <v>41</v>
      </c>
      <c r="FB11" s="173">
        <f t="shared" si="24"/>
        <v>41</v>
      </c>
      <c r="FC11" s="183">
        <f t="shared" si="24"/>
        <v>0</v>
      </c>
      <c r="FD11" s="173">
        <f t="shared" si="24"/>
        <v>34</v>
      </c>
      <c r="FE11" s="173">
        <f t="shared" si="24"/>
        <v>34</v>
      </c>
      <c r="FF11" s="173">
        <f t="shared" si="24"/>
        <v>34</v>
      </c>
      <c r="FG11" s="173">
        <f t="shared" si="24"/>
        <v>34</v>
      </c>
      <c r="FH11" s="173">
        <f t="shared" si="24"/>
        <v>32</v>
      </c>
      <c r="FI11" s="177">
        <f t="shared" si="24"/>
        <v>32</v>
      </c>
      <c r="FJ11" s="183">
        <f>SUM(FJ13:FJ180)</f>
        <v>0</v>
      </c>
      <c r="FK11" s="180">
        <f t="shared" si="24"/>
        <v>34</v>
      </c>
      <c r="FL11" s="173">
        <f t="shared" si="24"/>
        <v>34</v>
      </c>
      <c r="FM11" s="173">
        <f t="shared" si="24"/>
        <v>34</v>
      </c>
      <c r="FN11" s="173">
        <f t="shared" si="24"/>
        <v>34</v>
      </c>
      <c r="FO11" s="173">
        <f t="shared" si="24"/>
        <v>34</v>
      </c>
      <c r="FP11" s="173">
        <f t="shared" si="24"/>
        <v>34</v>
      </c>
      <c r="FQ11" s="183">
        <f>SUM(FQ13:FQ180)</f>
        <v>0</v>
      </c>
      <c r="FR11" s="173">
        <f t="shared" si="24"/>
        <v>34</v>
      </c>
      <c r="FS11" s="173">
        <f t="shared" si="24"/>
        <v>34</v>
      </c>
      <c r="FT11" s="173">
        <f t="shared" si="24"/>
        <v>34</v>
      </c>
      <c r="FU11" s="173">
        <f t="shared" si="24"/>
        <v>34</v>
      </c>
      <c r="FV11" s="173">
        <f t="shared" si="24"/>
        <v>34</v>
      </c>
      <c r="FW11" s="177">
        <f t="shared" si="24"/>
        <v>34</v>
      </c>
      <c r="FX11" s="183">
        <f t="shared" si="24"/>
        <v>0</v>
      </c>
      <c r="FY11" s="180">
        <f t="shared" si="24"/>
        <v>16</v>
      </c>
      <c r="FZ11" s="173">
        <f t="shared" si="24"/>
        <v>16</v>
      </c>
      <c r="GA11" s="173">
        <f t="shared" ref="GA11:HG11" si="25">SUM(GA13:GA180)</f>
        <v>16</v>
      </c>
      <c r="GB11" s="173">
        <f t="shared" si="25"/>
        <v>16</v>
      </c>
      <c r="GC11" s="173">
        <f t="shared" si="25"/>
        <v>16</v>
      </c>
      <c r="GD11" s="173">
        <f t="shared" si="25"/>
        <v>16</v>
      </c>
      <c r="GE11" s="183">
        <f t="shared" si="25"/>
        <v>0</v>
      </c>
      <c r="GF11" s="173">
        <f t="shared" si="25"/>
        <v>14</v>
      </c>
      <c r="GG11" s="173">
        <f t="shared" si="25"/>
        <v>14</v>
      </c>
      <c r="GH11" s="173">
        <f t="shared" si="25"/>
        <v>14</v>
      </c>
      <c r="GI11" s="173">
        <f t="shared" si="25"/>
        <v>14</v>
      </c>
      <c r="GJ11" s="173">
        <f t="shared" si="25"/>
        <v>14</v>
      </c>
      <c r="GK11" s="173">
        <f t="shared" si="25"/>
        <v>14</v>
      </c>
      <c r="GL11" s="183">
        <f t="shared" si="25"/>
        <v>0</v>
      </c>
      <c r="GM11" s="173">
        <f t="shared" si="25"/>
        <v>14</v>
      </c>
      <c r="GN11" s="173">
        <f t="shared" si="25"/>
        <v>14</v>
      </c>
      <c r="GO11" s="173">
        <f t="shared" si="25"/>
        <v>14</v>
      </c>
      <c r="GP11" s="173">
        <f t="shared" si="25"/>
        <v>14</v>
      </c>
      <c r="GQ11" s="173">
        <f t="shared" si="25"/>
        <v>14</v>
      </c>
      <c r="GR11" s="173">
        <f t="shared" si="25"/>
        <v>14</v>
      </c>
      <c r="GS11" s="183">
        <f t="shared" si="25"/>
        <v>0</v>
      </c>
      <c r="GT11" s="173">
        <f t="shared" si="25"/>
        <v>12</v>
      </c>
      <c r="GU11" s="173">
        <f t="shared" si="25"/>
        <v>12</v>
      </c>
      <c r="GV11" s="173">
        <f t="shared" si="25"/>
        <v>12</v>
      </c>
      <c r="GW11" s="173">
        <f t="shared" si="25"/>
        <v>12</v>
      </c>
      <c r="GX11" s="173">
        <f t="shared" si="25"/>
        <v>12</v>
      </c>
      <c r="GY11" s="173">
        <f t="shared" si="25"/>
        <v>12</v>
      </c>
      <c r="GZ11" s="183">
        <f t="shared" si="25"/>
        <v>0</v>
      </c>
      <c r="HA11" s="173">
        <f t="shared" si="25"/>
        <v>12</v>
      </c>
      <c r="HB11" s="173">
        <f t="shared" si="25"/>
        <v>12</v>
      </c>
      <c r="HC11" s="173">
        <f t="shared" si="25"/>
        <v>12</v>
      </c>
      <c r="HD11" s="173">
        <f t="shared" si="25"/>
        <v>12</v>
      </c>
      <c r="HE11" s="173">
        <f t="shared" si="25"/>
        <v>12</v>
      </c>
      <c r="HF11" s="173">
        <f t="shared" si="25"/>
        <v>12</v>
      </c>
      <c r="HG11" s="183">
        <f t="shared" si="25"/>
        <v>0</v>
      </c>
      <c r="HH11" s="174"/>
      <c r="HI11" s="174"/>
      <c r="HJ11" s="174"/>
      <c r="HK11" s="174"/>
      <c r="HL11" s="174"/>
      <c r="HM11" s="174"/>
      <c r="HN11" s="174"/>
      <c r="HO11" s="174"/>
      <c r="HP11" s="174"/>
      <c r="HQ11" s="174"/>
      <c r="HR11" s="174"/>
      <c r="HS11" s="174"/>
      <c r="HT11" s="174"/>
      <c r="HU11" s="174"/>
      <c r="HV11" s="174"/>
      <c r="HW11" s="174"/>
      <c r="HX11" s="174"/>
      <c r="HY11" s="174"/>
      <c r="HZ11" s="174"/>
      <c r="IA11" s="174"/>
      <c r="IB11" s="174"/>
      <c r="IC11" s="174"/>
      <c r="ID11" s="174"/>
      <c r="IE11" s="174"/>
      <c r="IF11" s="174"/>
      <c r="IG11" s="174"/>
      <c r="IH11" s="174"/>
      <c r="II11" s="174"/>
      <c r="IJ11" s="174"/>
      <c r="IK11" s="174"/>
      <c r="IL11" s="174"/>
      <c r="IM11" s="174"/>
      <c r="IN11" s="174"/>
      <c r="IO11" s="174"/>
      <c r="IP11" s="174"/>
      <c r="IQ11" s="174"/>
      <c r="IR11" s="174"/>
      <c r="IS11" s="174"/>
      <c r="IT11" s="174"/>
      <c r="IU11" s="174"/>
      <c r="IV11" s="174"/>
      <c r="IW11" s="174"/>
      <c r="IX11" s="174"/>
      <c r="IY11" s="174"/>
      <c r="IZ11" s="174"/>
      <c r="JA11" s="174"/>
      <c r="JB11" s="174"/>
      <c r="JC11" s="174"/>
      <c r="JD11" s="174"/>
      <c r="JE11" s="174"/>
      <c r="JF11" s="174"/>
      <c r="JG11" s="174"/>
      <c r="JH11" s="174"/>
      <c r="JI11" s="174"/>
      <c r="JJ11" s="174"/>
      <c r="JK11" s="174"/>
      <c r="JL11" s="174"/>
      <c r="JM11" s="174"/>
      <c r="JN11" s="174"/>
      <c r="JO11" s="174"/>
      <c r="JP11" s="174"/>
      <c r="JQ11" s="174"/>
      <c r="JR11" s="174"/>
      <c r="JS11" s="174"/>
      <c r="JT11" s="174"/>
      <c r="JU11" s="174"/>
      <c r="JV11" s="174"/>
      <c r="JW11" s="174"/>
      <c r="JX11" s="174"/>
      <c r="JY11" s="174"/>
      <c r="JZ11" s="174"/>
      <c r="KA11" s="174"/>
      <c r="KB11" s="174"/>
      <c r="KC11" s="174"/>
      <c r="KD11" s="174"/>
      <c r="KE11" s="174"/>
      <c r="KF11" s="174"/>
      <c r="KG11" s="174"/>
      <c r="KH11" s="174"/>
      <c r="KI11" s="174"/>
      <c r="KJ11" s="174"/>
      <c r="KK11" s="174"/>
      <c r="KL11" s="174"/>
      <c r="KM11" s="174"/>
      <c r="KN11" s="174"/>
      <c r="KO11" s="174"/>
      <c r="KP11" s="174"/>
      <c r="KQ11" s="174"/>
      <c r="KR11" s="174"/>
      <c r="KS11" s="174"/>
      <c r="KT11" s="174"/>
      <c r="KU11" s="174"/>
      <c r="KV11" s="174"/>
      <c r="KW11" s="174"/>
      <c r="KX11" s="174"/>
      <c r="KY11" s="174"/>
      <c r="KZ11" s="174"/>
      <c r="LA11" s="174"/>
      <c r="LB11" s="174"/>
      <c r="LC11" s="174"/>
      <c r="LD11" s="174"/>
      <c r="LE11" s="174"/>
      <c r="LF11" s="174"/>
      <c r="LG11" s="174"/>
      <c r="LH11" s="174"/>
      <c r="LI11" s="174"/>
      <c r="LJ11" s="174"/>
      <c r="LK11" s="174"/>
      <c r="LL11" s="174"/>
      <c r="LM11" s="174"/>
      <c r="LN11" s="174"/>
      <c r="LO11" s="174"/>
      <c r="LP11" s="174"/>
      <c r="LQ11" s="174"/>
      <c r="LR11" s="174"/>
      <c r="LS11" s="174"/>
      <c r="LT11" s="174"/>
      <c r="LU11" s="174"/>
      <c r="LV11" s="174"/>
      <c r="LW11" s="174"/>
      <c r="LX11" s="174"/>
      <c r="LY11" s="174"/>
      <c r="LZ11" s="174"/>
      <c r="MA11" s="174"/>
      <c r="MB11" s="174"/>
      <c r="MC11" s="174"/>
      <c r="MD11" s="174"/>
      <c r="ME11" s="174"/>
      <c r="MF11" s="174"/>
      <c r="MG11" s="174"/>
      <c r="MH11" s="174"/>
      <c r="MI11" s="174"/>
      <c r="MJ11" s="174"/>
      <c r="MK11" s="174"/>
      <c r="ML11" s="174"/>
      <c r="MM11" s="174"/>
      <c r="MN11" s="174"/>
      <c r="MO11" s="174"/>
      <c r="MP11" s="174"/>
      <c r="MQ11" s="174"/>
      <c r="MR11" s="174"/>
      <c r="MS11" s="174"/>
      <c r="MT11" s="174"/>
      <c r="MU11" s="174"/>
      <c r="MV11" s="174"/>
      <c r="MW11" s="174"/>
      <c r="MX11" s="174"/>
      <c r="MY11" s="174"/>
      <c r="MZ11" s="174"/>
      <c r="NA11" s="174"/>
      <c r="NB11" s="174"/>
      <c r="NC11" s="174"/>
      <c r="ND11" s="174"/>
      <c r="NE11" s="174"/>
      <c r="NF11" s="174"/>
      <c r="NG11" s="174"/>
      <c r="NH11" s="174"/>
      <c r="NI11" s="174"/>
      <c r="NJ11" s="174"/>
      <c r="NK11" s="174"/>
      <c r="NL11" s="174"/>
      <c r="NM11" s="174"/>
      <c r="NN11" s="174"/>
      <c r="NO11" s="174"/>
      <c r="NP11" s="174"/>
      <c r="NQ11" s="174"/>
      <c r="NR11" s="174"/>
      <c r="NS11" s="174"/>
      <c r="NT11" s="174"/>
      <c r="NU11" s="174"/>
      <c r="NV11" s="174"/>
      <c r="NW11" s="174"/>
      <c r="NX11" s="174"/>
      <c r="NY11" s="174"/>
      <c r="NZ11" s="174"/>
    </row>
    <row r="12" spans="2:390" ht="21.75" customHeight="1" x14ac:dyDescent="0.45">
      <c r="B12" s="1">
        <v>1</v>
      </c>
      <c r="C12" s="1">
        <v>0</v>
      </c>
      <c r="D12" s="1">
        <v>0</v>
      </c>
      <c r="E12" s="116" t="str">
        <f t="shared" ref="E12:E43" si="26">B12&amp;"."&amp;C12&amp;"."&amp;D12</f>
        <v>1.0.0</v>
      </c>
      <c r="F12" s="103" t="s">
        <v>7</v>
      </c>
      <c r="G12" s="103"/>
      <c r="H12" s="104"/>
      <c r="I12" s="104"/>
      <c r="J12" s="103"/>
      <c r="K12" s="103"/>
      <c r="L12" s="103"/>
      <c r="M12" s="103"/>
      <c r="N12" s="103"/>
      <c r="O12" s="106">
        <f>+SUM(O13,O18,O22,O23,O26:O33,O36)</f>
        <v>1610</v>
      </c>
      <c r="P12" s="106"/>
      <c r="Q12" s="106"/>
      <c r="R12" s="107"/>
      <c r="S12" s="107"/>
      <c r="T12" s="194">
        <f>+MAX(T13:T44)</f>
        <v>46115</v>
      </c>
      <c r="U12" s="160">
        <f>+SUM(O13*U13,O18*U18,O22*U22,O23*U23,SUMPRODUCT(O26:O33,U26:U33),O36*U36)/O12</f>
        <v>0.1268254247659282</v>
      </c>
      <c r="V12" s="197">
        <f>+U12*O12</f>
        <v>204.18893387314441</v>
      </c>
      <c r="W12" s="32">
        <f>+Summary!D4</f>
        <v>2</v>
      </c>
      <c r="X12" s="32"/>
      <c r="Y12" s="106">
        <f>+SUM(Y13,Y18,Y22,Y23,Y26:Y33,Y36)</f>
        <v>48</v>
      </c>
      <c r="Z12" s="41"/>
      <c r="AA12" s="15"/>
      <c r="AB12" s="15"/>
      <c r="AC12" s="15"/>
      <c r="AD12" s="15"/>
      <c r="AE12" s="15"/>
      <c r="AF12" s="15"/>
      <c r="AG12" s="184"/>
      <c r="AH12" s="15"/>
      <c r="AI12" s="15"/>
      <c r="AJ12" s="15"/>
      <c r="AK12" s="15"/>
      <c r="AL12" s="15"/>
      <c r="AM12" s="15"/>
      <c r="AN12" s="184"/>
      <c r="AO12" s="15"/>
      <c r="AP12" s="15"/>
      <c r="AQ12" s="15"/>
      <c r="AR12" s="15"/>
      <c r="AS12" s="15"/>
      <c r="AT12" s="15"/>
      <c r="AU12" s="184"/>
      <c r="AV12" s="15"/>
      <c r="AW12" s="15"/>
      <c r="AX12" s="15"/>
      <c r="AY12" s="15"/>
      <c r="AZ12" s="15"/>
      <c r="BA12" s="15"/>
      <c r="BB12" s="184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84"/>
      <c r="CE12" s="15"/>
      <c r="CF12" s="15"/>
      <c r="CG12" s="15"/>
      <c r="CH12" s="15"/>
      <c r="CI12" s="15"/>
      <c r="CJ12" s="15"/>
      <c r="CK12" s="184"/>
      <c r="CL12" s="15"/>
      <c r="CM12" s="15"/>
      <c r="CN12" s="15"/>
      <c r="CO12" s="15"/>
      <c r="CP12" s="15"/>
      <c r="CQ12" s="15"/>
      <c r="CR12" s="184"/>
      <c r="CS12" s="15"/>
      <c r="CT12" s="15"/>
      <c r="CU12" s="15"/>
      <c r="CV12" s="15"/>
      <c r="CW12" s="15"/>
      <c r="CX12" s="15"/>
      <c r="CY12" s="184"/>
      <c r="CZ12" s="15"/>
      <c r="DA12" s="15"/>
      <c r="DB12" s="15"/>
      <c r="DC12" s="15"/>
      <c r="DD12" s="15"/>
      <c r="DE12" s="15"/>
      <c r="DF12" s="184"/>
      <c r="DG12" s="15"/>
      <c r="DH12" s="15"/>
      <c r="DI12" s="15"/>
      <c r="DJ12" s="15"/>
      <c r="DK12" s="15"/>
      <c r="DL12" s="15"/>
      <c r="DM12" s="184"/>
      <c r="DN12" s="15"/>
      <c r="DO12" s="15"/>
      <c r="DP12" s="15"/>
      <c r="DQ12" s="15"/>
      <c r="DR12" s="15"/>
      <c r="DS12" s="15"/>
      <c r="DT12" s="184"/>
      <c r="DU12" s="15"/>
      <c r="DV12" s="15"/>
      <c r="DW12" s="15"/>
      <c r="DX12" s="15"/>
      <c r="DY12" s="15"/>
      <c r="DZ12" s="15"/>
      <c r="EA12" s="184"/>
      <c r="EB12" s="15"/>
      <c r="EC12" s="15"/>
      <c r="ED12" s="15"/>
      <c r="EE12" s="15"/>
      <c r="EF12" s="15"/>
      <c r="EG12" s="15"/>
      <c r="EH12" s="184"/>
      <c r="EI12" s="15"/>
      <c r="EJ12" s="15"/>
      <c r="EK12" s="15"/>
      <c r="EL12" s="15"/>
      <c r="EM12" s="15"/>
      <c r="EN12" s="15"/>
      <c r="EO12" s="184"/>
      <c r="EP12" s="15"/>
      <c r="EQ12" s="15"/>
      <c r="ER12" s="15"/>
      <c r="ES12" s="15"/>
      <c r="ET12" s="15"/>
      <c r="EU12" s="15"/>
      <c r="EV12" s="184"/>
      <c r="EW12" s="15"/>
      <c r="EX12" s="15"/>
      <c r="EY12" s="15"/>
      <c r="EZ12" s="15"/>
      <c r="FA12" s="15"/>
      <c r="FB12" s="15"/>
      <c r="FC12" s="184"/>
      <c r="FD12" s="15"/>
      <c r="FE12" s="15"/>
      <c r="FF12" s="15"/>
      <c r="FG12" s="15"/>
      <c r="FH12" s="15"/>
      <c r="FI12" s="15"/>
      <c r="FJ12" s="184"/>
      <c r="FK12" s="15"/>
      <c r="FL12" s="15"/>
      <c r="FM12" s="15"/>
      <c r="FN12" s="15"/>
      <c r="FO12" s="15"/>
      <c r="FP12" s="15"/>
      <c r="FQ12" s="184"/>
      <c r="FR12" s="15"/>
      <c r="FS12" s="15"/>
      <c r="FT12" s="15"/>
      <c r="FU12" s="15"/>
      <c r="FV12" s="15"/>
      <c r="FW12" s="178"/>
      <c r="FX12" s="184"/>
      <c r="FY12" s="181"/>
      <c r="FZ12" s="15"/>
      <c r="GA12" s="15"/>
      <c r="GB12" s="15"/>
      <c r="GC12" s="15"/>
      <c r="GD12" s="15"/>
      <c r="GE12" s="184"/>
      <c r="GF12" s="15"/>
      <c r="GG12" s="15"/>
      <c r="GH12" s="15"/>
      <c r="GI12" s="15"/>
      <c r="GJ12" s="15"/>
      <c r="GK12" s="15"/>
      <c r="GL12" s="184"/>
      <c r="GM12" s="15"/>
      <c r="GN12" s="15"/>
      <c r="GO12" s="15"/>
      <c r="GP12" s="15"/>
      <c r="GQ12" s="15"/>
      <c r="GR12" s="15"/>
      <c r="GS12" s="184"/>
      <c r="GT12" s="15"/>
      <c r="GU12" s="15"/>
      <c r="GV12" s="15"/>
      <c r="GW12" s="15"/>
      <c r="GX12" s="15"/>
      <c r="GY12" s="15"/>
      <c r="GZ12" s="184"/>
      <c r="HA12" s="15"/>
      <c r="HB12" s="15"/>
      <c r="HC12" s="15"/>
      <c r="HD12" s="15"/>
      <c r="HE12" s="15"/>
      <c r="HF12" s="15"/>
      <c r="HG12" s="184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</row>
    <row r="13" spans="2:390" ht="19.5" customHeight="1" x14ac:dyDescent="0.45">
      <c r="B13" s="1">
        <f>+B12</f>
        <v>1</v>
      </c>
      <c r="C13" s="1">
        <v>1</v>
      </c>
      <c r="D13" s="1">
        <v>0</v>
      </c>
      <c r="E13" s="93" t="str">
        <f t="shared" si="26"/>
        <v>1.1.0</v>
      </c>
      <c r="F13" s="113" t="s">
        <v>57</v>
      </c>
      <c r="G13" s="114"/>
      <c r="H13" s="115"/>
      <c r="I13" s="115"/>
      <c r="J13" s="111"/>
      <c r="K13" s="111"/>
      <c r="L13" s="111"/>
      <c r="M13" s="96"/>
      <c r="N13" s="96"/>
      <c r="O13" s="95">
        <f>SUM(O14:O17)</f>
        <v>540</v>
      </c>
      <c r="P13" s="115"/>
      <c r="Q13" s="115"/>
      <c r="R13" s="165"/>
      <c r="S13" s="111"/>
      <c r="T13" s="163" t="str">
        <f>IF(S13&lt;&gt;"",IF(#REF!="x",WORKDAY(IF(WEEKDAY(R13,1)=7,R13+2,IF(WEEKDAY(R13,1)=1,R13+1,R13)),S13-1),R13+S13-1),"")</f>
        <v/>
      </c>
      <c r="U13" s="164">
        <f>+SUMPRODUCT(U14:U17,O14:O17)/O13</f>
        <v>2.3741690408357073E-2</v>
      </c>
      <c r="V13" s="198">
        <f t="shared" ref="V13" si="27">+U13*O13</f>
        <v>12.820512820512819</v>
      </c>
      <c r="W13" s="18"/>
      <c r="X13" s="18"/>
      <c r="Y13" s="206">
        <f t="shared" ref="Y13" si="28">+X13*O13</f>
        <v>0</v>
      </c>
      <c r="Z13" s="34"/>
      <c r="AA13" s="15"/>
      <c r="AB13" s="15"/>
      <c r="AC13" s="15"/>
      <c r="AD13" s="15"/>
      <c r="AE13" s="15"/>
      <c r="AF13" s="15"/>
      <c r="AG13" s="184"/>
      <c r="AH13" s="15"/>
      <c r="AI13" s="15"/>
      <c r="AJ13" s="15"/>
      <c r="AK13" s="15"/>
      <c r="AL13" s="15"/>
      <c r="AM13" s="15"/>
      <c r="AN13" s="184"/>
      <c r="AO13" s="15"/>
      <c r="AP13" s="15"/>
      <c r="AQ13" s="15"/>
      <c r="AR13" s="15"/>
      <c r="AS13" s="15"/>
      <c r="AT13" s="15"/>
      <c r="AU13" s="184"/>
      <c r="AV13" s="15"/>
      <c r="AW13" s="15"/>
      <c r="AX13" s="15"/>
      <c r="AY13" s="15"/>
      <c r="AZ13" s="15"/>
      <c r="BA13" s="15"/>
      <c r="BB13" s="184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84"/>
      <c r="CE13" s="15"/>
      <c r="CF13" s="15"/>
      <c r="CG13" s="15"/>
      <c r="CH13" s="15"/>
      <c r="CI13" s="15"/>
      <c r="CJ13" s="15"/>
      <c r="CK13" s="184"/>
      <c r="CL13" s="15"/>
      <c r="CM13" s="15"/>
      <c r="CN13" s="15"/>
      <c r="CO13" s="15"/>
      <c r="CP13" s="15"/>
      <c r="CQ13" s="15"/>
      <c r="CR13" s="184"/>
      <c r="CS13" s="15"/>
      <c r="CT13" s="15"/>
      <c r="CU13" s="15"/>
      <c r="CV13" s="15"/>
      <c r="CW13" s="15"/>
      <c r="CX13" s="15"/>
      <c r="CY13" s="184"/>
      <c r="CZ13" s="15"/>
      <c r="DA13" s="15"/>
      <c r="DB13" s="15"/>
      <c r="DC13" s="15"/>
      <c r="DD13" s="15"/>
      <c r="DE13" s="15"/>
      <c r="DF13" s="184"/>
      <c r="DG13" s="15"/>
      <c r="DH13" s="15"/>
      <c r="DI13" s="15"/>
      <c r="DJ13" s="15"/>
      <c r="DK13" s="15"/>
      <c r="DL13" s="15"/>
      <c r="DM13" s="184"/>
      <c r="DN13" s="15"/>
      <c r="DO13" s="15"/>
      <c r="DP13" s="15"/>
      <c r="DQ13" s="15"/>
      <c r="DR13" s="15"/>
      <c r="DS13" s="15"/>
      <c r="DT13" s="184"/>
      <c r="DU13" s="15"/>
      <c r="DV13" s="15"/>
      <c r="DW13" s="15"/>
      <c r="DX13" s="15"/>
      <c r="DY13" s="15"/>
      <c r="DZ13" s="15"/>
      <c r="EA13" s="184"/>
      <c r="EB13" s="15"/>
      <c r="EC13" s="15"/>
      <c r="ED13" s="15"/>
      <c r="EE13" s="15"/>
      <c r="EF13" s="15"/>
      <c r="EG13" s="15"/>
      <c r="EH13" s="184"/>
      <c r="EI13" s="15"/>
      <c r="EJ13" s="15"/>
      <c r="EK13" s="15"/>
      <c r="EL13" s="15"/>
      <c r="EM13" s="15"/>
      <c r="EN13" s="15"/>
      <c r="EO13" s="184"/>
      <c r="EP13" s="15"/>
      <c r="EQ13" s="15"/>
      <c r="ER13" s="15"/>
      <c r="ES13" s="15"/>
      <c r="ET13" s="15"/>
      <c r="EU13" s="15"/>
      <c r="EV13" s="184"/>
      <c r="EW13" s="15"/>
      <c r="EX13" s="15"/>
      <c r="EY13" s="15"/>
      <c r="EZ13" s="15"/>
      <c r="FA13" s="15"/>
      <c r="FB13" s="15"/>
      <c r="FC13" s="184"/>
      <c r="FD13" s="15"/>
      <c r="FE13" s="15"/>
      <c r="FF13" s="15"/>
      <c r="FG13" s="15"/>
      <c r="FH13" s="15"/>
      <c r="FI13" s="15"/>
      <c r="FJ13" s="184"/>
      <c r="FK13" s="15"/>
      <c r="FL13" s="15"/>
      <c r="FM13" s="15"/>
      <c r="FN13" s="15"/>
      <c r="FO13" s="15"/>
      <c r="FP13" s="15"/>
      <c r="FQ13" s="184"/>
      <c r="FR13" s="15"/>
      <c r="FS13" s="15"/>
      <c r="FT13" s="15"/>
      <c r="FU13" s="15"/>
      <c r="FV13" s="15"/>
      <c r="FW13" s="178"/>
      <c r="FX13" s="184"/>
      <c r="FY13" s="181"/>
      <c r="FZ13" s="15"/>
      <c r="GA13" s="15"/>
      <c r="GB13" s="15"/>
      <c r="GC13" s="15"/>
      <c r="GD13" s="15"/>
      <c r="GE13" s="184"/>
      <c r="GF13" s="15"/>
      <c r="GG13" s="15"/>
      <c r="GH13" s="15"/>
      <c r="GI13" s="15"/>
      <c r="GJ13" s="15"/>
      <c r="GK13" s="15"/>
      <c r="GL13" s="184"/>
      <c r="GM13" s="15"/>
      <c r="GN13" s="15"/>
      <c r="GO13" s="15"/>
      <c r="GP13" s="15"/>
      <c r="GQ13" s="15"/>
      <c r="GR13" s="15"/>
      <c r="GS13" s="184"/>
      <c r="GT13" s="15"/>
      <c r="GU13" s="15"/>
      <c r="GV13" s="15"/>
      <c r="GW13" s="15"/>
      <c r="GX13" s="15"/>
      <c r="GY13" s="15"/>
      <c r="GZ13" s="184"/>
      <c r="HA13" s="15"/>
      <c r="HB13" s="15"/>
      <c r="HC13" s="15"/>
      <c r="HD13" s="15"/>
      <c r="HE13" s="15"/>
      <c r="HF13" s="15"/>
      <c r="HG13" s="184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</row>
    <row r="14" spans="2:390" ht="19.5" customHeight="1" x14ac:dyDescent="0.45">
      <c r="B14" s="1">
        <f t="shared" ref="B14:B20" si="29">+B13</f>
        <v>1</v>
      </c>
      <c r="C14" s="1">
        <v>1</v>
      </c>
      <c r="D14" s="1">
        <v>1</v>
      </c>
      <c r="E14" s="59" t="str">
        <f t="shared" si="26"/>
        <v>1.1.1</v>
      </c>
      <c r="F14" s="23" t="s">
        <v>115</v>
      </c>
      <c r="G14" s="191">
        <v>1</v>
      </c>
      <c r="H14" s="52" t="s">
        <v>117</v>
      </c>
      <c r="I14" s="52" t="s">
        <v>156</v>
      </c>
      <c r="J14" s="52">
        <v>156</v>
      </c>
      <c r="K14" s="52">
        <v>8</v>
      </c>
      <c r="L14" s="52">
        <f>+J14-K14</f>
        <v>148</v>
      </c>
      <c r="M14" s="20">
        <v>2</v>
      </c>
      <c r="N14" s="20">
        <v>125</v>
      </c>
      <c r="O14" s="51">
        <f>+N14*M14</f>
        <v>250</v>
      </c>
      <c r="P14" s="51">
        <f>+SUM(AA14:NZ14)</f>
        <v>250</v>
      </c>
      <c r="Q14" s="51">
        <f>+O14-P14</f>
        <v>0</v>
      </c>
      <c r="R14" s="19">
        <v>45999</v>
      </c>
      <c r="S14" s="20">
        <v>40</v>
      </c>
      <c r="T14" s="21">
        <f>IF(S14&lt;&gt;"",IF($Z$9="x",WORKDAY(IF(WEEKDAY(R14,1)=7,R14+2,IF(WEEKDAY(R14,1)=1,R14+1,R14)),S14-1),R14+S14-1),"")</f>
        <v>46052</v>
      </c>
      <c r="U14" s="22">
        <f>+K14/J14</f>
        <v>5.128205128205128E-2</v>
      </c>
      <c r="V14" s="199">
        <f>+U14*O14</f>
        <v>12.820512820512819</v>
      </c>
      <c r="W14" s="158">
        <f>SUMIFS($AA14:$NZ14, $AA$8:$NZ$8, $W$12)/$O14</f>
        <v>0</v>
      </c>
      <c r="X14" s="159">
        <f>SUMIF($AA$9:$NZ$9, "&lt;=" &amp; $W$11,$AA14:$NZ14)/$O14</f>
        <v>0.40799999999999997</v>
      </c>
      <c r="Y14" s="199">
        <f>+X14*O14</f>
        <v>102</v>
      </c>
      <c r="Z14" s="42"/>
      <c r="AA14" s="15"/>
      <c r="AB14" s="15">
        <v>2</v>
      </c>
      <c r="AC14" s="15"/>
      <c r="AD14" s="15"/>
      <c r="AE14" s="15"/>
      <c r="AF14" s="15"/>
      <c r="AG14" s="184"/>
      <c r="AH14" s="15"/>
      <c r="AI14" s="15"/>
      <c r="AJ14" s="15"/>
      <c r="AK14" s="15"/>
      <c r="AL14" s="15"/>
      <c r="AM14" s="15"/>
      <c r="AN14" s="184"/>
      <c r="AO14" s="15">
        <v>10</v>
      </c>
      <c r="AP14" s="15">
        <v>10</v>
      </c>
      <c r="AQ14" s="15">
        <v>10</v>
      </c>
      <c r="AR14" s="15">
        <v>10</v>
      </c>
      <c r="AS14" s="15">
        <v>10</v>
      </c>
      <c r="AT14" s="15">
        <v>10</v>
      </c>
      <c r="AU14" s="184"/>
      <c r="AV14" s="15">
        <v>8</v>
      </c>
      <c r="AW14" s="15">
        <v>8</v>
      </c>
      <c r="AX14" s="15">
        <v>8</v>
      </c>
      <c r="AY14" s="15">
        <v>8</v>
      </c>
      <c r="AZ14" s="15">
        <v>8</v>
      </c>
      <c r="BA14" s="15"/>
      <c r="BB14" s="184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>
        <v>10</v>
      </c>
      <c r="BY14" s="15">
        <v>10</v>
      </c>
      <c r="BZ14" s="15">
        <v>10</v>
      </c>
      <c r="CA14" s="15">
        <v>10</v>
      </c>
      <c r="CB14" s="15">
        <v>10</v>
      </c>
      <c r="CC14" s="15">
        <v>10</v>
      </c>
      <c r="CD14" s="184"/>
      <c r="CE14" s="15">
        <v>8</v>
      </c>
      <c r="CF14" s="15">
        <v>8</v>
      </c>
      <c r="CG14" s="15">
        <v>8</v>
      </c>
      <c r="CH14" s="15">
        <v>8</v>
      </c>
      <c r="CI14" s="15">
        <v>8</v>
      </c>
      <c r="CJ14" s="15">
        <v>8</v>
      </c>
      <c r="CK14" s="184"/>
      <c r="CL14" s="15">
        <v>8</v>
      </c>
      <c r="CM14" s="15">
        <v>8</v>
      </c>
      <c r="CN14" s="15">
        <v>6</v>
      </c>
      <c r="CO14" s="15">
        <v>6</v>
      </c>
      <c r="CP14" s="15">
        <v>6</v>
      </c>
      <c r="CQ14" s="15">
        <v>6</v>
      </c>
      <c r="CR14" s="184"/>
      <c r="CS14" s="15"/>
      <c r="CT14" s="15"/>
      <c r="CU14" s="15"/>
      <c r="CV14" s="15"/>
      <c r="CW14" s="15"/>
      <c r="CX14" s="15"/>
      <c r="CY14" s="184"/>
      <c r="CZ14" s="15"/>
      <c r="DA14" s="15"/>
      <c r="DB14" s="15"/>
      <c r="DC14" s="15"/>
      <c r="DD14" s="15"/>
      <c r="DE14" s="15"/>
      <c r="DF14" s="184"/>
      <c r="DG14" s="15"/>
      <c r="DH14" s="15"/>
      <c r="DI14" s="15"/>
      <c r="DJ14" s="15"/>
      <c r="DK14" s="15"/>
      <c r="DL14" s="15"/>
      <c r="DM14" s="184"/>
      <c r="DN14" s="15"/>
      <c r="DO14" s="15"/>
      <c r="DP14" s="15"/>
      <c r="DQ14" s="15"/>
      <c r="DR14" s="15"/>
      <c r="DS14" s="15"/>
      <c r="DT14" s="184"/>
      <c r="DU14" s="15"/>
      <c r="DV14" s="15"/>
      <c r="DW14" s="15"/>
      <c r="DX14" s="15"/>
      <c r="DY14" s="15"/>
      <c r="DZ14" s="15"/>
      <c r="EA14" s="184"/>
      <c r="EB14" s="15"/>
      <c r="EC14" s="15"/>
      <c r="ED14" s="15"/>
      <c r="EE14" s="15"/>
      <c r="EF14" s="15"/>
      <c r="EG14" s="15"/>
      <c r="EH14" s="184"/>
      <c r="EI14" s="15"/>
      <c r="EJ14" s="15"/>
      <c r="EK14" s="15"/>
      <c r="EL14" s="15"/>
      <c r="EM14" s="15"/>
      <c r="EN14" s="15"/>
      <c r="EO14" s="184"/>
      <c r="EP14" s="15"/>
      <c r="EQ14" s="15"/>
      <c r="ER14" s="15"/>
      <c r="ES14" s="15"/>
      <c r="ET14" s="15"/>
      <c r="EU14" s="15"/>
      <c r="EV14" s="184"/>
      <c r="EW14" s="15"/>
      <c r="EX14" s="15"/>
      <c r="EY14" s="15"/>
      <c r="EZ14" s="15"/>
      <c r="FA14" s="15"/>
      <c r="FB14" s="15"/>
      <c r="FC14" s="184"/>
      <c r="FD14" s="15"/>
      <c r="FE14" s="15"/>
      <c r="FF14" s="15"/>
      <c r="FG14" s="15"/>
      <c r="FH14" s="15"/>
      <c r="FI14" s="15"/>
      <c r="FJ14" s="184"/>
      <c r="FK14" s="15"/>
      <c r="FL14" s="15"/>
      <c r="FM14" s="15"/>
      <c r="FN14" s="15"/>
      <c r="FO14" s="15"/>
      <c r="FP14" s="15"/>
      <c r="FQ14" s="184"/>
      <c r="FR14" s="15"/>
      <c r="FS14" s="15"/>
      <c r="FT14" s="15"/>
      <c r="FU14" s="15"/>
      <c r="FV14" s="15"/>
      <c r="FW14" s="178"/>
      <c r="FX14" s="184"/>
      <c r="FY14" s="181"/>
      <c r="FZ14" s="15"/>
      <c r="GA14" s="15"/>
      <c r="GB14" s="15"/>
      <c r="GC14" s="15"/>
      <c r="GD14" s="15"/>
      <c r="GE14" s="184"/>
      <c r="GF14" s="15"/>
      <c r="GG14" s="15"/>
      <c r="GH14" s="15"/>
      <c r="GI14" s="15"/>
      <c r="GJ14" s="15"/>
      <c r="GK14" s="15"/>
      <c r="GL14" s="184"/>
      <c r="GM14" s="15"/>
      <c r="GN14" s="15"/>
      <c r="GO14" s="15"/>
      <c r="GP14" s="15"/>
      <c r="GQ14" s="15"/>
      <c r="GR14" s="15"/>
      <c r="GS14" s="184"/>
      <c r="GT14" s="15"/>
      <c r="GU14" s="15"/>
      <c r="GV14" s="15"/>
      <c r="GW14" s="15"/>
      <c r="GX14" s="15"/>
      <c r="GY14" s="15"/>
      <c r="GZ14" s="184"/>
      <c r="HA14" s="15"/>
      <c r="HB14" s="15"/>
      <c r="HC14" s="15"/>
      <c r="HD14" s="15"/>
      <c r="HE14" s="15"/>
      <c r="HF14" s="15"/>
      <c r="HG14" s="184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</row>
    <row r="15" spans="2:390" ht="19.5" customHeight="1" x14ac:dyDescent="0.45">
      <c r="B15" s="1">
        <f t="shared" si="29"/>
        <v>1</v>
      </c>
      <c r="C15" s="1">
        <v>1</v>
      </c>
      <c r="D15" s="1">
        <v>2</v>
      </c>
      <c r="E15" s="59" t="str">
        <f t="shared" si="26"/>
        <v>1.1.2</v>
      </c>
      <c r="F15" s="23" t="s">
        <v>73</v>
      </c>
      <c r="G15" s="191">
        <v>1</v>
      </c>
      <c r="H15" s="52" t="s">
        <v>117</v>
      </c>
      <c r="I15" s="52" t="s">
        <v>156</v>
      </c>
      <c r="J15" s="52">
        <f>+J14</f>
        <v>156</v>
      </c>
      <c r="K15" s="52">
        <v>0</v>
      </c>
      <c r="L15" s="52">
        <f>+J15-K15</f>
        <v>156</v>
      </c>
      <c r="M15" s="20">
        <v>2</v>
      </c>
      <c r="N15" s="20">
        <v>80</v>
      </c>
      <c r="O15" s="51">
        <f>+N15*M15</f>
        <v>160</v>
      </c>
      <c r="P15" s="51">
        <f>+SUM(AA15:NZ15)</f>
        <v>164</v>
      </c>
      <c r="Q15" s="51">
        <f>+O15-P15</f>
        <v>-4</v>
      </c>
      <c r="R15" s="19">
        <v>46006</v>
      </c>
      <c r="S15" s="20">
        <v>45</v>
      </c>
      <c r="T15" s="21">
        <f t="shared" ref="T15:T78" si="30">IF(S15&lt;&gt;"",IF($Z$9="x",WORKDAY(IF(WEEKDAY(R15,1)=7,R15+2,IF(WEEKDAY(R15,1)=1,R15+1,R15)),S15-1),R15+S15-1),"")</f>
        <v>46066</v>
      </c>
      <c r="U15" s="22">
        <f>+K15/J15</f>
        <v>0</v>
      </c>
      <c r="V15" s="199">
        <f t="shared" ref="V15:V78" si="31">+U15*O15</f>
        <v>0</v>
      </c>
      <c r="W15" s="158">
        <f>SUMIFS($AA15:$NZ15, $AA$8:$NZ$8, $W$12)/$O15</f>
        <v>0</v>
      </c>
      <c r="X15" s="159">
        <f>SUMIF($AA$9:$NZ$9, "&lt;=" &amp; $W$11,$AA15:$NZ15)/$O15</f>
        <v>7.4999999999999997E-2</v>
      </c>
      <c r="Y15" s="199">
        <f t="shared" ref="Y15:Y78" si="32">+X15*O15</f>
        <v>12</v>
      </c>
      <c r="Z15" s="35"/>
      <c r="AA15" s="15"/>
      <c r="AB15" s="15"/>
      <c r="AC15" s="15"/>
      <c r="AD15" s="15"/>
      <c r="AE15" s="15"/>
      <c r="AF15" s="15"/>
      <c r="AG15" s="184"/>
      <c r="AH15" s="15"/>
      <c r="AI15" s="15"/>
      <c r="AJ15" s="15"/>
      <c r="AK15" s="15"/>
      <c r="AL15" s="15"/>
      <c r="AM15" s="15"/>
      <c r="AN15" s="184"/>
      <c r="AO15" s="15"/>
      <c r="AP15" s="15"/>
      <c r="AQ15" s="15"/>
      <c r="AR15" s="15"/>
      <c r="AS15" s="15"/>
      <c r="AT15" s="15"/>
      <c r="AU15" s="184"/>
      <c r="AV15" s="15">
        <v>2</v>
      </c>
      <c r="AW15" s="15">
        <v>2</v>
      </c>
      <c r="AX15" s="15">
        <v>2</v>
      </c>
      <c r="AY15" s="15">
        <v>2</v>
      </c>
      <c r="AZ15" s="15">
        <v>4</v>
      </c>
      <c r="BA15" s="15"/>
      <c r="BB15" s="184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>
        <v>8</v>
      </c>
      <c r="BY15" s="15">
        <v>8</v>
      </c>
      <c r="BZ15" s="15">
        <v>8</v>
      </c>
      <c r="CA15" s="15">
        <v>8</v>
      </c>
      <c r="CB15" s="15">
        <v>8</v>
      </c>
      <c r="CC15" s="15">
        <v>8</v>
      </c>
      <c r="CD15" s="184"/>
      <c r="CE15" s="15">
        <v>6</v>
      </c>
      <c r="CF15" s="15">
        <v>6</v>
      </c>
      <c r="CG15" s="15">
        <v>6</v>
      </c>
      <c r="CH15" s="15">
        <v>6</v>
      </c>
      <c r="CI15" s="15">
        <v>6</v>
      </c>
      <c r="CJ15" s="15">
        <v>6</v>
      </c>
      <c r="CK15" s="184"/>
      <c r="CL15" s="15">
        <v>4</v>
      </c>
      <c r="CM15" s="15">
        <v>4</v>
      </c>
      <c r="CN15" s="15">
        <v>6</v>
      </c>
      <c r="CO15" s="15">
        <v>6</v>
      </c>
      <c r="CP15" s="15">
        <v>6</v>
      </c>
      <c r="CQ15" s="15">
        <v>6</v>
      </c>
      <c r="CR15" s="184"/>
      <c r="CS15" s="15">
        <v>4</v>
      </c>
      <c r="CT15" s="15">
        <v>4</v>
      </c>
      <c r="CU15" s="15">
        <v>4</v>
      </c>
      <c r="CV15" s="15">
        <v>4</v>
      </c>
      <c r="CW15" s="15">
        <v>4</v>
      </c>
      <c r="CX15" s="15">
        <v>4</v>
      </c>
      <c r="CY15" s="184"/>
      <c r="CZ15" s="15">
        <v>2</v>
      </c>
      <c r="DA15" s="15">
        <v>2</v>
      </c>
      <c r="DB15" s="15">
        <v>2</v>
      </c>
      <c r="DC15" s="15">
        <v>2</v>
      </c>
      <c r="DD15" s="15">
        <v>2</v>
      </c>
      <c r="DE15" s="15">
        <v>2</v>
      </c>
      <c r="DF15" s="184"/>
      <c r="DG15" s="15"/>
      <c r="DH15" s="15"/>
      <c r="DI15" s="15"/>
      <c r="DJ15" s="15"/>
      <c r="DK15" s="15"/>
      <c r="DL15" s="15"/>
      <c r="DM15" s="184"/>
      <c r="DN15" s="15"/>
      <c r="DO15" s="15"/>
      <c r="DP15" s="15"/>
      <c r="DQ15" s="15"/>
      <c r="DR15" s="15"/>
      <c r="DS15" s="15"/>
      <c r="DT15" s="184"/>
      <c r="DU15" s="15"/>
      <c r="DV15" s="15"/>
      <c r="DW15" s="15"/>
      <c r="DX15" s="15"/>
      <c r="DY15" s="15"/>
      <c r="DZ15" s="15"/>
      <c r="EA15" s="184"/>
      <c r="EB15" s="15"/>
      <c r="EC15" s="15"/>
      <c r="ED15" s="15"/>
      <c r="EE15" s="15"/>
      <c r="EF15" s="15"/>
      <c r="EG15" s="15"/>
      <c r="EH15" s="184"/>
      <c r="EI15" s="15"/>
      <c r="EJ15" s="15"/>
      <c r="EK15" s="15"/>
      <c r="EL15" s="15"/>
      <c r="EM15" s="15"/>
      <c r="EN15" s="15"/>
      <c r="EO15" s="184"/>
      <c r="EP15" s="15"/>
      <c r="EQ15" s="15"/>
      <c r="ER15" s="15"/>
      <c r="ES15" s="15"/>
      <c r="ET15" s="15"/>
      <c r="EU15" s="15"/>
      <c r="EV15" s="184"/>
      <c r="EW15" s="15"/>
      <c r="EX15" s="15"/>
      <c r="EY15" s="15"/>
      <c r="EZ15" s="15"/>
      <c r="FA15" s="15"/>
      <c r="FB15" s="15"/>
      <c r="FC15" s="184"/>
      <c r="FD15" s="15"/>
      <c r="FE15" s="15"/>
      <c r="FF15" s="15"/>
      <c r="FG15" s="15"/>
      <c r="FH15" s="15"/>
      <c r="FI15" s="15"/>
      <c r="FJ15" s="184"/>
      <c r="FK15" s="15"/>
      <c r="FL15" s="15"/>
      <c r="FM15" s="15"/>
      <c r="FN15" s="15"/>
      <c r="FO15" s="15"/>
      <c r="FP15" s="15"/>
      <c r="FQ15" s="184"/>
      <c r="FR15" s="15"/>
      <c r="FS15" s="15"/>
      <c r="FT15" s="15"/>
      <c r="FU15" s="15"/>
      <c r="FV15" s="15"/>
      <c r="FW15" s="178"/>
      <c r="FX15" s="184"/>
      <c r="FY15" s="181"/>
      <c r="FZ15" s="15"/>
      <c r="GA15" s="15"/>
      <c r="GB15" s="15"/>
      <c r="GC15" s="15"/>
      <c r="GD15" s="15"/>
      <c r="GE15" s="184"/>
      <c r="GF15" s="15"/>
      <c r="GG15" s="15"/>
      <c r="GH15" s="15"/>
      <c r="GI15" s="15"/>
      <c r="GJ15" s="15"/>
      <c r="GK15" s="15"/>
      <c r="GL15" s="184"/>
      <c r="GM15" s="15"/>
      <c r="GN15" s="15"/>
      <c r="GO15" s="15"/>
      <c r="GP15" s="15"/>
      <c r="GQ15" s="15"/>
      <c r="GR15" s="15"/>
      <c r="GS15" s="184"/>
      <c r="GT15" s="15"/>
      <c r="GU15" s="15"/>
      <c r="GV15" s="15"/>
      <c r="GW15" s="15"/>
      <c r="GX15" s="15"/>
      <c r="GY15" s="15"/>
      <c r="GZ15" s="184"/>
      <c r="HA15" s="15"/>
      <c r="HB15" s="15"/>
      <c r="HC15" s="15"/>
      <c r="HD15" s="15"/>
      <c r="HE15" s="15"/>
      <c r="HF15" s="15"/>
      <c r="HG15" s="184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</row>
    <row r="16" spans="2:390" ht="19.5" customHeight="1" x14ac:dyDescent="0.45">
      <c r="B16" s="1">
        <f t="shared" si="29"/>
        <v>1</v>
      </c>
      <c r="C16" s="1">
        <v>1</v>
      </c>
      <c r="D16" s="1">
        <f>+D15+1</f>
        <v>3</v>
      </c>
      <c r="E16" s="59" t="str">
        <f t="shared" si="26"/>
        <v>1.1.3</v>
      </c>
      <c r="F16" s="23" t="s">
        <v>116</v>
      </c>
      <c r="G16" s="191">
        <v>1</v>
      </c>
      <c r="H16" s="52" t="s">
        <v>117</v>
      </c>
      <c r="I16" s="52" t="s">
        <v>156</v>
      </c>
      <c r="J16" s="52">
        <f>+J15</f>
        <v>156</v>
      </c>
      <c r="K16" s="52">
        <v>0</v>
      </c>
      <c r="L16" s="52">
        <f>+J16-K16</f>
        <v>156</v>
      </c>
      <c r="M16" s="20">
        <v>2</v>
      </c>
      <c r="N16" s="20">
        <v>65</v>
      </c>
      <c r="O16" s="51">
        <f>+N16*M16</f>
        <v>130</v>
      </c>
      <c r="P16" s="51">
        <f>+SUM(AA16:NZ16)</f>
        <v>132</v>
      </c>
      <c r="Q16" s="51">
        <f>+O16-P16</f>
        <v>-2</v>
      </c>
      <c r="R16" s="19">
        <v>46041</v>
      </c>
      <c r="S16" s="20">
        <v>20</v>
      </c>
      <c r="T16" s="21">
        <f t="shared" si="30"/>
        <v>46066</v>
      </c>
      <c r="U16" s="22">
        <f>+K16/J16</f>
        <v>0</v>
      </c>
      <c r="V16" s="199">
        <f t="shared" si="31"/>
        <v>0</v>
      </c>
      <c r="W16" s="158">
        <f>SUMIFS($AA16:$NZ16, $AA$8:$NZ$8, $W$12)/$O16</f>
        <v>0</v>
      </c>
      <c r="X16" s="159">
        <f>SUMIF($AA$9:$NZ$9, "&lt;=" &amp; $W$11,$AA16:$NZ16)/$O16</f>
        <v>0</v>
      </c>
      <c r="Y16" s="199">
        <f t="shared" si="32"/>
        <v>0</v>
      </c>
      <c r="Z16" s="35"/>
      <c r="AA16" s="15"/>
      <c r="AB16" s="15"/>
      <c r="AC16" s="15"/>
      <c r="AD16" s="15"/>
      <c r="AE16" s="15"/>
      <c r="AF16" s="15"/>
      <c r="AG16" s="184"/>
      <c r="AH16" s="15"/>
      <c r="AI16" s="15"/>
      <c r="AJ16" s="15"/>
      <c r="AK16" s="15"/>
      <c r="AL16" s="15"/>
      <c r="AM16" s="15"/>
      <c r="AN16" s="184"/>
      <c r="AO16" s="15"/>
      <c r="AP16" s="15"/>
      <c r="AQ16" s="15"/>
      <c r="AR16" s="15"/>
      <c r="AS16" s="15"/>
      <c r="AT16" s="15"/>
      <c r="AU16" s="184"/>
      <c r="AV16" s="15"/>
      <c r="AW16" s="15"/>
      <c r="AX16" s="15"/>
      <c r="AY16" s="15"/>
      <c r="AZ16" s="15"/>
      <c r="BA16" s="15"/>
      <c r="BB16" s="184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84"/>
      <c r="CE16" s="15">
        <v>4</v>
      </c>
      <c r="CF16" s="15">
        <v>4</v>
      </c>
      <c r="CG16" s="15">
        <v>4</v>
      </c>
      <c r="CH16" s="15">
        <v>4</v>
      </c>
      <c r="CI16" s="15">
        <v>4</v>
      </c>
      <c r="CJ16" s="15">
        <v>4</v>
      </c>
      <c r="CK16" s="184"/>
      <c r="CL16" s="15">
        <v>4</v>
      </c>
      <c r="CM16" s="15">
        <v>4</v>
      </c>
      <c r="CN16" s="15">
        <v>4</v>
      </c>
      <c r="CO16" s="15">
        <v>4</v>
      </c>
      <c r="CP16" s="15">
        <v>4</v>
      </c>
      <c r="CQ16" s="15">
        <v>4</v>
      </c>
      <c r="CR16" s="184"/>
      <c r="CS16" s="15">
        <v>6</v>
      </c>
      <c r="CT16" s="15">
        <v>6</v>
      </c>
      <c r="CU16" s="15">
        <v>6</v>
      </c>
      <c r="CV16" s="15">
        <v>6</v>
      </c>
      <c r="CW16" s="15">
        <v>6</v>
      </c>
      <c r="CX16" s="15">
        <v>6</v>
      </c>
      <c r="CY16" s="184"/>
      <c r="CZ16" s="15">
        <v>8</v>
      </c>
      <c r="DA16" s="15">
        <v>8</v>
      </c>
      <c r="DB16" s="15">
        <v>8</v>
      </c>
      <c r="DC16" s="15">
        <v>8</v>
      </c>
      <c r="DD16" s="15">
        <v>8</v>
      </c>
      <c r="DE16" s="15">
        <v>8</v>
      </c>
      <c r="DF16" s="184"/>
      <c r="DG16" s="15"/>
      <c r="DH16" s="15"/>
      <c r="DI16" s="15"/>
      <c r="DJ16" s="15"/>
      <c r="DK16" s="15"/>
      <c r="DL16" s="15"/>
      <c r="DM16" s="184"/>
      <c r="DN16" s="15"/>
      <c r="DO16" s="15"/>
      <c r="DP16" s="15"/>
      <c r="DQ16" s="15"/>
      <c r="DR16" s="15"/>
      <c r="DS16" s="15"/>
      <c r="DT16" s="184"/>
      <c r="DU16" s="15"/>
      <c r="DV16" s="15"/>
      <c r="DW16" s="15"/>
      <c r="DX16" s="15"/>
      <c r="DY16" s="15"/>
      <c r="DZ16" s="15"/>
      <c r="EA16" s="184"/>
      <c r="EB16" s="15"/>
      <c r="EC16" s="15"/>
      <c r="ED16" s="15"/>
      <c r="EE16" s="15"/>
      <c r="EF16" s="15"/>
      <c r="EG16" s="15"/>
      <c r="EH16" s="184"/>
      <c r="EI16" s="15"/>
      <c r="EJ16" s="15"/>
      <c r="EK16" s="15"/>
      <c r="EL16" s="15"/>
      <c r="EM16" s="15"/>
      <c r="EN16" s="15"/>
      <c r="EO16" s="184"/>
      <c r="EP16" s="15"/>
      <c r="EQ16" s="15"/>
      <c r="ER16" s="15"/>
      <c r="ES16" s="15"/>
      <c r="ET16" s="15"/>
      <c r="EU16" s="15"/>
      <c r="EV16" s="184"/>
      <c r="EW16" s="15"/>
      <c r="EX16" s="15"/>
      <c r="EY16" s="15"/>
      <c r="EZ16" s="15"/>
      <c r="FA16" s="15"/>
      <c r="FB16" s="15"/>
      <c r="FC16" s="184"/>
      <c r="FD16" s="15"/>
      <c r="FE16" s="15"/>
      <c r="FF16" s="15"/>
      <c r="FG16" s="15"/>
      <c r="FH16" s="15"/>
      <c r="FI16" s="15"/>
      <c r="FJ16" s="184"/>
      <c r="FK16" s="15"/>
      <c r="FL16" s="15"/>
      <c r="FM16" s="15"/>
      <c r="FN16" s="15"/>
      <c r="FO16" s="15"/>
      <c r="FP16" s="15"/>
      <c r="FQ16" s="184"/>
      <c r="FR16" s="15"/>
      <c r="FS16" s="15"/>
      <c r="FT16" s="15"/>
      <c r="FU16" s="15"/>
      <c r="FV16" s="15"/>
      <c r="FW16" s="178"/>
      <c r="FX16" s="184"/>
      <c r="FY16" s="181"/>
      <c r="FZ16" s="15"/>
      <c r="GA16" s="15"/>
      <c r="GB16" s="15"/>
      <c r="GC16" s="15"/>
      <c r="GD16" s="15"/>
      <c r="GE16" s="184"/>
      <c r="GF16" s="15"/>
      <c r="GG16" s="15"/>
      <c r="GH16" s="15"/>
      <c r="GI16" s="15"/>
      <c r="GJ16" s="15"/>
      <c r="GK16" s="15"/>
      <c r="GL16" s="184"/>
      <c r="GM16" s="15"/>
      <c r="GN16" s="15"/>
      <c r="GO16" s="15"/>
      <c r="GP16" s="15"/>
      <c r="GQ16" s="15"/>
      <c r="GR16" s="15"/>
      <c r="GS16" s="184"/>
      <c r="GT16" s="15"/>
      <c r="GU16" s="15"/>
      <c r="GV16" s="15"/>
      <c r="GW16" s="15"/>
      <c r="GX16" s="15"/>
      <c r="GY16" s="15"/>
      <c r="GZ16" s="184"/>
      <c r="HA16" s="15"/>
      <c r="HB16" s="15"/>
      <c r="HC16" s="15"/>
      <c r="HD16" s="15"/>
      <c r="HE16" s="15"/>
      <c r="HF16" s="15"/>
      <c r="HG16" s="184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</row>
    <row r="17" spans="2:390" ht="19.5" customHeight="1" x14ac:dyDescent="0.45">
      <c r="B17" s="1">
        <f>+B15</f>
        <v>1</v>
      </c>
      <c r="C17" s="1">
        <v>1</v>
      </c>
      <c r="D17" s="1">
        <f>+D16+1</f>
        <v>4</v>
      </c>
      <c r="E17" s="59" t="str">
        <f t="shared" si="26"/>
        <v>1.1.4</v>
      </c>
      <c r="F17" s="23" t="s">
        <v>74</v>
      </c>
      <c r="G17" s="191">
        <v>1</v>
      </c>
      <c r="H17" s="61" t="s">
        <v>118</v>
      </c>
      <c r="I17" s="61" t="s">
        <v>156</v>
      </c>
      <c r="J17" s="52">
        <f>+J15</f>
        <v>156</v>
      </c>
      <c r="K17" s="52">
        <v>0</v>
      </c>
      <c r="L17" s="52">
        <f>+J17-K17</f>
        <v>156</v>
      </c>
      <c r="M17" s="64"/>
      <c r="N17" s="64"/>
      <c r="O17" s="51">
        <f>+N17*M17</f>
        <v>0</v>
      </c>
      <c r="P17" s="51">
        <f>+SUM(AA17:NZ17)</f>
        <v>0</v>
      </c>
      <c r="Q17" s="51">
        <f>+O17-P17</f>
        <v>0</v>
      </c>
      <c r="R17" s="187"/>
      <c r="S17" s="64"/>
      <c r="T17" s="155" t="str">
        <f t="shared" si="30"/>
        <v/>
      </c>
      <c r="U17" s="22">
        <f>+K17/J17</f>
        <v>0</v>
      </c>
      <c r="V17" s="199">
        <f t="shared" si="31"/>
        <v>0</v>
      </c>
      <c r="W17" s="158"/>
      <c r="X17" s="159"/>
      <c r="Y17" s="199">
        <f t="shared" si="32"/>
        <v>0</v>
      </c>
      <c r="Z17" s="35"/>
      <c r="AA17" s="15"/>
      <c r="AB17" s="15"/>
      <c r="AC17" s="15"/>
      <c r="AD17" s="15"/>
      <c r="AE17" s="15"/>
      <c r="AF17" s="15"/>
      <c r="AG17" s="184"/>
      <c r="AH17" s="15"/>
      <c r="AI17" s="15"/>
      <c r="AJ17" s="15"/>
      <c r="AK17" s="15"/>
      <c r="AL17" s="15"/>
      <c r="AM17" s="15"/>
      <c r="AN17" s="184"/>
      <c r="AO17" s="15"/>
      <c r="AP17" s="15"/>
      <c r="AQ17" s="15"/>
      <c r="AR17" s="15"/>
      <c r="AS17" s="15"/>
      <c r="AT17" s="15"/>
      <c r="AU17" s="184"/>
      <c r="AV17" s="15"/>
      <c r="AW17" s="15"/>
      <c r="AX17" s="15"/>
      <c r="AY17" s="15"/>
      <c r="AZ17" s="15"/>
      <c r="BA17" s="15"/>
      <c r="BB17" s="184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84"/>
      <c r="CE17" s="15"/>
      <c r="CF17" s="15"/>
      <c r="CG17" s="15"/>
      <c r="CH17" s="15"/>
      <c r="CI17" s="15"/>
      <c r="CJ17" s="15"/>
      <c r="CK17" s="184"/>
      <c r="CL17" s="15"/>
      <c r="CM17" s="15"/>
      <c r="CN17" s="15"/>
      <c r="CO17" s="15"/>
      <c r="CP17" s="15"/>
      <c r="CQ17" s="15"/>
      <c r="CR17" s="184"/>
      <c r="CS17" s="15"/>
      <c r="CT17" s="15"/>
      <c r="CU17" s="15"/>
      <c r="CV17" s="15"/>
      <c r="CW17" s="15"/>
      <c r="CX17" s="15"/>
      <c r="CY17" s="184"/>
      <c r="CZ17" s="15"/>
      <c r="DA17" s="15"/>
      <c r="DB17" s="15"/>
      <c r="DC17" s="15"/>
      <c r="DD17" s="15"/>
      <c r="DE17" s="15"/>
      <c r="DF17" s="184"/>
      <c r="DG17" s="15"/>
      <c r="DH17" s="15"/>
      <c r="DI17" s="15"/>
      <c r="DJ17" s="15"/>
      <c r="DK17" s="15"/>
      <c r="DL17" s="15"/>
      <c r="DM17" s="184"/>
      <c r="DN17" s="15"/>
      <c r="DO17" s="15"/>
      <c r="DP17" s="15"/>
      <c r="DQ17" s="15"/>
      <c r="DR17" s="15"/>
      <c r="DS17" s="15"/>
      <c r="DT17" s="184"/>
      <c r="DU17" s="15"/>
      <c r="DV17" s="15"/>
      <c r="DW17" s="15"/>
      <c r="DX17" s="15"/>
      <c r="DY17" s="15"/>
      <c r="DZ17" s="15"/>
      <c r="EA17" s="184"/>
      <c r="EB17" s="15"/>
      <c r="EC17" s="15"/>
      <c r="ED17" s="15"/>
      <c r="EE17" s="15"/>
      <c r="EF17" s="15"/>
      <c r="EG17" s="15"/>
      <c r="EH17" s="184"/>
      <c r="EI17" s="15"/>
      <c r="EJ17" s="15"/>
      <c r="EK17" s="15"/>
      <c r="EL17" s="15"/>
      <c r="EM17" s="15"/>
      <c r="EN17" s="15"/>
      <c r="EO17" s="184"/>
      <c r="EP17" s="15"/>
      <c r="EQ17" s="15"/>
      <c r="ER17" s="15"/>
      <c r="ES17" s="15"/>
      <c r="ET17" s="15"/>
      <c r="EU17" s="15"/>
      <c r="EV17" s="184"/>
      <c r="EW17" s="15"/>
      <c r="EX17" s="15"/>
      <c r="EY17" s="15"/>
      <c r="EZ17" s="15"/>
      <c r="FA17" s="15"/>
      <c r="FB17" s="15"/>
      <c r="FC17" s="184"/>
      <c r="FD17" s="15"/>
      <c r="FE17" s="15"/>
      <c r="FF17" s="15"/>
      <c r="FG17" s="15"/>
      <c r="FH17" s="15"/>
      <c r="FI17" s="15"/>
      <c r="FJ17" s="184"/>
      <c r="FK17" s="15"/>
      <c r="FL17" s="15"/>
      <c r="FM17" s="15"/>
      <c r="FN17" s="15"/>
      <c r="FO17" s="15"/>
      <c r="FP17" s="15"/>
      <c r="FQ17" s="184"/>
      <c r="FR17" s="15"/>
      <c r="FS17" s="15"/>
      <c r="FT17" s="15"/>
      <c r="FU17" s="15"/>
      <c r="FV17" s="15"/>
      <c r="FW17" s="178"/>
      <c r="FX17" s="184"/>
      <c r="FY17" s="181"/>
      <c r="FZ17" s="15"/>
      <c r="GA17" s="15"/>
      <c r="GB17" s="15"/>
      <c r="GC17" s="15"/>
      <c r="GD17" s="15"/>
      <c r="GE17" s="184"/>
      <c r="GF17" s="15"/>
      <c r="GG17" s="15"/>
      <c r="GH17" s="15"/>
      <c r="GI17" s="15"/>
      <c r="GJ17" s="15"/>
      <c r="GK17" s="15"/>
      <c r="GL17" s="184"/>
      <c r="GM17" s="15"/>
      <c r="GN17" s="15"/>
      <c r="GO17" s="15"/>
      <c r="GP17" s="15"/>
      <c r="GQ17" s="15"/>
      <c r="GR17" s="15"/>
      <c r="GS17" s="184"/>
      <c r="GT17" s="15"/>
      <c r="GU17" s="15"/>
      <c r="GV17" s="15"/>
      <c r="GW17" s="15"/>
      <c r="GX17" s="15"/>
      <c r="GY17" s="15"/>
      <c r="GZ17" s="184"/>
      <c r="HA17" s="15"/>
      <c r="HB17" s="15"/>
      <c r="HC17" s="15"/>
      <c r="HD17" s="15"/>
      <c r="HE17" s="15"/>
      <c r="HF17" s="15"/>
      <c r="HG17" s="184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</row>
    <row r="18" spans="2:390" ht="19.5" customHeight="1" x14ac:dyDescent="0.45">
      <c r="B18" s="1">
        <f t="shared" si="29"/>
        <v>1</v>
      </c>
      <c r="C18" s="1">
        <f>+C17+1</f>
        <v>2</v>
      </c>
      <c r="D18" s="1">
        <v>0</v>
      </c>
      <c r="E18" s="93" t="str">
        <f t="shared" si="26"/>
        <v>1.2.0</v>
      </c>
      <c r="F18" s="99" t="s">
        <v>58</v>
      </c>
      <c r="G18" s="114"/>
      <c r="H18" s="115"/>
      <c r="I18" s="115"/>
      <c r="J18" s="111"/>
      <c r="K18" s="111"/>
      <c r="L18" s="111"/>
      <c r="M18" s="96"/>
      <c r="N18" s="96"/>
      <c r="O18" s="95">
        <f>SUM(O19:O21)</f>
        <v>160</v>
      </c>
      <c r="P18" s="95"/>
      <c r="Q18" s="95"/>
      <c r="R18" s="162"/>
      <c r="S18" s="96"/>
      <c r="T18" s="163" t="str">
        <f t="shared" si="30"/>
        <v/>
      </c>
      <c r="U18" s="164">
        <f>+SUMPRODUCT(U19:U21,O19:O21)/O18</f>
        <v>0.79605263157894735</v>
      </c>
      <c r="V18" s="200">
        <f t="shared" si="31"/>
        <v>127.36842105263158</v>
      </c>
      <c r="W18" s="22"/>
      <c r="X18" s="22"/>
      <c r="Y18" s="199">
        <f t="shared" si="32"/>
        <v>0</v>
      </c>
      <c r="Z18" s="36"/>
      <c r="AA18" s="15"/>
      <c r="AB18" s="15"/>
      <c r="AC18" s="15"/>
      <c r="AD18" s="15"/>
      <c r="AE18" s="15"/>
      <c r="AF18" s="15"/>
      <c r="AG18" s="184"/>
      <c r="AH18" s="15"/>
      <c r="AI18" s="15"/>
      <c r="AJ18" s="15"/>
      <c r="AK18" s="15"/>
      <c r="AL18" s="15"/>
      <c r="AM18" s="15"/>
      <c r="AN18" s="184"/>
      <c r="AO18" s="15"/>
      <c r="AP18" s="15"/>
      <c r="AQ18" s="15"/>
      <c r="AR18" s="15"/>
      <c r="AS18" s="15"/>
      <c r="AT18" s="15"/>
      <c r="AU18" s="184"/>
      <c r="AV18" s="15"/>
      <c r="AW18" s="15"/>
      <c r="AX18" s="15"/>
      <c r="AY18" s="15"/>
      <c r="AZ18" s="15"/>
      <c r="BA18" s="15"/>
      <c r="BB18" s="184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84"/>
      <c r="CE18" s="15"/>
      <c r="CF18" s="15"/>
      <c r="CG18" s="15"/>
      <c r="CH18" s="15"/>
      <c r="CI18" s="15"/>
      <c r="CJ18" s="15"/>
      <c r="CK18" s="184"/>
      <c r="CL18" s="15"/>
      <c r="CM18" s="15"/>
      <c r="CN18" s="15"/>
      <c r="CO18" s="15"/>
      <c r="CP18" s="15"/>
      <c r="CQ18" s="15"/>
      <c r="CR18" s="184"/>
      <c r="CS18" s="15"/>
      <c r="CT18" s="15"/>
      <c r="CU18" s="15"/>
      <c r="CV18" s="15"/>
      <c r="CW18" s="15"/>
      <c r="CX18" s="15"/>
      <c r="CY18" s="184"/>
      <c r="CZ18" s="15"/>
      <c r="DA18" s="15"/>
      <c r="DB18" s="15"/>
      <c r="DC18" s="15"/>
      <c r="DD18" s="15"/>
      <c r="DE18" s="15"/>
      <c r="DF18" s="184"/>
      <c r="DG18" s="15"/>
      <c r="DH18" s="15"/>
      <c r="DI18" s="15"/>
      <c r="DJ18" s="15"/>
      <c r="DK18" s="15"/>
      <c r="DL18" s="15"/>
      <c r="DM18" s="184"/>
      <c r="DN18" s="15"/>
      <c r="DO18" s="15"/>
      <c r="DP18" s="15"/>
      <c r="DQ18" s="15"/>
      <c r="DR18" s="15"/>
      <c r="DS18" s="15"/>
      <c r="DT18" s="184"/>
      <c r="DU18" s="15"/>
      <c r="DV18" s="15"/>
      <c r="DW18" s="15"/>
      <c r="DX18" s="15"/>
      <c r="DY18" s="15"/>
      <c r="DZ18" s="15"/>
      <c r="EA18" s="184"/>
      <c r="EB18" s="15"/>
      <c r="EC18" s="15"/>
      <c r="ED18" s="15"/>
      <c r="EE18" s="15"/>
      <c r="EF18" s="15"/>
      <c r="EG18" s="15"/>
      <c r="EH18" s="184"/>
      <c r="EI18" s="15"/>
      <c r="EJ18" s="15"/>
      <c r="EK18" s="15"/>
      <c r="EL18" s="15"/>
      <c r="EM18" s="15"/>
      <c r="EN18" s="15"/>
      <c r="EO18" s="184"/>
      <c r="EP18" s="15"/>
      <c r="EQ18" s="15"/>
      <c r="ER18" s="15"/>
      <c r="ES18" s="15"/>
      <c r="ET18" s="15"/>
      <c r="EU18" s="15"/>
      <c r="EV18" s="184"/>
      <c r="EW18" s="15"/>
      <c r="EX18" s="15"/>
      <c r="EY18" s="15"/>
      <c r="EZ18" s="15"/>
      <c r="FA18" s="15"/>
      <c r="FB18" s="15"/>
      <c r="FC18" s="184"/>
      <c r="FD18" s="15"/>
      <c r="FE18" s="15"/>
      <c r="FF18" s="15"/>
      <c r="FG18" s="15"/>
      <c r="FH18" s="15"/>
      <c r="FI18" s="15"/>
      <c r="FJ18" s="184"/>
      <c r="FK18" s="15"/>
      <c r="FL18" s="15"/>
      <c r="FM18" s="15"/>
      <c r="FN18" s="15"/>
      <c r="FO18" s="15"/>
      <c r="FP18" s="15"/>
      <c r="FQ18" s="184"/>
      <c r="FR18" s="15"/>
      <c r="FS18" s="15"/>
      <c r="FT18" s="15"/>
      <c r="FU18" s="15"/>
      <c r="FV18" s="15"/>
      <c r="FW18" s="178"/>
      <c r="FX18" s="184"/>
      <c r="FY18" s="181"/>
      <c r="FZ18" s="15"/>
      <c r="GA18" s="15"/>
      <c r="GB18" s="15"/>
      <c r="GC18" s="15"/>
      <c r="GD18" s="15"/>
      <c r="GE18" s="184"/>
      <c r="GF18" s="15"/>
      <c r="GG18" s="15"/>
      <c r="GH18" s="15"/>
      <c r="GI18" s="15"/>
      <c r="GJ18" s="15"/>
      <c r="GK18" s="15"/>
      <c r="GL18" s="184"/>
      <c r="GM18" s="15"/>
      <c r="GN18" s="15"/>
      <c r="GO18" s="15"/>
      <c r="GP18" s="15"/>
      <c r="GQ18" s="15"/>
      <c r="GR18" s="15"/>
      <c r="GS18" s="184"/>
      <c r="GT18" s="15"/>
      <c r="GU18" s="15"/>
      <c r="GV18" s="15"/>
      <c r="GW18" s="15"/>
      <c r="GX18" s="15"/>
      <c r="GY18" s="15"/>
      <c r="GZ18" s="184"/>
      <c r="HA18" s="15"/>
      <c r="HB18" s="15"/>
      <c r="HC18" s="15"/>
      <c r="HD18" s="15"/>
      <c r="HE18" s="15"/>
      <c r="HF18" s="15"/>
      <c r="HG18" s="184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</row>
    <row r="19" spans="2:390" ht="19.5" customHeight="1" x14ac:dyDescent="0.45">
      <c r="B19" s="1">
        <f t="shared" si="29"/>
        <v>1</v>
      </c>
      <c r="C19" s="1">
        <f>+C18</f>
        <v>2</v>
      </c>
      <c r="D19" s="1">
        <f>+D18+1</f>
        <v>1</v>
      </c>
      <c r="E19" s="59" t="str">
        <f t="shared" si="26"/>
        <v>1.2.1</v>
      </c>
      <c r="F19" s="23" t="s">
        <v>72</v>
      </c>
      <c r="G19" s="191">
        <v>1</v>
      </c>
      <c r="H19" s="52" t="s">
        <v>117</v>
      </c>
      <c r="I19" s="52" t="s">
        <v>156</v>
      </c>
      <c r="J19" s="52">
        <v>76</v>
      </c>
      <c r="K19" s="52">
        <v>76</v>
      </c>
      <c r="L19" s="52">
        <f>+J19-K19</f>
        <v>0</v>
      </c>
      <c r="M19" s="20">
        <v>10</v>
      </c>
      <c r="N19" s="20">
        <v>8</v>
      </c>
      <c r="O19" s="51">
        <f>+N19*M19</f>
        <v>80</v>
      </c>
      <c r="P19" s="51">
        <f>+SUM(AA19:NZ19)</f>
        <v>80</v>
      </c>
      <c r="Q19" s="51">
        <f>+O19-P19</f>
        <v>0</v>
      </c>
      <c r="R19" s="19">
        <v>45985</v>
      </c>
      <c r="S19" s="20">
        <v>20</v>
      </c>
      <c r="T19" s="21">
        <f t="shared" si="30"/>
        <v>46010</v>
      </c>
      <c r="U19" s="22">
        <f>+K19/J19</f>
        <v>1</v>
      </c>
      <c r="V19" s="199">
        <f t="shared" si="31"/>
        <v>80</v>
      </c>
      <c r="W19" s="158">
        <f>SUMIFS($AA19:$NZ19, $AA$8:$NZ$8, $W$12)/$O19</f>
        <v>0</v>
      </c>
      <c r="X19" s="159">
        <f>SUMIF($AA$9:$NZ$9, "&lt;=" &amp; $W$11,$AA19:$NZ19)/$O19</f>
        <v>1</v>
      </c>
      <c r="Y19" s="199">
        <f t="shared" si="32"/>
        <v>80</v>
      </c>
      <c r="Z19" s="36"/>
      <c r="AA19" s="15">
        <v>2</v>
      </c>
      <c r="AB19" s="15">
        <v>3</v>
      </c>
      <c r="AC19" s="15">
        <v>3</v>
      </c>
      <c r="AD19" s="15">
        <v>2</v>
      </c>
      <c r="AE19" s="15">
        <v>2</v>
      </c>
      <c r="AF19" s="15">
        <v>2</v>
      </c>
      <c r="AG19" s="184"/>
      <c r="AH19" s="15">
        <v>4</v>
      </c>
      <c r="AI19" s="15">
        <v>4</v>
      </c>
      <c r="AJ19" s="15">
        <v>4</v>
      </c>
      <c r="AK19" s="15">
        <v>4</v>
      </c>
      <c r="AL19" s="15">
        <v>4</v>
      </c>
      <c r="AM19" s="15">
        <v>4</v>
      </c>
      <c r="AN19" s="184"/>
      <c r="AO19" s="15">
        <v>4</v>
      </c>
      <c r="AP19" s="15">
        <v>4</v>
      </c>
      <c r="AQ19" s="15">
        <v>4</v>
      </c>
      <c r="AR19" s="15">
        <v>4</v>
      </c>
      <c r="AS19" s="15">
        <v>4</v>
      </c>
      <c r="AT19" s="15">
        <v>4</v>
      </c>
      <c r="AU19" s="184"/>
      <c r="AV19" s="15">
        <v>4</v>
      </c>
      <c r="AW19" s="15">
        <v>4</v>
      </c>
      <c r="AX19" s="15">
        <v>4</v>
      </c>
      <c r="AY19" s="15">
        <v>4</v>
      </c>
      <c r="AZ19" s="15">
        <v>2</v>
      </c>
      <c r="BA19" s="15"/>
      <c r="BB19" s="184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84"/>
      <c r="CE19" s="15"/>
      <c r="CF19" s="15"/>
      <c r="CG19" s="15"/>
      <c r="CH19" s="15"/>
      <c r="CI19" s="15"/>
      <c r="CJ19" s="15"/>
      <c r="CK19" s="184"/>
      <c r="CL19" s="15"/>
      <c r="CM19" s="15"/>
      <c r="CN19" s="15"/>
      <c r="CO19" s="15"/>
      <c r="CP19" s="15"/>
      <c r="CQ19" s="15"/>
      <c r="CR19" s="184"/>
      <c r="CS19" s="15"/>
      <c r="CT19" s="15"/>
      <c r="CU19" s="15"/>
      <c r="CV19" s="15"/>
      <c r="CW19" s="15"/>
      <c r="CX19" s="15"/>
      <c r="CY19" s="184"/>
      <c r="CZ19" s="15"/>
      <c r="DA19" s="15"/>
      <c r="DB19" s="15"/>
      <c r="DC19" s="15"/>
      <c r="DD19" s="15"/>
      <c r="DE19" s="15"/>
      <c r="DF19" s="184"/>
      <c r="DG19" s="15"/>
      <c r="DH19" s="15"/>
      <c r="DI19" s="15"/>
      <c r="DJ19" s="15"/>
      <c r="DK19" s="15"/>
      <c r="DL19" s="15"/>
      <c r="DM19" s="184"/>
      <c r="DN19" s="15"/>
      <c r="DO19" s="15"/>
      <c r="DP19" s="15"/>
      <c r="DQ19" s="15"/>
      <c r="DR19" s="15"/>
      <c r="DS19" s="15"/>
      <c r="DT19" s="184"/>
      <c r="DU19" s="15"/>
      <c r="DV19" s="15"/>
      <c r="DW19" s="15"/>
      <c r="DX19" s="15"/>
      <c r="DY19" s="15"/>
      <c r="DZ19" s="15"/>
      <c r="EA19" s="184"/>
      <c r="EB19" s="15"/>
      <c r="EC19" s="15"/>
      <c r="ED19" s="15"/>
      <c r="EE19" s="15"/>
      <c r="EF19" s="15"/>
      <c r="EG19" s="15"/>
      <c r="EH19" s="184"/>
      <c r="EI19" s="15"/>
      <c r="EJ19" s="15"/>
      <c r="EK19" s="15"/>
      <c r="EL19" s="15"/>
      <c r="EM19" s="15"/>
      <c r="EN19" s="15"/>
      <c r="EO19" s="184"/>
      <c r="EP19" s="15"/>
      <c r="EQ19" s="15"/>
      <c r="ER19" s="15"/>
      <c r="ES19" s="15"/>
      <c r="ET19" s="15"/>
      <c r="EU19" s="15"/>
      <c r="EV19" s="184"/>
      <c r="EW19" s="15"/>
      <c r="EX19" s="15"/>
      <c r="EY19" s="15"/>
      <c r="EZ19" s="15"/>
      <c r="FA19" s="15"/>
      <c r="FB19" s="15"/>
      <c r="FC19" s="184"/>
      <c r="FD19" s="15"/>
      <c r="FE19" s="15"/>
      <c r="FF19" s="15"/>
      <c r="FG19" s="15"/>
      <c r="FH19" s="15"/>
      <c r="FI19" s="15"/>
      <c r="FJ19" s="184"/>
      <c r="FK19" s="15"/>
      <c r="FL19" s="15"/>
      <c r="FM19" s="15"/>
      <c r="FN19" s="15"/>
      <c r="FO19" s="15"/>
      <c r="FP19" s="15"/>
      <c r="FQ19" s="184"/>
      <c r="FR19" s="15"/>
      <c r="FS19" s="15"/>
      <c r="FT19" s="15"/>
      <c r="FU19" s="15"/>
      <c r="FV19" s="15"/>
      <c r="FW19" s="178"/>
      <c r="FX19" s="184"/>
      <c r="FY19" s="181"/>
      <c r="FZ19" s="15"/>
      <c r="GA19" s="15"/>
      <c r="GB19" s="15"/>
      <c r="GC19" s="15"/>
      <c r="GD19" s="15"/>
      <c r="GE19" s="184"/>
      <c r="GF19" s="15"/>
      <c r="GG19" s="15"/>
      <c r="GH19" s="15"/>
      <c r="GI19" s="15"/>
      <c r="GJ19" s="15"/>
      <c r="GK19" s="15"/>
      <c r="GL19" s="184"/>
      <c r="GM19" s="15"/>
      <c r="GN19" s="15"/>
      <c r="GO19" s="15"/>
      <c r="GP19" s="15"/>
      <c r="GQ19" s="15"/>
      <c r="GR19" s="15"/>
      <c r="GS19" s="184"/>
      <c r="GT19" s="15"/>
      <c r="GU19" s="15"/>
      <c r="GV19" s="15"/>
      <c r="GW19" s="15"/>
      <c r="GX19" s="15"/>
      <c r="GY19" s="15"/>
      <c r="GZ19" s="184"/>
      <c r="HA19" s="15"/>
      <c r="HB19" s="15"/>
      <c r="HC19" s="15"/>
      <c r="HD19" s="15"/>
      <c r="HE19" s="15"/>
      <c r="HF19" s="15"/>
      <c r="HG19" s="184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</row>
    <row r="20" spans="2:390" ht="19.5" customHeight="1" x14ac:dyDescent="0.45">
      <c r="B20" s="1">
        <f t="shared" si="29"/>
        <v>1</v>
      </c>
      <c r="C20" s="1">
        <f>+C19</f>
        <v>2</v>
      </c>
      <c r="D20" s="1">
        <f>+D19+1</f>
        <v>2</v>
      </c>
      <c r="E20" s="59" t="str">
        <f t="shared" si="26"/>
        <v>1.2.2</v>
      </c>
      <c r="F20" s="23" t="s">
        <v>73</v>
      </c>
      <c r="G20" s="191">
        <v>1</v>
      </c>
      <c r="H20" s="52" t="s">
        <v>117</v>
      </c>
      <c r="I20" s="52" t="s">
        <v>156</v>
      </c>
      <c r="J20" s="52">
        <f>+J19</f>
        <v>76</v>
      </c>
      <c r="K20" s="52">
        <v>45</v>
      </c>
      <c r="L20" s="52">
        <f>+J20-K20</f>
        <v>31</v>
      </c>
      <c r="M20" s="20">
        <v>10</v>
      </c>
      <c r="N20" s="20">
        <v>8</v>
      </c>
      <c r="O20" s="51">
        <f>+N20*M20</f>
        <v>80</v>
      </c>
      <c r="P20" s="51">
        <f>+SUM(AA20:NZ20)</f>
        <v>44</v>
      </c>
      <c r="Q20" s="51">
        <f>+O20-P20</f>
        <v>36</v>
      </c>
      <c r="R20" s="19">
        <v>45999</v>
      </c>
      <c r="S20" s="20">
        <v>10</v>
      </c>
      <c r="T20" s="21">
        <f t="shared" si="30"/>
        <v>46010</v>
      </c>
      <c r="U20" s="22">
        <f>+K20/J20</f>
        <v>0.59210526315789469</v>
      </c>
      <c r="V20" s="199">
        <f t="shared" si="31"/>
        <v>47.368421052631575</v>
      </c>
      <c r="W20" s="158">
        <f>SUMIFS($AA20:$NZ20, $AA$8:$NZ$8, $W$12)/$O20</f>
        <v>0</v>
      </c>
      <c r="X20" s="159">
        <f>SUMIF($AA$9:$NZ$9, "&lt;=" &amp; $W$11,$AA20:$NZ20)/$O20</f>
        <v>0.55000000000000004</v>
      </c>
      <c r="Y20" s="199">
        <f t="shared" si="32"/>
        <v>44</v>
      </c>
      <c r="Z20" s="36"/>
      <c r="AA20" s="15"/>
      <c r="AB20" s="15"/>
      <c r="AC20" s="15"/>
      <c r="AD20" s="15"/>
      <c r="AE20" s="15"/>
      <c r="AF20" s="15"/>
      <c r="AG20" s="184"/>
      <c r="AH20" s="15"/>
      <c r="AI20" s="15"/>
      <c r="AJ20" s="15"/>
      <c r="AK20" s="15"/>
      <c r="AL20" s="15"/>
      <c r="AM20" s="15"/>
      <c r="AN20" s="184"/>
      <c r="AO20" s="15">
        <v>4</v>
      </c>
      <c r="AP20" s="15">
        <v>4</v>
      </c>
      <c r="AQ20" s="15">
        <v>4</v>
      </c>
      <c r="AR20" s="15">
        <v>4</v>
      </c>
      <c r="AS20" s="15">
        <v>4</v>
      </c>
      <c r="AT20" s="15">
        <v>4</v>
      </c>
      <c r="AU20" s="184"/>
      <c r="AV20" s="15">
        <v>4</v>
      </c>
      <c r="AW20" s="15">
        <v>4</v>
      </c>
      <c r="AX20" s="15">
        <v>4</v>
      </c>
      <c r="AY20" s="15">
        <v>4</v>
      </c>
      <c r="AZ20" s="15">
        <v>4</v>
      </c>
      <c r="BA20" s="15"/>
      <c r="BB20" s="184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84"/>
      <c r="CE20" s="15"/>
      <c r="CF20" s="15"/>
      <c r="CG20" s="15"/>
      <c r="CH20" s="15"/>
      <c r="CI20" s="15"/>
      <c r="CJ20" s="15"/>
      <c r="CK20" s="184"/>
      <c r="CL20" s="15"/>
      <c r="CM20" s="15"/>
      <c r="CN20" s="15"/>
      <c r="CO20" s="15"/>
      <c r="CP20" s="15"/>
      <c r="CQ20" s="15"/>
      <c r="CR20" s="184"/>
      <c r="CS20" s="15"/>
      <c r="CT20" s="15"/>
      <c r="CU20" s="15"/>
      <c r="CV20" s="15"/>
      <c r="CW20" s="15"/>
      <c r="CX20" s="15"/>
      <c r="CY20" s="184"/>
      <c r="CZ20" s="15"/>
      <c r="DA20" s="15"/>
      <c r="DB20" s="15"/>
      <c r="DC20" s="15"/>
      <c r="DD20" s="15"/>
      <c r="DE20" s="15"/>
      <c r="DF20" s="184"/>
      <c r="DG20" s="15"/>
      <c r="DH20" s="15"/>
      <c r="DI20" s="15"/>
      <c r="DJ20" s="15"/>
      <c r="DK20" s="15"/>
      <c r="DL20" s="15"/>
      <c r="DM20" s="184"/>
      <c r="DN20" s="15"/>
      <c r="DO20" s="15"/>
      <c r="DP20" s="15"/>
      <c r="DQ20" s="15"/>
      <c r="DR20" s="15"/>
      <c r="DS20" s="15"/>
      <c r="DT20" s="184"/>
      <c r="DU20" s="15"/>
      <c r="DV20" s="15"/>
      <c r="DW20" s="15"/>
      <c r="DX20" s="15"/>
      <c r="DY20" s="15"/>
      <c r="DZ20" s="15"/>
      <c r="EA20" s="184"/>
      <c r="EB20" s="15"/>
      <c r="EC20" s="15"/>
      <c r="ED20" s="15"/>
      <c r="EE20" s="15"/>
      <c r="EF20" s="15"/>
      <c r="EG20" s="15"/>
      <c r="EH20" s="184"/>
      <c r="EI20" s="15"/>
      <c r="EJ20" s="15"/>
      <c r="EK20" s="15"/>
      <c r="EL20" s="15"/>
      <c r="EM20" s="15"/>
      <c r="EN20" s="15"/>
      <c r="EO20" s="184"/>
      <c r="EP20" s="15"/>
      <c r="EQ20" s="15"/>
      <c r="ER20" s="15"/>
      <c r="ES20" s="15"/>
      <c r="ET20" s="15"/>
      <c r="EU20" s="15"/>
      <c r="EV20" s="184"/>
      <c r="EW20" s="15"/>
      <c r="EX20" s="15"/>
      <c r="EY20" s="15"/>
      <c r="EZ20" s="15"/>
      <c r="FA20" s="15"/>
      <c r="FB20" s="15"/>
      <c r="FC20" s="184"/>
      <c r="FD20" s="15"/>
      <c r="FE20" s="15"/>
      <c r="FF20" s="15"/>
      <c r="FG20" s="15"/>
      <c r="FH20" s="15"/>
      <c r="FI20" s="15"/>
      <c r="FJ20" s="184"/>
      <c r="FK20" s="15"/>
      <c r="FL20" s="15"/>
      <c r="FM20" s="15"/>
      <c r="FN20" s="15"/>
      <c r="FO20" s="15"/>
      <c r="FP20" s="15"/>
      <c r="FQ20" s="184"/>
      <c r="FR20" s="15"/>
      <c r="FS20" s="15"/>
      <c r="FT20" s="15"/>
      <c r="FU20" s="15"/>
      <c r="FV20" s="15"/>
      <c r="FW20" s="178"/>
      <c r="FX20" s="184"/>
      <c r="FY20" s="181"/>
      <c r="FZ20" s="15"/>
      <c r="GA20" s="15"/>
      <c r="GB20" s="15"/>
      <c r="GC20" s="15"/>
      <c r="GD20" s="15"/>
      <c r="GE20" s="184"/>
      <c r="GF20" s="15"/>
      <c r="GG20" s="15"/>
      <c r="GH20" s="15"/>
      <c r="GI20" s="15"/>
      <c r="GJ20" s="15"/>
      <c r="GK20" s="15"/>
      <c r="GL20" s="184"/>
      <c r="GM20" s="15"/>
      <c r="GN20" s="15"/>
      <c r="GO20" s="15"/>
      <c r="GP20" s="15"/>
      <c r="GQ20" s="15"/>
      <c r="GR20" s="15"/>
      <c r="GS20" s="184"/>
      <c r="GT20" s="15"/>
      <c r="GU20" s="15"/>
      <c r="GV20" s="15"/>
      <c r="GW20" s="15"/>
      <c r="GX20" s="15"/>
      <c r="GY20" s="15"/>
      <c r="GZ20" s="184"/>
      <c r="HA20" s="15"/>
      <c r="HB20" s="15"/>
      <c r="HC20" s="15"/>
      <c r="HD20" s="15"/>
      <c r="HE20" s="15"/>
      <c r="HF20" s="15"/>
      <c r="HG20" s="184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</row>
    <row r="21" spans="2:390" ht="19.5" customHeight="1" x14ac:dyDescent="0.45">
      <c r="B21" s="1">
        <f>+B20</f>
        <v>1</v>
      </c>
      <c r="C21" s="1">
        <f>+C20</f>
        <v>2</v>
      </c>
      <c r="D21" s="1">
        <f>+D20+1</f>
        <v>3</v>
      </c>
      <c r="E21" s="59" t="str">
        <f t="shared" si="26"/>
        <v>1.2.3</v>
      </c>
      <c r="F21" s="23" t="s">
        <v>74</v>
      </c>
      <c r="G21" s="191">
        <v>1</v>
      </c>
      <c r="H21" s="61" t="s">
        <v>118</v>
      </c>
      <c r="I21" s="61" t="s">
        <v>156</v>
      </c>
      <c r="J21" s="52">
        <f>+J20</f>
        <v>76</v>
      </c>
      <c r="K21" s="52">
        <v>0</v>
      </c>
      <c r="L21" s="52">
        <f>+J21-K21</f>
        <v>76</v>
      </c>
      <c r="M21" s="64"/>
      <c r="N21" s="64"/>
      <c r="O21" s="51">
        <f>+N21*M21</f>
        <v>0</v>
      </c>
      <c r="P21" s="51">
        <f>+SUM(AA21:NZ21)</f>
        <v>0</v>
      </c>
      <c r="Q21" s="51">
        <f>+O21-P21</f>
        <v>0</v>
      </c>
      <c r="R21" s="187"/>
      <c r="S21" s="64"/>
      <c r="T21" s="155" t="str">
        <f t="shared" si="30"/>
        <v/>
      </c>
      <c r="U21" s="22">
        <f>+K21/J21</f>
        <v>0</v>
      </c>
      <c r="V21" s="199">
        <f t="shared" si="31"/>
        <v>0</v>
      </c>
      <c r="W21" s="158"/>
      <c r="X21" s="159"/>
      <c r="Y21" s="199">
        <f t="shared" si="32"/>
        <v>0</v>
      </c>
      <c r="Z21" s="39"/>
      <c r="AA21" s="15"/>
      <c r="AB21" s="15"/>
      <c r="AC21" s="15"/>
      <c r="AD21" s="15"/>
      <c r="AE21" s="15"/>
      <c r="AF21" s="15"/>
      <c r="AG21" s="184"/>
      <c r="AH21" s="15"/>
      <c r="AI21" s="15"/>
      <c r="AJ21" s="15"/>
      <c r="AK21" s="15"/>
      <c r="AL21" s="15"/>
      <c r="AM21" s="15"/>
      <c r="AN21" s="184"/>
      <c r="AO21" s="15"/>
      <c r="AP21" s="15"/>
      <c r="AQ21" s="15"/>
      <c r="AR21" s="15"/>
      <c r="AS21" s="15"/>
      <c r="AT21" s="15"/>
      <c r="AU21" s="184"/>
      <c r="AV21" s="15"/>
      <c r="AW21" s="15"/>
      <c r="AX21" s="15"/>
      <c r="AY21" s="15"/>
      <c r="AZ21" s="15"/>
      <c r="BA21" s="15"/>
      <c r="BB21" s="184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84"/>
      <c r="CE21" s="15"/>
      <c r="CF21" s="15"/>
      <c r="CG21" s="15"/>
      <c r="CH21" s="15"/>
      <c r="CI21" s="15"/>
      <c r="CJ21" s="15"/>
      <c r="CK21" s="184"/>
      <c r="CL21" s="15"/>
      <c r="CM21" s="15"/>
      <c r="CN21" s="15"/>
      <c r="CO21" s="15"/>
      <c r="CP21" s="15"/>
      <c r="CQ21" s="15"/>
      <c r="CR21" s="184"/>
      <c r="CS21" s="15"/>
      <c r="CT21" s="15"/>
      <c r="CU21" s="15"/>
      <c r="CV21" s="15"/>
      <c r="CW21" s="15"/>
      <c r="CX21" s="15"/>
      <c r="CY21" s="184"/>
      <c r="CZ21" s="15"/>
      <c r="DA21" s="15"/>
      <c r="DB21" s="15"/>
      <c r="DC21" s="15"/>
      <c r="DD21" s="15"/>
      <c r="DE21" s="15"/>
      <c r="DF21" s="184"/>
      <c r="DG21" s="15"/>
      <c r="DH21" s="15"/>
      <c r="DI21" s="15"/>
      <c r="DJ21" s="15"/>
      <c r="DK21" s="15"/>
      <c r="DL21" s="15"/>
      <c r="DM21" s="184"/>
      <c r="DN21" s="15"/>
      <c r="DO21" s="15"/>
      <c r="DP21" s="15"/>
      <c r="DQ21" s="15"/>
      <c r="DR21" s="15"/>
      <c r="DS21" s="15"/>
      <c r="DT21" s="184"/>
      <c r="DU21" s="15"/>
      <c r="DV21" s="15"/>
      <c r="DW21" s="15"/>
      <c r="DX21" s="15"/>
      <c r="DY21" s="15"/>
      <c r="DZ21" s="15"/>
      <c r="EA21" s="184"/>
      <c r="EB21" s="15"/>
      <c r="EC21" s="15"/>
      <c r="ED21" s="15"/>
      <c r="EE21" s="15"/>
      <c r="EF21" s="15"/>
      <c r="EG21" s="15"/>
      <c r="EH21" s="184"/>
      <c r="EI21" s="15"/>
      <c r="EJ21" s="15"/>
      <c r="EK21" s="15"/>
      <c r="EL21" s="15"/>
      <c r="EM21" s="15"/>
      <c r="EN21" s="15"/>
      <c r="EO21" s="184"/>
      <c r="EP21" s="15"/>
      <c r="EQ21" s="15"/>
      <c r="ER21" s="15"/>
      <c r="ES21" s="15"/>
      <c r="ET21" s="15"/>
      <c r="EU21" s="15"/>
      <c r="EV21" s="184"/>
      <c r="EW21" s="15"/>
      <c r="EX21" s="15"/>
      <c r="EY21" s="15"/>
      <c r="EZ21" s="15"/>
      <c r="FA21" s="15"/>
      <c r="FB21" s="15"/>
      <c r="FC21" s="184"/>
      <c r="FD21" s="15"/>
      <c r="FE21" s="15"/>
      <c r="FF21" s="15"/>
      <c r="FG21" s="15"/>
      <c r="FH21" s="15"/>
      <c r="FI21" s="15"/>
      <c r="FJ21" s="184"/>
      <c r="FK21" s="15"/>
      <c r="FL21" s="15"/>
      <c r="FM21" s="15"/>
      <c r="FN21" s="15"/>
      <c r="FO21" s="15"/>
      <c r="FP21" s="15"/>
      <c r="FQ21" s="184"/>
      <c r="FR21" s="15"/>
      <c r="FS21" s="15"/>
      <c r="FT21" s="15"/>
      <c r="FU21" s="15"/>
      <c r="FV21" s="15"/>
      <c r="FW21" s="178"/>
      <c r="FX21" s="184"/>
      <c r="FY21" s="181"/>
      <c r="FZ21" s="15"/>
      <c r="GA21" s="15"/>
      <c r="GB21" s="15"/>
      <c r="GC21" s="15"/>
      <c r="GD21" s="15"/>
      <c r="GE21" s="184"/>
      <c r="GF21" s="15"/>
      <c r="GG21" s="15"/>
      <c r="GH21" s="15"/>
      <c r="GI21" s="15"/>
      <c r="GJ21" s="15"/>
      <c r="GK21" s="15"/>
      <c r="GL21" s="184"/>
      <c r="GM21" s="15"/>
      <c r="GN21" s="15"/>
      <c r="GO21" s="15"/>
      <c r="GP21" s="15"/>
      <c r="GQ21" s="15"/>
      <c r="GR21" s="15"/>
      <c r="GS21" s="184"/>
      <c r="GT21" s="15"/>
      <c r="GU21" s="15"/>
      <c r="GV21" s="15"/>
      <c r="GW21" s="15"/>
      <c r="GX21" s="15"/>
      <c r="GY21" s="15"/>
      <c r="GZ21" s="184"/>
      <c r="HA21" s="15"/>
      <c r="HB21" s="15"/>
      <c r="HC21" s="15"/>
      <c r="HD21" s="15"/>
      <c r="HE21" s="15"/>
      <c r="HF21" s="15"/>
      <c r="HG21" s="184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</row>
    <row r="22" spans="2:390" ht="19.5" customHeight="1" x14ac:dyDescent="0.45">
      <c r="B22" s="1">
        <f>+B21</f>
        <v>1</v>
      </c>
      <c r="C22" s="1">
        <f>+C19+1</f>
        <v>3</v>
      </c>
      <c r="D22" s="1">
        <v>0</v>
      </c>
      <c r="E22" s="93" t="str">
        <f t="shared" si="26"/>
        <v>1.3.0</v>
      </c>
      <c r="F22" s="99" t="s">
        <v>24</v>
      </c>
      <c r="G22" s="99"/>
      <c r="H22" s="101" t="s">
        <v>117</v>
      </c>
      <c r="I22" s="101" t="s">
        <v>158</v>
      </c>
      <c r="J22" s="101">
        <v>1</v>
      </c>
      <c r="K22" s="101">
        <v>1</v>
      </c>
      <c r="L22" s="101">
        <f>+J22-K22</f>
        <v>0</v>
      </c>
      <c r="M22" s="96">
        <v>4</v>
      </c>
      <c r="N22" s="96">
        <v>6</v>
      </c>
      <c r="O22" s="95">
        <f>+N22*M22</f>
        <v>24</v>
      </c>
      <c r="P22" s="95"/>
      <c r="Q22" s="95"/>
      <c r="R22" s="162">
        <v>45992</v>
      </c>
      <c r="S22" s="96">
        <v>5</v>
      </c>
      <c r="T22" s="163">
        <f t="shared" si="30"/>
        <v>45996</v>
      </c>
      <c r="U22" s="164">
        <f>+K22/J22</f>
        <v>1</v>
      </c>
      <c r="V22" s="200">
        <f t="shared" si="31"/>
        <v>24</v>
      </c>
      <c r="W22" s="158">
        <f t="shared" ref="W22:W39" si="33">SUMIFS($AA22:$NZ22, $AA$8:$NZ$8, $W$12)/$O22</f>
        <v>0</v>
      </c>
      <c r="X22" s="159">
        <f t="shared" ref="X22:X39" si="34">SUMIF($AA$9:$NZ$9, "&lt;=" &amp; $W$11,$AA22:$NZ22)/$O22</f>
        <v>1</v>
      </c>
      <c r="Y22" s="207">
        <f t="shared" si="32"/>
        <v>24</v>
      </c>
      <c r="Z22" s="37"/>
      <c r="AA22" s="15"/>
      <c r="AB22" s="15"/>
      <c r="AC22" s="15"/>
      <c r="AD22" s="15"/>
      <c r="AE22" s="15"/>
      <c r="AF22" s="15"/>
      <c r="AG22" s="184"/>
      <c r="AH22" s="15">
        <v>4</v>
      </c>
      <c r="AI22" s="15">
        <v>4</v>
      </c>
      <c r="AJ22" s="15">
        <v>4</v>
      </c>
      <c r="AK22" s="15">
        <v>4</v>
      </c>
      <c r="AL22" s="15">
        <v>4</v>
      </c>
      <c r="AM22" s="15">
        <v>4</v>
      </c>
      <c r="AN22" s="184"/>
      <c r="AO22" s="15"/>
      <c r="AP22" s="15"/>
      <c r="AQ22" s="15"/>
      <c r="AR22" s="15"/>
      <c r="AS22" s="15"/>
      <c r="AT22" s="15"/>
      <c r="AU22" s="184"/>
      <c r="AV22" s="15"/>
      <c r="AW22" s="15"/>
      <c r="AX22" s="15"/>
      <c r="AY22" s="15"/>
      <c r="AZ22" s="15"/>
      <c r="BA22" s="15"/>
      <c r="BB22" s="184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84"/>
      <c r="CE22" s="15"/>
      <c r="CF22" s="15"/>
      <c r="CG22" s="15"/>
      <c r="CH22" s="15"/>
      <c r="CI22" s="15"/>
      <c r="CJ22" s="15"/>
      <c r="CK22" s="184"/>
      <c r="CL22" s="15"/>
      <c r="CM22" s="15"/>
      <c r="CN22" s="15"/>
      <c r="CO22" s="15"/>
      <c r="CP22" s="15"/>
      <c r="CQ22" s="15"/>
      <c r="CR22" s="184"/>
      <c r="CS22" s="15"/>
      <c r="CT22" s="15"/>
      <c r="CU22" s="15"/>
      <c r="CV22" s="15"/>
      <c r="CW22" s="15"/>
      <c r="CX22" s="15"/>
      <c r="CY22" s="184"/>
      <c r="CZ22" s="15"/>
      <c r="DA22" s="15"/>
      <c r="DB22" s="15"/>
      <c r="DC22" s="15"/>
      <c r="DD22" s="15"/>
      <c r="DE22" s="15"/>
      <c r="DF22" s="184"/>
      <c r="DG22" s="15"/>
      <c r="DH22" s="15"/>
      <c r="DI22" s="15"/>
      <c r="DJ22" s="15"/>
      <c r="DK22" s="15"/>
      <c r="DL22" s="15"/>
      <c r="DM22" s="184"/>
      <c r="DN22" s="15"/>
      <c r="DO22" s="15"/>
      <c r="DP22" s="15"/>
      <c r="DQ22" s="15"/>
      <c r="DR22" s="15"/>
      <c r="DS22" s="15"/>
      <c r="DT22" s="184"/>
      <c r="DU22" s="15"/>
      <c r="DV22" s="15"/>
      <c r="DW22" s="15"/>
      <c r="DX22" s="15"/>
      <c r="DY22" s="15"/>
      <c r="DZ22" s="15"/>
      <c r="EA22" s="184"/>
      <c r="EB22" s="15"/>
      <c r="EC22" s="15"/>
      <c r="ED22" s="15"/>
      <c r="EE22" s="15"/>
      <c r="EF22" s="15"/>
      <c r="EG22" s="15"/>
      <c r="EH22" s="184"/>
      <c r="EI22" s="15"/>
      <c r="EJ22" s="15"/>
      <c r="EK22" s="15"/>
      <c r="EL22" s="15"/>
      <c r="EM22" s="15"/>
      <c r="EN22" s="15"/>
      <c r="EO22" s="184"/>
      <c r="EP22" s="15"/>
      <c r="EQ22" s="15"/>
      <c r="ER22" s="15"/>
      <c r="ES22" s="15"/>
      <c r="ET22" s="15"/>
      <c r="EU22" s="15"/>
      <c r="EV22" s="184"/>
      <c r="EW22" s="15"/>
      <c r="EX22" s="15"/>
      <c r="EY22" s="15"/>
      <c r="EZ22" s="15"/>
      <c r="FA22" s="15"/>
      <c r="FB22" s="15"/>
      <c r="FC22" s="184"/>
      <c r="FD22" s="15"/>
      <c r="FE22" s="15"/>
      <c r="FF22" s="15"/>
      <c r="FG22" s="15"/>
      <c r="FH22" s="15"/>
      <c r="FI22" s="15"/>
      <c r="FJ22" s="184"/>
      <c r="FK22" s="15"/>
      <c r="FL22" s="15"/>
      <c r="FM22" s="15"/>
      <c r="FN22" s="15"/>
      <c r="FO22" s="15"/>
      <c r="FP22" s="15"/>
      <c r="FQ22" s="184"/>
      <c r="FR22" s="15"/>
      <c r="FS22" s="15"/>
      <c r="FT22" s="15"/>
      <c r="FU22" s="15"/>
      <c r="FV22" s="15"/>
      <c r="FW22" s="178"/>
      <c r="FX22" s="184"/>
      <c r="FY22" s="181"/>
      <c r="FZ22" s="15"/>
      <c r="GA22" s="15"/>
      <c r="GB22" s="15"/>
      <c r="GC22" s="15"/>
      <c r="GD22" s="15"/>
      <c r="GE22" s="184"/>
      <c r="GF22" s="15"/>
      <c r="GG22" s="15"/>
      <c r="GH22" s="15"/>
      <c r="GI22" s="15"/>
      <c r="GJ22" s="15"/>
      <c r="GK22" s="15"/>
      <c r="GL22" s="184"/>
      <c r="GM22" s="15"/>
      <c r="GN22" s="15"/>
      <c r="GO22" s="15"/>
      <c r="GP22" s="15"/>
      <c r="GQ22" s="15"/>
      <c r="GR22" s="15"/>
      <c r="GS22" s="184"/>
      <c r="GT22" s="15"/>
      <c r="GU22" s="15"/>
      <c r="GV22" s="15"/>
      <c r="GW22" s="15"/>
      <c r="GX22" s="15"/>
      <c r="GY22" s="15"/>
      <c r="GZ22" s="184"/>
      <c r="HA22" s="15"/>
      <c r="HB22" s="15"/>
      <c r="HC22" s="15"/>
      <c r="HD22" s="15"/>
      <c r="HE22" s="15"/>
      <c r="HF22" s="15"/>
      <c r="HG22" s="184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</row>
    <row r="23" spans="2:390" ht="19.5" customHeight="1" x14ac:dyDescent="0.45">
      <c r="B23" s="1">
        <f>+B22</f>
        <v>1</v>
      </c>
      <c r="C23" s="1">
        <f>+C22+1</f>
        <v>4</v>
      </c>
      <c r="D23" s="1">
        <v>0</v>
      </c>
      <c r="E23" s="93" t="str">
        <f t="shared" si="26"/>
        <v>1.4.0</v>
      </c>
      <c r="F23" s="99" t="s">
        <v>25</v>
      </c>
      <c r="G23" s="99"/>
      <c r="H23" s="100"/>
      <c r="I23" s="100"/>
      <c r="J23" s="101"/>
      <c r="K23" s="101"/>
      <c r="L23" s="101"/>
      <c r="M23" s="96"/>
      <c r="N23" s="96"/>
      <c r="O23" s="95">
        <f>SUM(O24:O25)</f>
        <v>24</v>
      </c>
      <c r="P23" s="95"/>
      <c r="Q23" s="95"/>
      <c r="R23" s="162"/>
      <c r="S23" s="96"/>
      <c r="T23" s="163" t="str">
        <f t="shared" si="30"/>
        <v/>
      </c>
      <c r="U23" s="164">
        <f>+SUMPRODUCT(U24:U25,O24:O25)/O23</f>
        <v>0.66666666666666663</v>
      </c>
      <c r="V23" s="200">
        <f t="shared" si="31"/>
        <v>16</v>
      </c>
      <c r="W23" s="158">
        <f t="shared" si="33"/>
        <v>0</v>
      </c>
      <c r="X23" s="159">
        <f t="shared" si="34"/>
        <v>0</v>
      </c>
      <c r="Y23" s="199">
        <f t="shared" si="32"/>
        <v>0</v>
      </c>
      <c r="Z23" s="36"/>
      <c r="AA23" s="15"/>
      <c r="AB23" s="15"/>
      <c r="AC23" s="15"/>
      <c r="AD23" s="15"/>
      <c r="AE23" s="15"/>
      <c r="AF23" s="15"/>
      <c r="AG23" s="184"/>
      <c r="AH23" s="15"/>
      <c r="AI23" s="15"/>
      <c r="AJ23" s="15"/>
      <c r="AK23" s="15"/>
      <c r="AL23" s="15"/>
      <c r="AM23" s="15"/>
      <c r="AN23" s="184"/>
      <c r="AO23" s="15"/>
      <c r="AP23" s="15"/>
      <c r="AQ23" s="15"/>
      <c r="AR23" s="15"/>
      <c r="AS23" s="15"/>
      <c r="AT23" s="15"/>
      <c r="AU23" s="184"/>
      <c r="AV23" s="15"/>
      <c r="AW23" s="15"/>
      <c r="AX23" s="15"/>
      <c r="AY23" s="15"/>
      <c r="AZ23" s="15"/>
      <c r="BA23" s="15"/>
      <c r="BB23" s="184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84"/>
      <c r="CE23" s="15"/>
      <c r="CF23" s="15"/>
      <c r="CG23" s="15"/>
      <c r="CH23" s="15"/>
      <c r="CI23" s="15"/>
      <c r="CJ23" s="15"/>
      <c r="CK23" s="184"/>
      <c r="CL23" s="15"/>
      <c r="CM23" s="15"/>
      <c r="CN23" s="15"/>
      <c r="CO23" s="15"/>
      <c r="CP23" s="15"/>
      <c r="CQ23" s="15"/>
      <c r="CR23" s="184"/>
      <c r="CS23" s="15"/>
      <c r="CT23" s="15"/>
      <c r="CU23" s="15"/>
      <c r="CV23" s="15"/>
      <c r="CW23" s="15"/>
      <c r="CX23" s="15"/>
      <c r="CY23" s="184"/>
      <c r="CZ23" s="15"/>
      <c r="DA23" s="15"/>
      <c r="DB23" s="15"/>
      <c r="DC23" s="15"/>
      <c r="DD23" s="15"/>
      <c r="DE23" s="15"/>
      <c r="DF23" s="184"/>
      <c r="DG23" s="15"/>
      <c r="DH23" s="15"/>
      <c r="DI23" s="15"/>
      <c r="DJ23" s="15"/>
      <c r="DK23" s="15"/>
      <c r="DL23" s="15"/>
      <c r="DM23" s="184"/>
      <c r="DN23" s="15"/>
      <c r="DO23" s="15"/>
      <c r="DP23" s="15"/>
      <c r="DQ23" s="15"/>
      <c r="DR23" s="15"/>
      <c r="DS23" s="15"/>
      <c r="DT23" s="184"/>
      <c r="DU23" s="15"/>
      <c r="DV23" s="15"/>
      <c r="DW23" s="15"/>
      <c r="DX23" s="15"/>
      <c r="DY23" s="15"/>
      <c r="DZ23" s="15"/>
      <c r="EA23" s="184"/>
      <c r="EB23" s="15"/>
      <c r="EC23" s="15"/>
      <c r="ED23" s="15"/>
      <c r="EE23" s="15"/>
      <c r="EF23" s="15"/>
      <c r="EG23" s="15"/>
      <c r="EH23" s="184"/>
      <c r="EI23" s="15"/>
      <c r="EJ23" s="15"/>
      <c r="EK23" s="15"/>
      <c r="EL23" s="15"/>
      <c r="EM23" s="15"/>
      <c r="EN23" s="15"/>
      <c r="EO23" s="184"/>
      <c r="EP23" s="15"/>
      <c r="EQ23" s="15"/>
      <c r="ER23" s="15"/>
      <c r="ES23" s="15"/>
      <c r="ET23" s="15"/>
      <c r="EU23" s="15"/>
      <c r="EV23" s="184"/>
      <c r="EW23" s="15"/>
      <c r="EX23" s="15"/>
      <c r="EY23" s="15"/>
      <c r="EZ23" s="15"/>
      <c r="FA23" s="15"/>
      <c r="FB23" s="15"/>
      <c r="FC23" s="184"/>
      <c r="FD23" s="15"/>
      <c r="FE23" s="15"/>
      <c r="FF23" s="15"/>
      <c r="FG23" s="15"/>
      <c r="FH23" s="15"/>
      <c r="FI23" s="15"/>
      <c r="FJ23" s="184"/>
      <c r="FK23" s="15"/>
      <c r="FL23" s="15"/>
      <c r="FM23" s="15"/>
      <c r="FN23" s="15"/>
      <c r="FO23" s="15"/>
      <c r="FP23" s="15"/>
      <c r="FQ23" s="184"/>
      <c r="FR23" s="15"/>
      <c r="FS23" s="15"/>
      <c r="FT23" s="15"/>
      <c r="FU23" s="15"/>
      <c r="FV23" s="15"/>
      <c r="FW23" s="178"/>
      <c r="FX23" s="184"/>
      <c r="FY23" s="181"/>
      <c r="FZ23" s="15"/>
      <c r="GA23" s="15"/>
      <c r="GB23" s="15"/>
      <c r="GC23" s="15"/>
      <c r="GD23" s="15"/>
      <c r="GE23" s="184"/>
      <c r="GF23" s="15"/>
      <c r="GG23" s="15"/>
      <c r="GH23" s="15"/>
      <c r="GI23" s="15"/>
      <c r="GJ23" s="15"/>
      <c r="GK23" s="15"/>
      <c r="GL23" s="184"/>
      <c r="GM23" s="15"/>
      <c r="GN23" s="15"/>
      <c r="GO23" s="15"/>
      <c r="GP23" s="15"/>
      <c r="GQ23" s="15"/>
      <c r="GR23" s="15"/>
      <c r="GS23" s="184"/>
      <c r="GT23" s="15"/>
      <c r="GU23" s="15"/>
      <c r="GV23" s="15"/>
      <c r="GW23" s="15"/>
      <c r="GX23" s="15"/>
      <c r="GY23" s="15"/>
      <c r="GZ23" s="184"/>
      <c r="HA23" s="15"/>
      <c r="HB23" s="15"/>
      <c r="HC23" s="15"/>
      <c r="HD23" s="15"/>
      <c r="HE23" s="15"/>
      <c r="HF23" s="15"/>
      <c r="HG23" s="184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</row>
    <row r="24" spans="2:390" ht="19.5" customHeight="1" x14ac:dyDescent="0.45">
      <c r="B24" s="1">
        <f t="shared" ref="B24:B34" si="35">+B23</f>
        <v>1</v>
      </c>
      <c r="C24" s="1">
        <f>+C23</f>
        <v>4</v>
      </c>
      <c r="D24" s="1">
        <v>1</v>
      </c>
      <c r="E24" s="59" t="str">
        <f t="shared" si="26"/>
        <v>1.4.1</v>
      </c>
      <c r="F24" s="23" t="s">
        <v>26</v>
      </c>
      <c r="G24" s="191">
        <v>2</v>
      </c>
      <c r="H24" s="52" t="s">
        <v>117</v>
      </c>
      <c r="I24" s="52" t="s">
        <v>158</v>
      </c>
      <c r="J24" s="52">
        <v>1</v>
      </c>
      <c r="K24" s="52">
        <v>1</v>
      </c>
      <c r="L24" s="52">
        <f>+J24-K24</f>
        <v>0</v>
      </c>
      <c r="M24" s="20">
        <v>4</v>
      </c>
      <c r="N24" s="20">
        <v>4</v>
      </c>
      <c r="O24" s="51">
        <f t="shared" ref="O24:O32" si="36">+N24*M24</f>
        <v>16</v>
      </c>
      <c r="P24" s="51">
        <f t="shared" ref="P24:P32" si="37">+SUM(AA24:NZ24)</f>
        <v>0</v>
      </c>
      <c r="Q24" s="51">
        <f t="shared" ref="Q24:Q32" si="38">+O24-P24</f>
        <v>16</v>
      </c>
      <c r="R24" s="19"/>
      <c r="S24" s="20"/>
      <c r="T24" s="21" t="str">
        <f t="shared" si="30"/>
        <v/>
      </c>
      <c r="U24" s="22">
        <f t="shared" ref="U24:U32" si="39">+K24/J24</f>
        <v>1</v>
      </c>
      <c r="V24" s="199">
        <f t="shared" si="31"/>
        <v>16</v>
      </c>
      <c r="W24" s="158">
        <f t="shared" si="33"/>
        <v>0</v>
      </c>
      <c r="X24" s="159">
        <f t="shared" si="34"/>
        <v>0</v>
      </c>
      <c r="Y24" s="199">
        <f t="shared" si="32"/>
        <v>0</v>
      </c>
      <c r="Z24" s="36"/>
      <c r="AA24" s="15"/>
      <c r="AB24" s="15"/>
      <c r="AC24" s="15"/>
      <c r="AD24" s="15"/>
      <c r="AE24" s="15"/>
      <c r="AF24" s="15"/>
      <c r="AG24" s="184"/>
      <c r="AH24" s="15"/>
      <c r="AI24" s="15"/>
      <c r="AJ24" s="15"/>
      <c r="AK24" s="15"/>
      <c r="AL24" s="15"/>
      <c r="AM24" s="15"/>
      <c r="AN24" s="184"/>
      <c r="AO24" s="15"/>
      <c r="AP24" s="15"/>
      <c r="AQ24" s="15"/>
      <c r="AR24" s="15"/>
      <c r="AS24" s="15"/>
      <c r="AT24" s="15"/>
      <c r="AU24" s="184"/>
      <c r="AV24" s="15"/>
      <c r="AW24" s="15"/>
      <c r="AX24" s="15"/>
      <c r="AY24" s="15"/>
      <c r="AZ24" s="15"/>
      <c r="BA24" s="15"/>
      <c r="BB24" s="184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84"/>
      <c r="CE24" s="15"/>
      <c r="CF24" s="15"/>
      <c r="CG24" s="15"/>
      <c r="CH24" s="15"/>
      <c r="CI24" s="15"/>
      <c r="CJ24" s="15"/>
      <c r="CK24" s="184"/>
      <c r="CL24" s="15"/>
      <c r="CM24" s="15"/>
      <c r="CN24" s="15"/>
      <c r="CO24" s="15"/>
      <c r="CP24" s="15"/>
      <c r="CQ24" s="15"/>
      <c r="CR24" s="184"/>
      <c r="CS24" s="15"/>
      <c r="CT24" s="15"/>
      <c r="CU24" s="15"/>
      <c r="CV24" s="15"/>
      <c r="CW24" s="15"/>
      <c r="CX24" s="15"/>
      <c r="CY24" s="184"/>
      <c r="CZ24" s="15"/>
      <c r="DA24" s="15"/>
      <c r="DB24" s="15"/>
      <c r="DC24" s="15"/>
      <c r="DD24" s="15"/>
      <c r="DE24" s="15"/>
      <c r="DF24" s="184"/>
      <c r="DG24" s="15"/>
      <c r="DH24" s="15"/>
      <c r="DI24" s="15"/>
      <c r="DJ24" s="15"/>
      <c r="DK24" s="15"/>
      <c r="DL24" s="15"/>
      <c r="DM24" s="184"/>
      <c r="DN24" s="15"/>
      <c r="DO24" s="15"/>
      <c r="DP24" s="15"/>
      <c r="DQ24" s="15"/>
      <c r="DR24" s="15"/>
      <c r="DS24" s="15"/>
      <c r="DT24" s="184"/>
      <c r="DU24" s="15"/>
      <c r="DV24" s="15"/>
      <c r="DW24" s="15"/>
      <c r="DX24" s="15"/>
      <c r="DY24" s="15"/>
      <c r="DZ24" s="15"/>
      <c r="EA24" s="184"/>
      <c r="EB24" s="15"/>
      <c r="EC24" s="15"/>
      <c r="ED24" s="15"/>
      <c r="EE24" s="15"/>
      <c r="EF24" s="15"/>
      <c r="EG24" s="15"/>
      <c r="EH24" s="184"/>
      <c r="EI24" s="15"/>
      <c r="EJ24" s="15"/>
      <c r="EK24" s="15"/>
      <c r="EL24" s="15"/>
      <c r="EM24" s="15"/>
      <c r="EN24" s="15"/>
      <c r="EO24" s="184"/>
      <c r="EP24" s="15"/>
      <c r="EQ24" s="15"/>
      <c r="ER24" s="15"/>
      <c r="ES24" s="15"/>
      <c r="ET24" s="15"/>
      <c r="EU24" s="15"/>
      <c r="EV24" s="184"/>
      <c r="EW24" s="15"/>
      <c r="EX24" s="15"/>
      <c r="EY24" s="15"/>
      <c r="EZ24" s="15"/>
      <c r="FA24" s="15"/>
      <c r="FB24" s="15"/>
      <c r="FC24" s="184"/>
      <c r="FD24" s="15"/>
      <c r="FE24" s="15"/>
      <c r="FF24" s="15"/>
      <c r="FG24" s="15"/>
      <c r="FH24" s="15"/>
      <c r="FI24" s="15"/>
      <c r="FJ24" s="184"/>
      <c r="FK24" s="15"/>
      <c r="FL24" s="15"/>
      <c r="FM24" s="15"/>
      <c r="FN24" s="15"/>
      <c r="FO24" s="15"/>
      <c r="FP24" s="15"/>
      <c r="FQ24" s="184"/>
      <c r="FR24" s="15"/>
      <c r="FS24" s="15"/>
      <c r="FT24" s="15"/>
      <c r="FU24" s="15"/>
      <c r="FV24" s="15"/>
      <c r="FW24" s="178"/>
      <c r="FX24" s="184"/>
      <c r="FY24" s="181"/>
      <c r="FZ24" s="15"/>
      <c r="GA24" s="15"/>
      <c r="GB24" s="15"/>
      <c r="GC24" s="15"/>
      <c r="GD24" s="15"/>
      <c r="GE24" s="184"/>
      <c r="GF24" s="15"/>
      <c r="GG24" s="15"/>
      <c r="GH24" s="15"/>
      <c r="GI24" s="15"/>
      <c r="GJ24" s="15"/>
      <c r="GK24" s="15"/>
      <c r="GL24" s="184"/>
      <c r="GM24" s="15"/>
      <c r="GN24" s="15"/>
      <c r="GO24" s="15"/>
      <c r="GP24" s="15"/>
      <c r="GQ24" s="15"/>
      <c r="GR24" s="15"/>
      <c r="GS24" s="184"/>
      <c r="GT24" s="15"/>
      <c r="GU24" s="15"/>
      <c r="GV24" s="15"/>
      <c r="GW24" s="15"/>
      <c r="GX24" s="15"/>
      <c r="GY24" s="15"/>
      <c r="GZ24" s="184"/>
      <c r="HA24" s="15"/>
      <c r="HB24" s="15"/>
      <c r="HC24" s="15"/>
      <c r="HD24" s="15"/>
      <c r="HE24" s="15"/>
      <c r="HF24" s="15"/>
      <c r="HG24" s="184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</row>
    <row r="25" spans="2:390" ht="19.5" customHeight="1" x14ac:dyDescent="0.45">
      <c r="B25" s="1">
        <f t="shared" si="35"/>
        <v>1</v>
      </c>
      <c r="C25" s="1">
        <f>+C24</f>
        <v>4</v>
      </c>
      <c r="D25" s="1">
        <v>2</v>
      </c>
      <c r="E25" s="59" t="str">
        <f t="shared" si="26"/>
        <v>1.4.2</v>
      </c>
      <c r="F25" s="23" t="s">
        <v>27</v>
      </c>
      <c r="G25" s="191">
        <v>2</v>
      </c>
      <c r="H25" s="52" t="s">
        <v>117</v>
      </c>
      <c r="I25" s="52" t="s">
        <v>158</v>
      </c>
      <c r="J25" s="52">
        <v>1</v>
      </c>
      <c r="K25" s="52">
        <v>0</v>
      </c>
      <c r="L25" s="52">
        <f t="shared" ref="L25:L32" si="40">+J25-K25</f>
        <v>1</v>
      </c>
      <c r="M25" s="65">
        <v>4</v>
      </c>
      <c r="N25" s="65">
        <v>2</v>
      </c>
      <c r="O25" s="51">
        <f t="shared" si="36"/>
        <v>8</v>
      </c>
      <c r="P25" s="51">
        <f t="shared" si="37"/>
        <v>8</v>
      </c>
      <c r="Q25" s="51">
        <f t="shared" si="38"/>
        <v>0</v>
      </c>
      <c r="R25" s="19">
        <v>46002</v>
      </c>
      <c r="S25" s="20">
        <v>2</v>
      </c>
      <c r="T25" s="21">
        <f t="shared" si="30"/>
        <v>46003</v>
      </c>
      <c r="U25" s="22">
        <f t="shared" si="39"/>
        <v>0</v>
      </c>
      <c r="V25" s="199">
        <f t="shared" si="31"/>
        <v>0</v>
      </c>
      <c r="W25" s="158">
        <f t="shared" si="33"/>
        <v>0</v>
      </c>
      <c r="X25" s="159">
        <f t="shared" si="34"/>
        <v>1</v>
      </c>
      <c r="Y25" s="199">
        <f t="shared" si="32"/>
        <v>8</v>
      </c>
      <c r="Z25" s="36"/>
      <c r="AA25" s="15"/>
      <c r="AB25" s="15"/>
      <c r="AC25" s="15"/>
      <c r="AD25" s="15"/>
      <c r="AE25" s="15"/>
      <c r="AF25" s="15"/>
      <c r="AG25" s="184"/>
      <c r="AH25" s="15"/>
      <c r="AI25" s="15"/>
      <c r="AJ25" s="15"/>
      <c r="AK25" s="15"/>
      <c r="AL25" s="15"/>
      <c r="AM25" s="15"/>
      <c r="AN25" s="184"/>
      <c r="AO25" s="15"/>
      <c r="AP25" s="15"/>
      <c r="AQ25" s="15"/>
      <c r="AR25" s="15">
        <v>4</v>
      </c>
      <c r="AS25" s="15">
        <v>4</v>
      </c>
      <c r="AT25" s="15"/>
      <c r="AU25" s="184"/>
      <c r="AV25" s="15"/>
      <c r="AW25" s="15"/>
      <c r="AX25" s="15"/>
      <c r="AY25" s="15"/>
      <c r="AZ25" s="15"/>
      <c r="BA25" s="15"/>
      <c r="BB25" s="184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84"/>
      <c r="CE25" s="15"/>
      <c r="CF25" s="15"/>
      <c r="CG25" s="15"/>
      <c r="CH25" s="15"/>
      <c r="CI25" s="15"/>
      <c r="CJ25" s="15"/>
      <c r="CK25" s="184"/>
      <c r="CL25" s="15"/>
      <c r="CM25" s="15"/>
      <c r="CN25" s="15"/>
      <c r="CO25" s="15"/>
      <c r="CP25" s="15"/>
      <c r="CQ25" s="15"/>
      <c r="CR25" s="184"/>
      <c r="CS25" s="15"/>
      <c r="CT25" s="15"/>
      <c r="CU25" s="15"/>
      <c r="CV25" s="15"/>
      <c r="CW25" s="15"/>
      <c r="CX25" s="15"/>
      <c r="CY25" s="184"/>
      <c r="CZ25" s="15"/>
      <c r="DA25" s="15"/>
      <c r="DB25" s="15"/>
      <c r="DC25" s="15"/>
      <c r="DD25" s="15"/>
      <c r="DE25" s="15"/>
      <c r="DF25" s="184"/>
      <c r="DG25" s="15"/>
      <c r="DH25" s="15"/>
      <c r="DI25" s="15"/>
      <c r="DJ25" s="15"/>
      <c r="DK25" s="15"/>
      <c r="DL25" s="15"/>
      <c r="DM25" s="184"/>
      <c r="DN25" s="15"/>
      <c r="DO25" s="15"/>
      <c r="DP25" s="15"/>
      <c r="DQ25" s="15"/>
      <c r="DR25" s="15"/>
      <c r="DS25" s="15"/>
      <c r="DT25" s="184"/>
      <c r="DU25" s="15"/>
      <c r="DV25" s="15"/>
      <c r="DW25" s="15"/>
      <c r="DX25" s="15"/>
      <c r="DY25" s="15"/>
      <c r="DZ25" s="15"/>
      <c r="EA25" s="184"/>
      <c r="EB25" s="15"/>
      <c r="EC25" s="15"/>
      <c r="ED25" s="15"/>
      <c r="EE25" s="15"/>
      <c r="EF25" s="15"/>
      <c r="EG25" s="15"/>
      <c r="EH25" s="184"/>
      <c r="EI25" s="15"/>
      <c r="EJ25" s="15"/>
      <c r="EK25" s="15"/>
      <c r="EL25" s="15"/>
      <c r="EM25" s="15"/>
      <c r="EN25" s="15"/>
      <c r="EO25" s="184"/>
      <c r="EP25" s="15"/>
      <c r="EQ25" s="15"/>
      <c r="ER25" s="15"/>
      <c r="ES25" s="15"/>
      <c r="ET25" s="15"/>
      <c r="EU25" s="15"/>
      <c r="EV25" s="184"/>
      <c r="EW25" s="15"/>
      <c r="EX25" s="15"/>
      <c r="EY25" s="15"/>
      <c r="EZ25" s="15"/>
      <c r="FA25" s="15"/>
      <c r="FB25" s="15"/>
      <c r="FC25" s="184"/>
      <c r="FD25" s="15"/>
      <c r="FE25" s="15"/>
      <c r="FF25" s="15"/>
      <c r="FG25" s="15"/>
      <c r="FH25" s="15"/>
      <c r="FI25" s="15"/>
      <c r="FJ25" s="184"/>
      <c r="FK25" s="15"/>
      <c r="FL25" s="15"/>
      <c r="FM25" s="15"/>
      <c r="FN25" s="15"/>
      <c r="FO25" s="15"/>
      <c r="FP25" s="15"/>
      <c r="FQ25" s="184"/>
      <c r="FR25" s="15"/>
      <c r="FS25" s="15"/>
      <c r="FT25" s="15"/>
      <c r="FU25" s="15"/>
      <c r="FV25" s="15"/>
      <c r="FW25" s="178"/>
      <c r="FX25" s="184"/>
      <c r="FY25" s="181"/>
      <c r="FZ25" s="15"/>
      <c r="GA25" s="15"/>
      <c r="GB25" s="15"/>
      <c r="GC25" s="15"/>
      <c r="GD25" s="15"/>
      <c r="GE25" s="184"/>
      <c r="GF25" s="15"/>
      <c r="GG25" s="15"/>
      <c r="GH25" s="15"/>
      <c r="GI25" s="15"/>
      <c r="GJ25" s="15"/>
      <c r="GK25" s="15"/>
      <c r="GL25" s="184"/>
      <c r="GM25" s="15"/>
      <c r="GN25" s="15"/>
      <c r="GO25" s="15"/>
      <c r="GP25" s="15"/>
      <c r="GQ25" s="15"/>
      <c r="GR25" s="15"/>
      <c r="GS25" s="184"/>
      <c r="GT25" s="15"/>
      <c r="GU25" s="15"/>
      <c r="GV25" s="15"/>
      <c r="GW25" s="15"/>
      <c r="GX25" s="15"/>
      <c r="GY25" s="15"/>
      <c r="GZ25" s="184"/>
      <c r="HA25" s="15"/>
      <c r="HB25" s="15"/>
      <c r="HC25" s="15"/>
      <c r="HD25" s="15"/>
      <c r="HE25" s="15"/>
      <c r="HF25" s="15"/>
      <c r="HG25" s="184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</row>
    <row r="26" spans="2:390" ht="19.5" customHeight="1" x14ac:dyDescent="0.45">
      <c r="B26" s="1">
        <f t="shared" si="35"/>
        <v>1</v>
      </c>
      <c r="C26" s="1">
        <f t="shared" ref="C26:C33" si="41">+C25+1</f>
        <v>5</v>
      </c>
      <c r="D26" s="1">
        <v>0</v>
      </c>
      <c r="E26" s="93" t="str">
        <f t="shared" si="26"/>
        <v>1.5.0</v>
      </c>
      <c r="F26" s="94" t="s">
        <v>101</v>
      </c>
      <c r="G26" s="96" t="s">
        <v>145</v>
      </c>
      <c r="H26" s="101" t="s">
        <v>117</v>
      </c>
      <c r="I26" s="101" t="s">
        <v>156</v>
      </c>
      <c r="J26" s="96">
        <v>7</v>
      </c>
      <c r="K26" s="96">
        <v>0</v>
      </c>
      <c r="L26" s="96">
        <f t="shared" si="40"/>
        <v>7</v>
      </c>
      <c r="M26" s="96">
        <v>3</v>
      </c>
      <c r="N26" s="96">
        <v>6</v>
      </c>
      <c r="O26" s="95">
        <f t="shared" si="36"/>
        <v>18</v>
      </c>
      <c r="P26" s="95">
        <f t="shared" si="37"/>
        <v>18</v>
      </c>
      <c r="Q26" s="95">
        <f t="shared" si="38"/>
        <v>0</v>
      </c>
      <c r="R26" s="162">
        <v>46041</v>
      </c>
      <c r="S26" s="96">
        <v>5</v>
      </c>
      <c r="T26" s="163">
        <f t="shared" si="30"/>
        <v>46045</v>
      </c>
      <c r="U26" s="164">
        <f t="shared" si="39"/>
        <v>0</v>
      </c>
      <c r="V26" s="200">
        <f t="shared" si="31"/>
        <v>0</v>
      </c>
      <c r="W26" s="158">
        <f t="shared" si="33"/>
        <v>0</v>
      </c>
      <c r="X26" s="159">
        <f t="shared" si="34"/>
        <v>0</v>
      </c>
      <c r="Y26" s="199">
        <f t="shared" si="32"/>
        <v>0</v>
      </c>
      <c r="Z26" s="35"/>
      <c r="AA26" s="15"/>
      <c r="AB26" s="15"/>
      <c r="AC26" s="15"/>
      <c r="AD26" s="15"/>
      <c r="AE26" s="15"/>
      <c r="AF26" s="15"/>
      <c r="AG26" s="184"/>
      <c r="AH26" s="15"/>
      <c r="AI26" s="15"/>
      <c r="AJ26" s="15"/>
      <c r="AK26" s="15"/>
      <c r="AL26" s="15"/>
      <c r="AM26" s="15"/>
      <c r="AN26" s="184"/>
      <c r="AO26" s="15"/>
      <c r="AP26" s="15"/>
      <c r="AQ26" s="15"/>
      <c r="AR26" s="15"/>
      <c r="AS26" s="15"/>
      <c r="AT26" s="15"/>
      <c r="AU26" s="184"/>
      <c r="AV26" s="15"/>
      <c r="AW26" s="15"/>
      <c r="AX26" s="15"/>
      <c r="AY26" s="15"/>
      <c r="AZ26" s="15"/>
      <c r="BA26" s="15"/>
      <c r="BB26" s="184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84"/>
      <c r="CE26" s="15">
        <v>3</v>
      </c>
      <c r="CF26" s="15">
        <v>3</v>
      </c>
      <c r="CG26" s="15">
        <v>3</v>
      </c>
      <c r="CH26" s="15">
        <v>3</v>
      </c>
      <c r="CI26" s="15">
        <v>3</v>
      </c>
      <c r="CJ26" s="15">
        <v>3</v>
      </c>
      <c r="CK26" s="184"/>
      <c r="CL26" s="15"/>
      <c r="CM26" s="15"/>
      <c r="CN26" s="15"/>
      <c r="CO26" s="15"/>
      <c r="CP26" s="15"/>
      <c r="CQ26" s="15"/>
      <c r="CR26" s="184"/>
      <c r="CS26" s="15"/>
      <c r="CT26" s="15"/>
      <c r="CU26" s="15"/>
      <c r="CV26" s="15"/>
      <c r="CW26" s="15"/>
      <c r="CX26" s="15"/>
      <c r="CY26" s="184"/>
      <c r="CZ26" s="15"/>
      <c r="DA26" s="15"/>
      <c r="DB26" s="15"/>
      <c r="DC26" s="15"/>
      <c r="DD26" s="15"/>
      <c r="DE26" s="15"/>
      <c r="DF26" s="184"/>
      <c r="DG26" s="15"/>
      <c r="DH26" s="15"/>
      <c r="DI26" s="15"/>
      <c r="DJ26" s="15"/>
      <c r="DK26" s="15"/>
      <c r="DL26" s="15"/>
      <c r="DM26" s="184"/>
      <c r="DN26" s="15"/>
      <c r="DO26" s="15"/>
      <c r="DP26" s="15"/>
      <c r="DQ26" s="15"/>
      <c r="DR26" s="15"/>
      <c r="DS26" s="15"/>
      <c r="DT26" s="184"/>
      <c r="DU26" s="15"/>
      <c r="DV26" s="15"/>
      <c r="DW26" s="15"/>
      <c r="DX26" s="15"/>
      <c r="DY26" s="15"/>
      <c r="DZ26" s="15"/>
      <c r="EA26" s="184"/>
      <c r="EB26" s="15"/>
      <c r="EC26" s="15"/>
      <c r="ED26" s="15"/>
      <c r="EE26" s="15"/>
      <c r="EF26" s="15"/>
      <c r="EG26" s="15"/>
      <c r="EH26" s="184"/>
      <c r="EI26" s="15"/>
      <c r="EJ26" s="15"/>
      <c r="EK26" s="15"/>
      <c r="EL26" s="15"/>
      <c r="EM26" s="15"/>
      <c r="EN26" s="15"/>
      <c r="EO26" s="184"/>
      <c r="EP26" s="15"/>
      <c r="EQ26" s="15"/>
      <c r="ER26" s="15"/>
      <c r="ES26" s="15"/>
      <c r="ET26" s="15"/>
      <c r="EU26" s="15"/>
      <c r="EV26" s="184"/>
      <c r="EW26" s="15"/>
      <c r="EX26" s="15"/>
      <c r="EY26" s="15"/>
      <c r="EZ26" s="15"/>
      <c r="FA26" s="15"/>
      <c r="FB26" s="15"/>
      <c r="FC26" s="184"/>
      <c r="FD26" s="15"/>
      <c r="FE26" s="15"/>
      <c r="FF26" s="15"/>
      <c r="FG26" s="15"/>
      <c r="FH26" s="15"/>
      <c r="FI26" s="15"/>
      <c r="FJ26" s="184"/>
      <c r="FK26" s="15"/>
      <c r="FL26" s="15"/>
      <c r="FM26" s="15"/>
      <c r="FN26" s="15"/>
      <c r="FO26" s="15"/>
      <c r="FP26" s="15"/>
      <c r="FQ26" s="184"/>
      <c r="FR26" s="15"/>
      <c r="FS26" s="15"/>
      <c r="FT26" s="15"/>
      <c r="FU26" s="15"/>
      <c r="FV26" s="15"/>
      <c r="FW26" s="178"/>
      <c r="FX26" s="184"/>
      <c r="FY26" s="181"/>
      <c r="FZ26" s="15"/>
      <c r="GA26" s="15"/>
      <c r="GB26" s="15"/>
      <c r="GC26" s="15"/>
      <c r="GD26" s="15"/>
      <c r="GE26" s="184"/>
      <c r="GF26" s="15"/>
      <c r="GG26" s="15"/>
      <c r="GH26" s="15"/>
      <c r="GI26" s="15"/>
      <c r="GJ26" s="15"/>
      <c r="GK26" s="15"/>
      <c r="GL26" s="184"/>
      <c r="GM26" s="15"/>
      <c r="GN26" s="15"/>
      <c r="GO26" s="15"/>
      <c r="GP26" s="15"/>
      <c r="GQ26" s="15"/>
      <c r="GR26" s="15"/>
      <c r="GS26" s="184"/>
      <c r="GT26" s="15"/>
      <c r="GU26" s="15"/>
      <c r="GV26" s="15"/>
      <c r="GW26" s="15"/>
      <c r="GX26" s="15"/>
      <c r="GY26" s="15"/>
      <c r="GZ26" s="184"/>
      <c r="HA26" s="15"/>
      <c r="HB26" s="15"/>
      <c r="HC26" s="15"/>
      <c r="HD26" s="15"/>
      <c r="HE26" s="15"/>
      <c r="HF26" s="15"/>
      <c r="HG26" s="184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</row>
    <row r="27" spans="2:390" ht="19.5" customHeight="1" x14ac:dyDescent="0.45">
      <c r="B27" s="1">
        <f t="shared" si="35"/>
        <v>1</v>
      </c>
      <c r="C27" s="1">
        <f t="shared" si="41"/>
        <v>6</v>
      </c>
      <c r="D27" s="1">
        <v>0</v>
      </c>
      <c r="E27" s="93" t="str">
        <f t="shared" si="26"/>
        <v>1.6.0</v>
      </c>
      <c r="F27" s="94" t="s">
        <v>102</v>
      </c>
      <c r="G27" s="96">
        <v>2</v>
      </c>
      <c r="H27" s="101" t="s">
        <v>117</v>
      </c>
      <c r="I27" s="101" t="s">
        <v>156</v>
      </c>
      <c r="J27" s="96">
        <v>30</v>
      </c>
      <c r="K27" s="96">
        <v>30</v>
      </c>
      <c r="L27" s="96">
        <f t="shared" si="40"/>
        <v>0</v>
      </c>
      <c r="M27" s="96">
        <v>2</v>
      </c>
      <c r="N27" s="96">
        <v>6</v>
      </c>
      <c r="O27" s="95">
        <f t="shared" si="36"/>
        <v>12</v>
      </c>
      <c r="P27" s="95">
        <f t="shared" si="37"/>
        <v>12</v>
      </c>
      <c r="Q27" s="95">
        <f t="shared" si="38"/>
        <v>0</v>
      </c>
      <c r="R27" s="162">
        <v>45992</v>
      </c>
      <c r="S27" s="96">
        <v>5</v>
      </c>
      <c r="T27" s="163">
        <f t="shared" si="30"/>
        <v>45996</v>
      </c>
      <c r="U27" s="164">
        <f t="shared" si="39"/>
        <v>1</v>
      </c>
      <c r="V27" s="200">
        <f t="shared" si="31"/>
        <v>12</v>
      </c>
      <c r="W27" s="158">
        <f t="shared" si="33"/>
        <v>0</v>
      </c>
      <c r="X27" s="159">
        <f t="shared" si="34"/>
        <v>1</v>
      </c>
      <c r="Y27" s="199">
        <f t="shared" si="32"/>
        <v>12</v>
      </c>
      <c r="Z27" s="35"/>
      <c r="AA27" s="15"/>
      <c r="AB27" s="15"/>
      <c r="AC27" s="15"/>
      <c r="AD27" s="15"/>
      <c r="AE27" s="15"/>
      <c r="AF27" s="15"/>
      <c r="AG27" s="184"/>
      <c r="AH27" s="15">
        <v>2</v>
      </c>
      <c r="AI27" s="15">
        <v>2</v>
      </c>
      <c r="AJ27" s="15">
        <v>2</v>
      </c>
      <c r="AK27" s="15">
        <v>2</v>
      </c>
      <c r="AL27" s="15">
        <v>2</v>
      </c>
      <c r="AM27" s="15">
        <v>2</v>
      </c>
      <c r="AN27" s="184"/>
      <c r="AO27" s="15"/>
      <c r="AP27" s="15"/>
      <c r="AQ27" s="15"/>
      <c r="AR27" s="15"/>
      <c r="AS27" s="15"/>
      <c r="AT27" s="15"/>
      <c r="AU27" s="184"/>
      <c r="AV27" s="15"/>
      <c r="AW27" s="15"/>
      <c r="AX27" s="15"/>
      <c r="AY27" s="15"/>
      <c r="AZ27" s="15"/>
      <c r="BA27" s="15"/>
      <c r="BB27" s="184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84"/>
      <c r="CE27" s="15"/>
      <c r="CF27" s="15"/>
      <c r="CG27" s="15"/>
      <c r="CH27" s="15"/>
      <c r="CI27" s="15"/>
      <c r="CJ27" s="15"/>
      <c r="CK27" s="184"/>
      <c r="CL27" s="15"/>
      <c r="CM27" s="15"/>
      <c r="CN27" s="15"/>
      <c r="CO27" s="15"/>
      <c r="CP27" s="15"/>
      <c r="CQ27" s="15"/>
      <c r="CR27" s="184"/>
      <c r="CS27" s="15"/>
      <c r="CT27" s="15"/>
      <c r="CU27" s="15"/>
      <c r="CV27" s="15"/>
      <c r="CW27" s="15"/>
      <c r="CX27" s="15"/>
      <c r="CY27" s="184"/>
      <c r="CZ27" s="15"/>
      <c r="DA27" s="15"/>
      <c r="DB27" s="15"/>
      <c r="DC27" s="15"/>
      <c r="DD27" s="15"/>
      <c r="DE27" s="15"/>
      <c r="DF27" s="184"/>
      <c r="DG27" s="15"/>
      <c r="DH27" s="15"/>
      <c r="DI27" s="15"/>
      <c r="DJ27" s="15"/>
      <c r="DK27" s="15"/>
      <c r="DL27" s="15"/>
      <c r="DM27" s="184"/>
      <c r="DN27" s="15"/>
      <c r="DO27" s="15"/>
      <c r="DP27" s="15"/>
      <c r="DQ27" s="15"/>
      <c r="DR27" s="15"/>
      <c r="DS27" s="15"/>
      <c r="DT27" s="184"/>
      <c r="DU27" s="15"/>
      <c r="DV27" s="15"/>
      <c r="DW27" s="15"/>
      <c r="DX27" s="15"/>
      <c r="DY27" s="15"/>
      <c r="DZ27" s="15"/>
      <c r="EA27" s="184"/>
      <c r="EB27" s="15"/>
      <c r="EC27" s="15"/>
      <c r="ED27" s="15"/>
      <c r="EE27" s="15"/>
      <c r="EF27" s="15"/>
      <c r="EG27" s="15"/>
      <c r="EH27" s="184"/>
      <c r="EI27" s="15"/>
      <c r="EJ27" s="15"/>
      <c r="EK27" s="15"/>
      <c r="EL27" s="15"/>
      <c r="EM27" s="15"/>
      <c r="EN27" s="15"/>
      <c r="EO27" s="184"/>
      <c r="EP27" s="15"/>
      <c r="EQ27" s="15"/>
      <c r="ER27" s="15"/>
      <c r="ES27" s="15"/>
      <c r="ET27" s="15"/>
      <c r="EU27" s="15"/>
      <c r="EV27" s="184"/>
      <c r="EW27" s="15"/>
      <c r="EX27" s="15"/>
      <c r="EY27" s="15"/>
      <c r="EZ27" s="15"/>
      <c r="FA27" s="15"/>
      <c r="FB27" s="15"/>
      <c r="FC27" s="184"/>
      <c r="FD27" s="15"/>
      <c r="FE27" s="15"/>
      <c r="FF27" s="15"/>
      <c r="FG27" s="15"/>
      <c r="FH27" s="15"/>
      <c r="FI27" s="15"/>
      <c r="FJ27" s="184"/>
      <c r="FK27" s="15"/>
      <c r="FL27" s="15"/>
      <c r="FM27" s="15"/>
      <c r="FN27" s="15"/>
      <c r="FO27" s="15"/>
      <c r="FP27" s="15"/>
      <c r="FQ27" s="184"/>
      <c r="FR27" s="15"/>
      <c r="FS27" s="15"/>
      <c r="FT27" s="15"/>
      <c r="FU27" s="15"/>
      <c r="FV27" s="15"/>
      <c r="FW27" s="178"/>
      <c r="FX27" s="184"/>
      <c r="FY27" s="181"/>
      <c r="FZ27" s="15"/>
      <c r="GA27" s="15"/>
      <c r="GB27" s="15"/>
      <c r="GC27" s="15"/>
      <c r="GD27" s="15"/>
      <c r="GE27" s="184"/>
      <c r="GF27" s="15"/>
      <c r="GG27" s="15"/>
      <c r="GH27" s="15"/>
      <c r="GI27" s="15"/>
      <c r="GJ27" s="15"/>
      <c r="GK27" s="15"/>
      <c r="GL27" s="184"/>
      <c r="GM27" s="15"/>
      <c r="GN27" s="15"/>
      <c r="GO27" s="15"/>
      <c r="GP27" s="15"/>
      <c r="GQ27" s="15"/>
      <c r="GR27" s="15"/>
      <c r="GS27" s="184"/>
      <c r="GT27" s="15"/>
      <c r="GU27" s="15"/>
      <c r="GV27" s="15"/>
      <c r="GW27" s="15"/>
      <c r="GX27" s="15"/>
      <c r="GY27" s="15"/>
      <c r="GZ27" s="184"/>
      <c r="HA27" s="15"/>
      <c r="HB27" s="15"/>
      <c r="HC27" s="15"/>
      <c r="HD27" s="15"/>
      <c r="HE27" s="15"/>
      <c r="HF27" s="15"/>
      <c r="HG27" s="184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</row>
    <row r="28" spans="2:390" ht="19.5" customHeight="1" x14ac:dyDescent="0.45">
      <c r="B28" s="1">
        <f t="shared" si="35"/>
        <v>1</v>
      </c>
      <c r="C28" s="1">
        <f t="shared" si="41"/>
        <v>7</v>
      </c>
      <c r="D28" s="1">
        <v>0</v>
      </c>
      <c r="E28" s="93" t="str">
        <f t="shared" si="26"/>
        <v>1.7.0</v>
      </c>
      <c r="F28" s="94" t="s">
        <v>127</v>
      </c>
      <c r="G28" s="96">
        <v>2</v>
      </c>
      <c r="H28" s="101" t="s">
        <v>117</v>
      </c>
      <c r="I28" s="101" t="s">
        <v>157</v>
      </c>
      <c r="J28" s="96">
        <v>2</v>
      </c>
      <c r="K28" s="96">
        <v>0</v>
      </c>
      <c r="L28" s="96">
        <f t="shared" si="40"/>
        <v>2</v>
      </c>
      <c r="M28" s="96">
        <v>4</v>
      </c>
      <c r="N28" s="96">
        <v>3</v>
      </c>
      <c r="O28" s="95">
        <f t="shared" si="36"/>
        <v>12</v>
      </c>
      <c r="P28" s="95">
        <f t="shared" si="37"/>
        <v>12</v>
      </c>
      <c r="Q28" s="95">
        <f t="shared" si="38"/>
        <v>0</v>
      </c>
      <c r="R28" s="162">
        <v>46048</v>
      </c>
      <c r="S28" s="96">
        <v>3</v>
      </c>
      <c r="T28" s="163">
        <f t="shared" si="30"/>
        <v>46050</v>
      </c>
      <c r="U28" s="164">
        <f t="shared" si="39"/>
        <v>0</v>
      </c>
      <c r="V28" s="200">
        <f t="shared" si="31"/>
        <v>0</v>
      </c>
      <c r="W28" s="158">
        <f t="shared" si="33"/>
        <v>0</v>
      </c>
      <c r="X28" s="159">
        <f t="shared" si="34"/>
        <v>0</v>
      </c>
      <c r="Y28" s="199">
        <f t="shared" si="32"/>
        <v>0</v>
      </c>
      <c r="Z28" s="35"/>
      <c r="AA28" s="15"/>
      <c r="AB28" s="15"/>
      <c r="AC28" s="15"/>
      <c r="AD28" s="15"/>
      <c r="AE28" s="15"/>
      <c r="AF28" s="15"/>
      <c r="AG28" s="184"/>
      <c r="AH28" s="15"/>
      <c r="AI28" s="15"/>
      <c r="AJ28" s="15"/>
      <c r="AK28" s="15"/>
      <c r="AL28" s="15"/>
      <c r="AM28" s="15"/>
      <c r="AN28" s="184"/>
      <c r="AO28" s="15"/>
      <c r="AP28" s="15"/>
      <c r="AQ28" s="15"/>
      <c r="AR28" s="15"/>
      <c r="AS28" s="15"/>
      <c r="AT28" s="15"/>
      <c r="AU28" s="184"/>
      <c r="AV28" s="15"/>
      <c r="AW28" s="15"/>
      <c r="AX28" s="15"/>
      <c r="AY28" s="15"/>
      <c r="AZ28" s="15"/>
      <c r="BA28" s="15"/>
      <c r="BB28" s="184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84"/>
      <c r="CE28" s="15"/>
      <c r="CF28" s="15"/>
      <c r="CG28" s="15"/>
      <c r="CH28" s="15"/>
      <c r="CI28" s="15"/>
      <c r="CJ28" s="15"/>
      <c r="CK28" s="184"/>
      <c r="CL28" s="15">
        <v>4</v>
      </c>
      <c r="CM28" s="15">
        <v>4</v>
      </c>
      <c r="CN28" s="15">
        <v>4</v>
      </c>
      <c r="CO28" s="15"/>
      <c r="CP28" s="15"/>
      <c r="CQ28" s="15"/>
      <c r="CR28" s="184"/>
      <c r="CS28" s="15"/>
      <c r="CT28" s="15"/>
      <c r="CU28" s="15"/>
      <c r="CV28" s="15"/>
      <c r="CW28" s="15"/>
      <c r="CX28" s="15"/>
      <c r="CY28" s="184"/>
      <c r="CZ28" s="15"/>
      <c r="DA28" s="15"/>
      <c r="DB28" s="15"/>
      <c r="DC28" s="15"/>
      <c r="DD28" s="15"/>
      <c r="DE28" s="15"/>
      <c r="DF28" s="184"/>
      <c r="DG28" s="15"/>
      <c r="DH28" s="15"/>
      <c r="DI28" s="15"/>
      <c r="DJ28" s="15"/>
      <c r="DK28" s="15"/>
      <c r="DL28" s="15"/>
      <c r="DM28" s="184"/>
      <c r="DN28" s="15"/>
      <c r="DO28" s="15"/>
      <c r="DP28" s="15"/>
      <c r="DQ28" s="15"/>
      <c r="DR28" s="15"/>
      <c r="DS28" s="15"/>
      <c r="DT28" s="184"/>
      <c r="DU28" s="15"/>
      <c r="DV28" s="15"/>
      <c r="DW28" s="15"/>
      <c r="DX28" s="15"/>
      <c r="DY28" s="15"/>
      <c r="DZ28" s="15"/>
      <c r="EA28" s="184"/>
      <c r="EB28" s="15"/>
      <c r="EC28" s="15"/>
      <c r="ED28" s="15"/>
      <c r="EE28" s="15"/>
      <c r="EF28" s="15"/>
      <c r="EG28" s="15"/>
      <c r="EH28" s="184"/>
      <c r="EI28" s="15"/>
      <c r="EJ28" s="15"/>
      <c r="EK28" s="15"/>
      <c r="EL28" s="15"/>
      <c r="EM28" s="15"/>
      <c r="EN28" s="15"/>
      <c r="EO28" s="184"/>
      <c r="EP28" s="15"/>
      <c r="EQ28" s="15"/>
      <c r="ER28" s="15"/>
      <c r="ES28" s="15"/>
      <c r="ET28" s="15"/>
      <c r="EU28" s="15"/>
      <c r="EV28" s="184"/>
      <c r="EW28" s="15"/>
      <c r="EX28" s="15"/>
      <c r="EY28" s="15"/>
      <c r="EZ28" s="15"/>
      <c r="FA28" s="15"/>
      <c r="FB28" s="15"/>
      <c r="FC28" s="184"/>
      <c r="FD28" s="15"/>
      <c r="FE28" s="15"/>
      <c r="FF28" s="15"/>
      <c r="FG28" s="15"/>
      <c r="FH28" s="15"/>
      <c r="FI28" s="15"/>
      <c r="FJ28" s="184"/>
      <c r="FK28" s="15"/>
      <c r="FL28" s="15"/>
      <c r="FM28" s="15"/>
      <c r="FN28" s="15"/>
      <c r="FO28" s="15"/>
      <c r="FP28" s="15"/>
      <c r="FQ28" s="184"/>
      <c r="FR28" s="15"/>
      <c r="FS28" s="15"/>
      <c r="FT28" s="15"/>
      <c r="FU28" s="15"/>
      <c r="FV28" s="15"/>
      <c r="FW28" s="178"/>
      <c r="FX28" s="184"/>
      <c r="FY28" s="181"/>
      <c r="FZ28" s="15"/>
      <c r="GA28" s="15"/>
      <c r="GB28" s="15"/>
      <c r="GC28" s="15"/>
      <c r="GD28" s="15"/>
      <c r="GE28" s="184"/>
      <c r="GF28" s="15"/>
      <c r="GG28" s="15"/>
      <c r="GH28" s="15"/>
      <c r="GI28" s="15"/>
      <c r="GJ28" s="15"/>
      <c r="GK28" s="15"/>
      <c r="GL28" s="184"/>
      <c r="GM28" s="15"/>
      <c r="GN28" s="15"/>
      <c r="GO28" s="15"/>
      <c r="GP28" s="15"/>
      <c r="GQ28" s="15"/>
      <c r="GR28" s="15"/>
      <c r="GS28" s="184"/>
      <c r="GT28" s="15"/>
      <c r="GU28" s="15"/>
      <c r="GV28" s="15"/>
      <c r="GW28" s="15"/>
      <c r="GX28" s="15"/>
      <c r="GY28" s="15"/>
      <c r="GZ28" s="184"/>
      <c r="HA28" s="15"/>
      <c r="HB28" s="15"/>
      <c r="HC28" s="15"/>
      <c r="HD28" s="15"/>
      <c r="HE28" s="15"/>
      <c r="HF28" s="15"/>
      <c r="HG28" s="184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</row>
    <row r="29" spans="2:390" ht="19.5" customHeight="1" x14ac:dyDescent="0.45">
      <c r="B29" s="1">
        <f t="shared" si="35"/>
        <v>1</v>
      </c>
      <c r="C29" s="1">
        <f t="shared" si="41"/>
        <v>8</v>
      </c>
      <c r="D29" s="1">
        <v>0</v>
      </c>
      <c r="E29" s="93" t="str">
        <f t="shared" si="26"/>
        <v>1.8.0</v>
      </c>
      <c r="F29" s="94" t="s">
        <v>126</v>
      </c>
      <c r="G29" s="96">
        <v>2.2999999999999998</v>
      </c>
      <c r="H29" s="101" t="s">
        <v>117</v>
      </c>
      <c r="I29" s="101" t="s">
        <v>158</v>
      </c>
      <c r="J29" s="96">
        <v>60</v>
      </c>
      <c r="K29" s="96">
        <v>0</v>
      </c>
      <c r="L29" s="96">
        <f t="shared" si="40"/>
        <v>60</v>
      </c>
      <c r="M29" s="96">
        <v>4</v>
      </c>
      <c r="N29" s="96">
        <v>6</v>
      </c>
      <c r="O29" s="95">
        <f t="shared" si="36"/>
        <v>24</v>
      </c>
      <c r="P29" s="95">
        <f t="shared" si="37"/>
        <v>0</v>
      </c>
      <c r="Q29" s="95">
        <f t="shared" si="38"/>
        <v>24</v>
      </c>
      <c r="R29" s="162"/>
      <c r="S29" s="96"/>
      <c r="T29" s="163" t="str">
        <f t="shared" si="30"/>
        <v/>
      </c>
      <c r="U29" s="164">
        <f t="shared" si="39"/>
        <v>0</v>
      </c>
      <c r="V29" s="200">
        <f t="shared" si="31"/>
        <v>0</v>
      </c>
      <c r="W29" s="158">
        <f t="shared" si="33"/>
        <v>0</v>
      </c>
      <c r="X29" s="159">
        <f t="shared" si="34"/>
        <v>0</v>
      </c>
      <c r="Y29" s="199">
        <f t="shared" si="32"/>
        <v>0</v>
      </c>
      <c r="Z29" s="35"/>
      <c r="AA29" s="15"/>
      <c r="AB29" s="15"/>
      <c r="AC29" s="15"/>
      <c r="AD29" s="15"/>
      <c r="AE29" s="15"/>
      <c r="AF29" s="15"/>
      <c r="AG29" s="184"/>
      <c r="AH29" s="15"/>
      <c r="AI29" s="15"/>
      <c r="AJ29" s="15"/>
      <c r="AK29" s="15"/>
      <c r="AL29" s="15"/>
      <c r="AM29" s="15"/>
      <c r="AN29" s="184"/>
      <c r="AO29" s="15"/>
      <c r="AP29" s="15"/>
      <c r="AQ29" s="15"/>
      <c r="AR29" s="15"/>
      <c r="AS29" s="15"/>
      <c r="AT29" s="15"/>
      <c r="AU29" s="184"/>
      <c r="AV29" s="15"/>
      <c r="AW29" s="15"/>
      <c r="AX29" s="15"/>
      <c r="AY29" s="15"/>
      <c r="AZ29" s="15"/>
      <c r="BA29" s="15"/>
      <c r="BB29" s="184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84"/>
      <c r="CE29" s="15"/>
      <c r="CF29" s="15"/>
      <c r="CG29" s="15"/>
      <c r="CH29" s="15"/>
      <c r="CI29" s="15"/>
      <c r="CJ29" s="15"/>
      <c r="CK29" s="184"/>
      <c r="CL29" s="15"/>
      <c r="CM29" s="15"/>
      <c r="CN29" s="15"/>
      <c r="CO29" s="15"/>
      <c r="CP29" s="15"/>
      <c r="CQ29" s="15"/>
      <c r="CR29" s="184"/>
      <c r="CS29" s="15"/>
      <c r="CT29" s="15"/>
      <c r="CU29" s="15"/>
      <c r="CV29" s="15"/>
      <c r="CW29" s="15"/>
      <c r="CX29" s="15"/>
      <c r="CY29" s="184"/>
      <c r="CZ29" s="15"/>
      <c r="DA29" s="15"/>
      <c r="DB29" s="15"/>
      <c r="DC29" s="15"/>
      <c r="DD29" s="15"/>
      <c r="DE29" s="15"/>
      <c r="DF29" s="184"/>
      <c r="DG29" s="15"/>
      <c r="DH29" s="15"/>
      <c r="DI29" s="15"/>
      <c r="DJ29" s="15"/>
      <c r="DK29" s="15"/>
      <c r="DL29" s="15"/>
      <c r="DM29" s="184"/>
      <c r="DN29" s="15"/>
      <c r="DO29" s="15"/>
      <c r="DP29" s="15"/>
      <c r="DQ29" s="15"/>
      <c r="DR29" s="15"/>
      <c r="DS29" s="15"/>
      <c r="DT29" s="184"/>
      <c r="DU29" s="15"/>
      <c r="DV29" s="15"/>
      <c r="DW29" s="15"/>
      <c r="DX29" s="15"/>
      <c r="DY29" s="15"/>
      <c r="DZ29" s="15"/>
      <c r="EA29" s="184"/>
      <c r="EB29" s="15"/>
      <c r="EC29" s="15"/>
      <c r="ED29" s="15"/>
      <c r="EE29" s="15"/>
      <c r="EF29" s="15"/>
      <c r="EG29" s="15"/>
      <c r="EH29" s="184"/>
      <c r="EI29" s="15"/>
      <c r="EJ29" s="15"/>
      <c r="EK29" s="15"/>
      <c r="EL29" s="15"/>
      <c r="EM29" s="15"/>
      <c r="EN29" s="15"/>
      <c r="EO29" s="184"/>
      <c r="EP29" s="15"/>
      <c r="EQ29" s="15"/>
      <c r="ER29" s="15"/>
      <c r="ES29" s="15"/>
      <c r="ET29" s="15"/>
      <c r="EU29" s="15"/>
      <c r="EV29" s="184"/>
      <c r="EW29" s="15"/>
      <c r="EX29" s="15"/>
      <c r="EY29" s="15"/>
      <c r="EZ29" s="15"/>
      <c r="FA29" s="15"/>
      <c r="FB29" s="15"/>
      <c r="FC29" s="184"/>
      <c r="FD29" s="15"/>
      <c r="FE29" s="15"/>
      <c r="FF29" s="15"/>
      <c r="FG29" s="15"/>
      <c r="FH29" s="15"/>
      <c r="FI29" s="15"/>
      <c r="FJ29" s="184"/>
      <c r="FK29" s="15"/>
      <c r="FL29" s="15"/>
      <c r="FM29" s="15"/>
      <c r="FN29" s="15"/>
      <c r="FO29" s="15"/>
      <c r="FP29" s="15"/>
      <c r="FQ29" s="184"/>
      <c r="FR29" s="15"/>
      <c r="FS29" s="15"/>
      <c r="FT29" s="15"/>
      <c r="FU29" s="15"/>
      <c r="FV29" s="15"/>
      <c r="FW29" s="178"/>
      <c r="FX29" s="184"/>
      <c r="FY29" s="181"/>
      <c r="FZ29" s="15"/>
      <c r="GA29" s="15"/>
      <c r="GB29" s="15"/>
      <c r="GC29" s="15"/>
      <c r="GD29" s="15"/>
      <c r="GE29" s="184"/>
      <c r="GF29" s="15"/>
      <c r="GG29" s="15"/>
      <c r="GH29" s="15"/>
      <c r="GI29" s="15"/>
      <c r="GJ29" s="15"/>
      <c r="GK29" s="15"/>
      <c r="GL29" s="184"/>
      <c r="GM29" s="15"/>
      <c r="GN29" s="15"/>
      <c r="GO29" s="15"/>
      <c r="GP29" s="15"/>
      <c r="GQ29" s="15"/>
      <c r="GR29" s="15"/>
      <c r="GS29" s="184"/>
      <c r="GT29" s="15"/>
      <c r="GU29" s="15"/>
      <c r="GV29" s="15"/>
      <c r="GW29" s="15"/>
      <c r="GX29" s="15"/>
      <c r="GY29" s="15"/>
      <c r="GZ29" s="184"/>
      <c r="HA29" s="15"/>
      <c r="HB29" s="15"/>
      <c r="HC29" s="15"/>
      <c r="HD29" s="15"/>
      <c r="HE29" s="15"/>
      <c r="HF29" s="15"/>
      <c r="HG29" s="184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</row>
    <row r="30" spans="2:390" ht="19.5" customHeight="1" x14ac:dyDescent="0.45">
      <c r="B30" s="1">
        <f>+B29</f>
        <v>1</v>
      </c>
      <c r="C30" s="1">
        <f t="shared" si="41"/>
        <v>9</v>
      </c>
      <c r="D30" s="1">
        <v>0</v>
      </c>
      <c r="E30" s="93" t="str">
        <f t="shared" si="26"/>
        <v>1.9.0</v>
      </c>
      <c r="F30" s="94" t="s">
        <v>80</v>
      </c>
      <c r="G30" s="96">
        <v>2</v>
      </c>
      <c r="H30" s="101" t="s">
        <v>117</v>
      </c>
      <c r="I30" s="101" t="s">
        <v>158</v>
      </c>
      <c r="J30" s="96">
        <v>2</v>
      </c>
      <c r="K30" s="96">
        <v>0</v>
      </c>
      <c r="L30" s="96">
        <f t="shared" si="40"/>
        <v>2</v>
      </c>
      <c r="M30" s="96">
        <v>2</v>
      </c>
      <c r="N30" s="96">
        <v>4</v>
      </c>
      <c r="O30" s="95">
        <f t="shared" si="36"/>
        <v>8</v>
      </c>
      <c r="P30" s="95">
        <f t="shared" si="37"/>
        <v>12</v>
      </c>
      <c r="Q30" s="95">
        <f t="shared" si="38"/>
        <v>-4</v>
      </c>
      <c r="R30" s="162">
        <v>46051</v>
      </c>
      <c r="S30" s="96">
        <v>2</v>
      </c>
      <c r="T30" s="163">
        <f t="shared" si="30"/>
        <v>46052</v>
      </c>
      <c r="U30" s="164">
        <f t="shared" si="39"/>
        <v>0</v>
      </c>
      <c r="V30" s="200">
        <f t="shared" si="31"/>
        <v>0</v>
      </c>
      <c r="W30" s="158">
        <f t="shared" si="33"/>
        <v>0</v>
      </c>
      <c r="X30" s="159">
        <f t="shared" si="34"/>
        <v>0</v>
      </c>
      <c r="Y30" s="199">
        <f t="shared" si="32"/>
        <v>0</v>
      </c>
      <c r="Z30" s="35"/>
      <c r="AA30" s="15"/>
      <c r="AB30" s="15"/>
      <c r="AC30" s="15"/>
      <c r="AD30" s="15"/>
      <c r="AE30" s="15"/>
      <c r="AF30" s="15"/>
      <c r="AG30" s="184"/>
      <c r="AH30" s="15"/>
      <c r="AI30" s="15"/>
      <c r="AJ30" s="15"/>
      <c r="AK30" s="15"/>
      <c r="AL30" s="15"/>
      <c r="AM30" s="15"/>
      <c r="AN30" s="184"/>
      <c r="AO30" s="15"/>
      <c r="AP30" s="15"/>
      <c r="AQ30" s="15"/>
      <c r="AR30" s="15"/>
      <c r="AS30" s="15"/>
      <c r="AT30" s="15"/>
      <c r="AU30" s="184"/>
      <c r="AV30" s="15"/>
      <c r="AW30" s="15"/>
      <c r="AX30" s="15"/>
      <c r="AY30" s="15"/>
      <c r="AZ30" s="15"/>
      <c r="BA30" s="15"/>
      <c r="BB30" s="184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84"/>
      <c r="CE30" s="15"/>
      <c r="CF30" s="15"/>
      <c r="CG30" s="15"/>
      <c r="CH30" s="15"/>
      <c r="CI30" s="15"/>
      <c r="CJ30" s="15"/>
      <c r="CK30" s="184"/>
      <c r="CL30" s="15"/>
      <c r="CM30" s="15"/>
      <c r="CN30" s="15"/>
      <c r="CO30" s="15">
        <v>4</v>
      </c>
      <c r="CP30" s="15">
        <v>4</v>
      </c>
      <c r="CQ30" s="15">
        <v>4</v>
      </c>
      <c r="CR30" s="184"/>
      <c r="CS30" s="15"/>
      <c r="CT30" s="15"/>
      <c r="CU30" s="15"/>
      <c r="CV30" s="15"/>
      <c r="CW30" s="15"/>
      <c r="CX30" s="15"/>
      <c r="CY30" s="184"/>
      <c r="CZ30" s="15"/>
      <c r="DA30" s="15"/>
      <c r="DB30" s="15"/>
      <c r="DC30" s="15"/>
      <c r="DD30" s="15"/>
      <c r="DE30" s="15"/>
      <c r="DF30" s="184"/>
      <c r="DG30" s="15"/>
      <c r="DH30" s="15"/>
      <c r="DI30" s="15"/>
      <c r="DJ30" s="15"/>
      <c r="DK30" s="15"/>
      <c r="DL30" s="15"/>
      <c r="DM30" s="184"/>
      <c r="DN30" s="15"/>
      <c r="DO30" s="15"/>
      <c r="DP30" s="15"/>
      <c r="DQ30" s="15"/>
      <c r="DR30" s="15"/>
      <c r="DS30" s="15"/>
      <c r="DT30" s="184"/>
      <c r="DU30" s="15"/>
      <c r="DV30" s="15"/>
      <c r="DW30" s="15"/>
      <c r="DX30" s="15"/>
      <c r="DY30" s="15"/>
      <c r="DZ30" s="15"/>
      <c r="EA30" s="184"/>
      <c r="EB30" s="15"/>
      <c r="EC30" s="15"/>
      <c r="ED30" s="15"/>
      <c r="EE30" s="15"/>
      <c r="EF30" s="15"/>
      <c r="EG30" s="15"/>
      <c r="EH30" s="184"/>
      <c r="EI30" s="15"/>
      <c r="EJ30" s="15"/>
      <c r="EK30" s="15"/>
      <c r="EL30" s="15"/>
      <c r="EM30" s="15"/>
      <c r="EN30" s="15"/>
      <c r="EO30" s="184"/>
      <c r="EP30" s="15"/>
      <c r="EQ30" s="15"/>
      <c r="ER30" s="15"/>
      <c r="ES30" s="15"/>
      <c r="ET30" s="15"/>
      <c r="EU30" s="15"/>
      <c r="EV30" s="184"/>
      <c r="EW30" s="15"/>
      <c r="EX30" s="15"/>
      <c r="EY30" s="15"/>
      <c r="EZ30" s="15"/>
      <c r="FA30" s="15"/>
      <c r="FB30" s="15"/>
      <c r="FC30" s="184"/>
      <c r="FD30" s="15"/>
      <c r="FE30" s="15"/>
      <c r="FF30" s="15"/>
      <c r="FG30" s="15"/>
      <c r="FH30" s="15"/>
      <c r="FI30" s="15"/>
      <c r="FJ30" s="184"/>
      <c r="FK30" s="15"/>
      <c r="FL30" s="15"/>
      <c r="FM30" s="15"/>
      <c r="FN30" s="15"/>
      <c r="FO30" s="15"/>
      <c r="FP30" s="15"/>
      <c r="FQ30" s="184"/>
      <c r="FR30" s="15"/>
      <c r="FS30" s="15"/>
      <c r="FT30" s="15"/>
      <c r="FU30" s="15"/>
      <c r="FV30" s="15"/>
      <c r="FW30" s="178"/>
      <c r="FX30" s="184"/>
      <c r="FY30" s="181"/>
      <c r="FZ30" s="15"/>
      <c r="GA30" s="15"/>
      <c r="GB30" s="15"/>
      <c r="GC30" s="15"/>
      <c r="GD30" s="15"/>
      <c r="GE30" s="184"/>
      <c r="GF30" s="15"/>
      <c r="GG30" s="15"/>
      <c r="GH30" s="15"/>
      <c r="GI30" s="15"/>
      <c r="GJ30" s="15"/>
      <c r="GK30" s="15"/>
      <c r="GL30" s="184"/>
      <c r="GM30" s="15"/>
      <c r="GN30" s="15"/>
      <c r="GO30" s="15"/>
      <c r="GP30" s="15"/>
      <c r="GQ30" s="15"/>
      <c r="GR30" s="15"/>
      <c r="GS30" s="184"/>
      <c r="GT30" s="15"/>
      <c r="GU30" s="15"/>
      <c r="GV30" s="15"/>
      <c r="GW30" s="15"/>
      <c r="GX30" s="15"/>
      <c r="GY30" s="15"/>
      <c r="GZ30" s="184"/>
      <c r="HA30" s="15"/>
      <c r="HB30" s="15"/>
      <c r="HC30" s="15"/>
      <c r="HD30" s="15"/>
      <c r="HE30" s="15"/>
      <c r="HF30" s="15"/>
      <c r="HG30" s="184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</row>
    <row r="31" spans="2:390" ht="19.5" customHeight="1" x14ac:dyDescent="0.45">
      <c r="B31" s="1">
        <f>+B30</f>
        <v>1</v>
      </c>
      <c r="C31" s="1">
        <f t="shared" si="41"/>
        <v>10</v>
      </c>
      <c r="D31" s="1">
        <v>0</v>
      </c>
      <c r="E31" s="93" t="str">
        <f t="shared" si="26"/>
        <v>1.10.0</v>
      </c>
      <c r="F31" s="94" t="s">
        <v>125</v>
      </c>
      <c r="G31" s="96">
        <v>2</v>
      </c>
      <c r="H31" s="101" t="s">
        <v>117</v>
      </c>
      <c r="I31" s="101" t="s">
        <v>156</v>
      </c>
      <c r="J31" s="96">
        <v>1</v>
      </c>
      <c r="K31" s="96">
        <v>1</v>
      </c>
      <c r="L31" s="96">
        <f>+J31-K31</f>
        <v>0</v>
      </c>
      <c r="M31" s="96">
        <v>2</v>
      </c>
      <c r="N31" s="96">
        <v>6</v>
      </c>
      <c r="O31" s="95">
        <f>+N31*M31</f>
        <v>12</v>
      </c>
      <c r="P31" s="95">
        <f t="shared" si="37"/>
        <v>12</v>
      </c>
      <c r="Q31" s="95">
        <f t="shared" si="38"/>
        <v>0</v>
      </c>
      <c r="R31" s="162">
        <v>45992</v>
      </c>
      <c r="S31" s="96">
        <v>5</v>
      </c>
      <c r="T31" s="163">
        <f t="shared" si="30"/>
        <v>45996</v>
      </c>
      <c r="U31" s="164">
        <f t="shared" si="39"/>
        <v>1</v>
      </c>
      <c r="V31" s="200">
        <f t="shared" si="31"/>
        <v>12</v>
      </c>
      <c r="W31" s="158">
        <f t="shared" si="33"/>
        <v>0</v>
      </c>
      <c r="X31" s="159">
        <f t="shared" si="34"/>
        <v>1</v>
      </c>
      <c r="Y31" s="199">
        <f t="shared" si="32"/>
        <v>12</v>
      </c>
      <c r="Z31" s="35"/>
      <c r="AA31" s="15"/>
      <c r="AB31" s="15"/>
      <c r="AC31" s="15"/>
      <c r="AD31" s="15"/>
      <c r="AE31" s="15"/>
      <c r="AF31" s="15"/>
      <c r="AG31" s="184"/>
      <c r="AH31" s="15">
        <v>2</v>
      </c>
      <c r="AI31" s="15">
        <v>2</v>
      </c>
      <c r="AJ31" s="15">
        <v>2</v>
      </c>
      <c r="AK31" s="15">
        <v>2</v>
      </c>
      <c r="AL31" s="15">
        <v>2</v>
      </c>
      <c r="AM31" s="15">
        <v>2</v>
      </c>
      <c r="AN31" s="184"/>
      <c r="AO31" s="15"/>
      <c r="AP31" s="15"/>
      <c r="AQ31" s="15"/>
      <c r="AR31" s="15"/>
      <c r="AS31" s="15"/>
      <c r="AT31" s="15"/>
      <c r="AU31" s="184"/>
      <c r="AV31" s="15"/>
      <c r="AW31" s="15"/>
      <c r="AX31" s="15"/>
      <c r="AY31" s="15"/>
      <c r="AZ31" s="15"/>
      <c r="BA31" s="15"/>
      <c r="BB31" s="184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84"/>
      <c r="CE31" s="15"/>
      <c r="CF31" s="15"/>
      <c r="CG31" s="15"/>
      <c r="CH31" s="15"/>
      <c r="CI31" s="15"/>
      <c r="CJ31" s="15"/>
      <c r="CK31" s="184"/>
      <c r="CL31" s="15"/>
      <c r="CM31" s="15"/>
      <c r="CN31" s="15"/>
      <c r="CO31" s="15"/>
      <c r="CP31" s="15"/>
      <c r="CQ31" s="15"/>
      <c r="CR31" s="184"/>
      <c r="CS31" s="15"/>
      <c r="CT31" s="15"/>
      <c r="CU31" s="15"/>
      <c r="CV31" s="15"/>
      <c r="CW31" s="15"/>
      <c r="CX31" s="15"/>
      <c r="CY31" s="184"/>
      <c r="CZ31" s="15"/>
      <c r="DA31" s="15"/>
      <c r="DB31" s="15"/>
      <c r="DC31" s="15"/>
      <c r="DD31" s="15"/>
      <c r="DE31" s="15"/>
      <c r="DF31" s="184"/>
      <c r="DG31" s="15"/>
      <c r="DH31" s="15"/>
      <c r="DI31" s="15"/>
      <c r="DJ31" s="15"/>
      <c r="DK31" s="15"/>
      <c r="DL31" s="15"/>
      <c r="DM31" s="184"/>
      <c r="DN31" s="15"/>
      <c r="DO31" s="15"/>
      <c r="DP31" s="15"/>
      <c r="DQ31" s="15"/>
      <c r="DR31" s="15"/>
      <c r="DS31" s="15"/>
      <c r="DT31" s="184"/>
      <c r="DU31" s="15"/>
      <c r="DV31" s="15"/>
      <c r="DW31" s="15"/>
      <c r="DX31" s="15"/>
      <c r="DY31" s="15"/>
      <c r="DZ31" s="15"/>
      <c r="EA31" s="184"/>
      <c r="EB31" s="15"/>
      <c r="EC31" s="15"/>
      <c r="ED31" s="15"/>
      <c r="EE31" s="15"/>
      <c r="EF31" s="15"/>
      <c r="EG31" s="15"/>
      <c r="EH31" s="184"/>
      <c r="EI31" s="15"/>
      <c r="EJ31" s="15"/>
      <c r="EK31" s="15"/>
      <c r="EL31" s="15"/>
      <c r="EM31" s="15"/>
      <c r="EN31" s="15"/>
      <c r="EO31" s="184"/>
      <c r="EP31" s="15"/>
      <c r="EQ31" s="15"/>
      <c r="ER31" s="15"/>
      <c r="ES31" s="15"/>
      <c r="ET31" s="15"/>
      <c r="EU31" s="15"/>
      <c r="EV31" s="184"/>
      <c r="EW31" s="15"/>
      <c r="EX31" s="15"/>
      <c r="EY31" s="15"/>
      <c r="EZ31" s="15"/>
      <c r="FA31" s="15"/>
      <c r="FB31" s="15"/>
      <c r="FC31" s="184"/>
      <c r="FD31" s="15"/>
      <c r="FE31" s="15"/>
      <c r="FF31" s="15"/>
      <c r="FG31" s="15"/>
      <c r="FH31" s="15"/>
      <c r="FI31" s="15"/>
      <c r="FJ31" s="184"/>
      <c r="FK31" s="15"/>
      <c r="FL31" s="15"/>
      <c r="FM31" s="15"/>
      <c r="FN31" s="15"/>
      <c r="FO31" s="15"/>
      <c r="FP31" s="15"/>
      <c r="FQ31" s="184"/>
      <c r="FR31" s="15"/>
      <c r="FS31" s="15"/>
      <c r="FT31" s="15"/>
      <c r="FU31" s="15"/>
      <c r="FV31" s="15"/>
      <c r="FW31" s="178"/>
      <c r="FX31" s="184"/>
      <c r="FY31" s="181"/>
      <c r="FZ31" s="15"/>
      <c r="GA31" s="15"/>
      <c r="GB31" s="15"/>
      <c r="GC31" s="15"/>
      <c r="GD31" s="15"/>
      <c r="GE31" s="184"/>
      <c r="GF31" s="15"/>
      <c r="GG31" s="15"/>
      <c r="GH31" s="15"/>
      <c r="GI31" s="15"/>
      <c r="GJ31" s="15"/>
      <c r="GK31" s="15"/>
      <c r="GL31" s="184"/>
      <c r="GM31" s="15"/>
      <c r="GN31" s="15"/>
      <c r="GO31" s="15"/>
      <c r="GP31" s="15"/>
      <c r="GQ31" s="15"/>
      <c r="GR31" s="15"/>
      <c r="GS31" s="184"/>
      <c r="GT31" s="15"/>
      <c r="GU31" s="15"/>
      <c r="GV31" s="15"/>
      <c r="GW31" s="15"/>
      <c r="GX31" s="15"/>
      <c r="GY31" s="15"/>
      <c r="GZ31" s="184"/>
      <c r="HA31" s="15"/>
      <c r="HB31" s="15"/>
      <c r="HC31" s="15"/>
      <c r="HD31" s="15"/>
      <c r="HE31" s="15"/>
      <c r="HF31" s="15"/>
      <c r="HG31" s="184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</row>
    <row r="32" spans="2:390" ht="19.5" customHeight="1" x14ac:dyDescent="0.45">
      <c r="B32" s="1">
        <f>+B31</f>
        <v>1</v>
      </c>
      <c r="C32" s="1">
        <f t="shared" si="41"/>
        <v>11</v>
      </c>
      <c r="D32" s="1">
        <v>0</v>
      </c>
      <c r="E32" s="93" t="str">
        <f t="shared" si="26"/>
        <v>1.11.0</v>
      </c>
      <c r="F32" s="94" t="s">
        <v>28</v>
      </c>
      <c r="G32" s="96" t="s">
        <v>145</v>
      </c>
      <c r="H32" s="97" t="s">
        <v>117</v>
      </c>
      <c r="I32" s="97" t="s">
        <v>158</v>
      </c>
      <c r="J32" s="96">
        <v>9</v>
      </c>
      <c r="K32" s="96">
        <v>0</v>
      </c>
      <c r="L32" s="96">
        <f t="shared" si="40"/>
        <v>9</v>
      </c>
      <c r="M32" s="98">
        <v>4</v>
      </c>
      <c r="N32" s="98">
        <v>5</v>
      </c>
      <c r="O32" s="95">
        <f t="shared" si="36"/>
        <v>20</v>
      </c>
      <c r="P32" s="95">
        <f t="shared" si="37"/>
        <v>0</v>
      </c>
      <c r="Q32" s="95">
        <f t="shared" si="38"/>
        <v>20</v>
      </c>
      <c r="R32" s="153"/>
      <c r="S32" s="154"/>
      <c r="T32" s="155" t="str">
        <f t="shared" si="30"/>
        <v/>
      </c>
      <c r="U32" s="164">
        <f t="shared" si="39"/>
        <v>0</v>
      </c>
      <c r="V32" s="200">
        <f t="shared" si="31"/>
        <v>0</v>
      </c>
      <c r="W32" s="158">
        <f t="shared" si="33"/>
        <v>0</v>
      </c>
      <c r="X32" s="159">
        <f t="shared" si="34"/>
        <v>0</v>
      </c>
      <c r="Y32" s="199">
        <f t="shared" si="32"/>
        <v>0</v>
      </c>
      <c r="Z32" s="35"/>
      <c r="AA32" s="15"/>
      <c r="AB32" s="15"/>
      <c r="AC32" s="15"/>
      <c r="AD32" s="15"/>
      <c r="AE32" s="15"/>
      <c r="AF32" s="15"/>
      <c r="AG32" s="184"/>
      <c r="AH32" s="15"/>
      <c r="AI32" s="15"/>
      <c r="AJ32" s="15"/>
      <c r="AK32" s="15"/>
      <c r="AL32" s="15"/>
      <c r="AM32" s="15"/>
      <c r="AN32" s="184"/>
      <c r="AO32" s="15"/>
      <c r="AP32" s="15"/>
      <c r="AQ32" s="15"/>
      <c r="AR32" s="15"/>
      <c r="AS32" s="15"/>
      <c r="AT32" s="15"/>
      <c r="AU32" s="184"/>
      <c r="AV32" s="15"/>
      <c r="AW32" s="15"/>
      <c r="AX32" s="15"/>
      <c r="AY32" s="15"/>
      <c r="AZ32" s="15"/>
      <c r="BA32" s="15"/>
      <c r="BB32" s="184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84"/>
      <c r="CE32" s="15"/>
      <c r="CF32" s="15"/>
      <c r="CG32" s="15"/>
      <c r="CH32" s="15"/>
      <c r="CI32" s="15"/>
      <c r="CJ32" s="15"/>
      <c r="CK32" s="184"/>
      <c r="CL32" s="15"/>
      <c r="CM32" s="15"/>
      <c r="CN32" s="15"/>
      <c r="CO32" s="15"/>
      <c r="CP32" s="15"/>
      <c r="CQ32" s="15"/>
      <c r="CR32" s="184"/>
      <c r="CS32" s="15"/>
      <c r="CT32" s="15"/>
      <c r="CU32" s="15"/>
      <c r="CV32" s="15"/>
      <c r="CW32" s="15"/>
      <c r="CX32" s="15"/>
      <c r="CY32" s="184"/>
      <c r="CZ32" s="15"/>
      <c r="DA32" s="15"/>
      <c r="DB32" s="15"/>
      <c r="DC32" s="15"/>
      <c r="DD32" s="15"/>
      <c r="DE32" s="15"/>
      <c r="DF32" s="184"/>
      <c r="DG32" s="15"/>
      <c r="DH32" s="15"/>
      <c r="DI32" s="15"/>
      <c r="DJ32" s="15"/>
      <c r="DK32" s="15"/>
      <c r="DL32" s="15"/>
      <c r="DM32" s="184"/>
      <c r="DN32" s="15"/>
      <c r="DO32" s="15"/>
      <c r="DP32" s="15"/>
      <c r="DQ32" s="15"/>
      <c r="DR32" s="15"/>
      <c r="DS32" s="15"/>
      <c r="DT32" s="184"/>
      <c r="DU32" s="15"/>
      <c r="DV32" s="15"/>
      <c r="DW32" s="15"/>
      <c r="DX32" s="15"/>
      <c r="DY32" s="15"/>
      <c r="DZ32" s="15"/>
      <c r="EA32" s="184"/>
      <c r="EB32" s="15"/>
      <c r="EC32" s="15"/>
      <c r="ED32" s="15"/>
      <c r="EE32" s="15"/>
      <c r="EF32" s="15"/>
      <c r="EG32" s="15"/>
      <c r="EH32" s="184"/>
      <c r="EI32" s="15"/>
      <c r="EJ32" s="15"/>
      <c r="EK32" s="15"/>
      <c r="EL32" s="15"/>
      <c r="EM32" s="15"/>
      <c r="EN32" s="15"/>
      <c r="EO32" s="184"/>
      <c r="EP32" s="15"/>
      <c r="EQ32" s="15"/>
      <c r="ER32" s="15"/>
      <c r="ES32" s="15"/>
      <c r="ET32" s="15"/>
      <c r="EU32" s="15"/>
      <c r="EV32" s="184"/>
      <c r="EW32" s="15"/>
      <c r="EX32" s="15"/>
      <c r="EY32" s="15"/>
      <c r="EZ32" s="15"/>
      <c r="FA32" s="15"/>
      <c r="FB32" s="15"/>
      <c r="FC32" s="184"/>
      <c r="FD32" s="15"/>
      <c r="FE32" s="15"/>
      <c r="FF32" s="15"/>
      <c r="FG32" s="15"/>
      <c r="FH32" s="15"/>
      <c r="FI32" s="15"/>
      <c r="FJ32" s="184"/>
      <c r="FK32" s="15"/>
      <c r="FL32" s="15"/>
      <c r="FM32" s="15"/>
      <c r="FN32" s="15"/>
      <c r="FO32" s="15"/>
      <c r="FP32" s="15"/>
      <c r="FQ32" s="184"/>
      <c r="FR32" s="15"/>
      <c r="FS32" s="15"/>
      <c r="FT32" s="15"/>
      <c r="FU32" s="15"/>
      <c r="FV32" s="15"/>
      <c r="FW32" s="178"/>
      <c r="FX32" s="184"/>
      <c r="FY32" s="181"/>
      <c r="FZ32" s="15"/>
      <c r="GA32" s="15"/>
      <c r="GB32" s="15"/>
      <c r="GC32" s="15"/>
      <c r="GD32" s="15"/>
      <c r="GE32" s="184"/>
      <c r="GF32" s="15"/>
      <c r="GG32" s="15"/>
      <c r="GH32" s="15"/>
      <c r="GI32" s="15"/>
      <c r="GJ32" s="15"/>
      <c r="GK32" s="15"/>
      <c r="GL32" s="184"/>
      <c r="GM32" s="15"/>
      <c r="GN32" s="15"/>
      <c r="GO32" s="15"/>
      <c r="GP32" s="15"/>
      <c r="GQ32" s="15"/>
      <c r="GR32" s="15"/>
      <c r="GS32" s="184"/>
      <c r="GT32" s="15"/>
      <c r="GU32" s="15"/>
      <c r="GV32" s="15"/>
      <c r="GW32" s="15"/>
      <c r="GX32" s="15"/>
      <c r="GY32" s="15"/>
      <c r="GZ32" s="184"/>
      <c r="HA32" s="15"/>
      <c r="HB32" s="15"/>
      <c r="HC32" s="15"/>
      <c r="HD32" s="15"/>
      <c r="HE32" s="15"/>
      <c r="HF32" s="15"/>
      <c r="HG32" s="184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</row>
    <row r="33" spans="2:390" ht="19.5" customHeight="1" x14ac:dyDescent="0.45">
      <c r="B33" s="1">
        <f t="shared" si="35"/>
        <v>1</v>
      </c>
      <c r="C33" s="1">
        <f t="shared" si="41"/>
        <v>12</v>
      </c>
      <c r="D33" s="1">
        <v>0</v>
      </c>
      <c r="E33" s="93" t="str">
        <f t="shared" si="26"/>
        <v>1.12.0</v>
      </c>
      <c r="F33" s="94" t="s">
        <v>8</v>
      </c>
      <c r="G33" s="108"/>
      <c r="H33" s="109"/>
      <c r="I33" s="109"/>
      <c r="J33" s="110"/>
      <c r="K33" s="110"/>
      <c r="L33" s="110"/>
      <c r="M33" s="108"/>
      <c r="N33" s="108"/>
      <c r="O33" s="95">
        <f>SUM(O34:O35)</f>
        <v>504</v>
      </c>
      <c r="P33" s="95"/>
      <c r="Q33" s="95"/>
      <c r="R33" s="166"/>
      <c r="S33" s="167"/>
      <c r="T33" s="163" t="str">
        <f t="shared" si="30"/>
        <v/>
      </c>
      <c r="U33" s="164">
        <f>+SUMPRODUCT(U34:U35,O34:O35)/O33</f>
        <v>0</v>
      </c>
      <c r="V33" s="200">
        <f t="shared" si="31"/>
        <v>0</v>
      </c>
      <c r="W33" s="158">
        <f t="shared" si="33"/>
        <v>0</v>
      </c>
      <c r="X33" s="159">
        <f t="shared" si="34"/>
        <v>0</v>
      </c>
      <c r="Y33" s="199">
        <f t="shared" si="32"/>
        <v>0</v>
      </c>
      <c r="Z33" s="35"/>
      <c r="AA33" s="15"/>
      <c r="AB33" s="15"/>
      <c r="AC33" s="15"/>
      <c r="AD33" s="15"/>
      <c r="AE33" s="15"/>
      <c r="AF33" s="15"/>
      <c r="AG33" s="184"/>
      <c r="AH33" s="15"/>
      <c r="AI33" s="15"/>
      <c r="AJ33" s="15"/>
      <c r="AK33" s="15"/>
      <c r="AL33" s="15"/>
      <c r="AM33" s="15"/>
      <c r="AN33" s="184"/>
      <c r="AO33" s="15"/>
      <c r="AP33" s="15"/>
      <c r="AQ33" s="15"/>
      <c r="AR33" s="15"/>
      <c r="AS33" s="15"/>
      <c r="AT33" s="15"/>
      <c r="AU33" s="184"/>
      <c r="AV33" s="15"/>
      <c r="AW33" s="15"/>
      <c r="AX33" s="15"/>
      <c r="AY33" s="15"/>
      <c r="AZ33" s="15"/>
      <c r="BA33" s="15"/>
      <c r="BB33" s="184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84"/>
      <c r="CE33" s="15"/>
      <c r="CF33" s="15"/>
      <c r="CG33" s="15"/>
      <c r="CH33" s="15"/>
      <c r="CI33" s="15"/>
      <c r="CJ33" s="15"/>
      <c r="CK33" s="184"/>
      <c r="CL33" s="15"/>
      <c r="CM33" s="15"/>
      <c r="CN33" s="15"/>
      <c r="CO33" s="15"/>
      <c r="CP33" s="15"/>
      <c r="CQ33" s="15"/>
      <c r="CR33" s="184"/>
      <c r="CS33" s="15"/>
      <c r="CT33" s="15"/>
      <c r="CU33" s="15"/>
      <c r="CV33" s="15"/>
      <c r="CW33" s="15"/>
      <c r="CX33" s="15"/>
      <c r="CY33" s="184"/>
      <c r="CZ33" s="15"/>
      <c r="DA33" s="15"/>
      <c r="DB33" s="15"/>
      <c r="DC33" s="15"/>
      <c r="DD33" s="15"/>
      <c r="DE33" s="15"/>
      <c r="DF33" s="184"/>
      <c r="DG33" s="15"/>
      <c r="DH33" s="15"/>
      <c r="DI33" s="15"/>
      <c r="DJ33" s="15"/>
      <c r="DK33" s="15"/>
      <c r="DL33" s="15"/>
      <c r="DM33" s="184"/>
      <c r="DN33" s="15"/>
      <c r="DO33" s="15"/>
      <c r="DP33" s="15"/>
      <c r="DQ33" s="15"/>
      <c r="DR33" s="15"/>
      <c r="DS33" s="15"/>
      <c r="DT33" s="184"/>
      <c r="DU33" s="15"/>
      <c r="DV33" s="15"/>
      <c r="DW33" s="15"/>
      <c r="DX33" s="15"/>
      <c r="DY33" s="15"/>
      <c r="DZ33" s="15"/>
      <c r="EA33" s="184"/>
      <c r="EB33" s="15"/>
      <c r="EC33" s="15"/>
      <c r="ED33" s="15"/>
      <c r="EE33" s="15"/>
      <c r="EF33" s="15"/>
      <c r="EG33" s="15"/>
      <c r="EH33" s="184"/>
      <c r="EI33" s="15"/>
      <c r="EJ33" s="15"/>
      <c r="EK33" s="15"/>
      <c r="EL33" s="15"/>
      <c r="EM33" s="15"/>
      <c r="EN33" s="15"/>
      <c r="EO33" s="184"/>
      <c r="EP33" s="15"/>
      <c r="EQ33" s="15"/>
      <c r="ER33" s="15"/>
      <c r="ES33" s="15"/>
      <c r="ET33" s="15"/>
      <c r="EU33" s="15"/>
      <c r="EV33" s="184"/>
      <c r="EW33" s="15"/>
      <c r="EX33" s="15"/>
      <c r="EY33" s="15"/>
      <c r="EZ33" s="15"/>
      <c r="FA33" s="15"/>
      <c r="FB33" s="15"/>
      <c r="FC33" s="184"/>
      <c r="FD33" s="15"/>
      <c r="FE33" s="15"/>
      <c r="FF33" s="15"/>
      <c r="FG33" s="15"/>
      <c r="FH33" s="15"/>
      <c r="FI33" s="15"/>
      <c r="FJ33" s="184"/>
      <c r="FK33" s="15"/>
      <c r="FL33" s="15"/>
      <c r="FM33" s="15"/>
      <c r="FN33" s="15"/>
      <c r="FO33" s="15"/>
      <c r="FP33" s="15"/>
      <c r="FQ33" s="184"/>
      <c r="FR33" s="15"/>
      <c r="FS33" s="15"/>
      <c r="FT33" s="15"/>
      <c r="FU33" s="15"/>
      <c r="FV33" s="15"/>
      <c r="FW33" s="178"/>
      <c r="FX33" s="184"/>
      <c r="FY33" s="181"/>
      <c r="FZ33" s="15"/>
      <c r="GA33" s="15"/>
      <c r="GB33" s="15"/>
      <c r="GC33" s="15"/>
      <c r="GD33" s="15"/>
      <c r="GE33" s="184"/>
      <c r="GF33" s="15"/>
      <c r="GG33" s="15"/>
      <c r="GH33" s="15"/>
      <c r="GI33" s="15"/>
      <c r="GJ33" s="15"/>
      <c r="GK33" s="15"/>
      <c r="GL33" s="184"/>
      <c r="GM33" s="15"/>
      <c r="GN33" s="15"/>
      <c r="GO33" s="15"/>
      <c r="GP33" s="15"/>
      <c r="GQ33" s="15"/>
      <c r="GR33" s="15"/>
      <c r="GS33" s="184"/>
      <c r="GT33" s="15"/>
      <c r="GU33" s="15"/>
      <c r="GV33" s="15"/>
      <c r="GW33" s="15"/>
      <c r="GX33" s="15"/>
      <c r="GY33" s="15"/>
      <c r="GZ33" s="184"/>
      <c r="HA33" s="15"/>
      <c r="HB33" s="15"/>
      <c r="HC33" s="15"/>
      <c r="HD33" s="15"/>
      <c r="HE33" s="15"/>
      <c r="HF33" s="15"/>
      <c r="HG33" s="184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</row>
    <row r="34" spans="2:390" ht="19.5" customHeight="1" x14ac:dyDescent="0.45">
      <c r="B34" s="1">
        <f t="shared" si="35"/>
        <v>1</v>
      </c>
      <c r="C34" s="1">
        <f>+C33</f>
        <v>12</v>
      </c>
      <c r="D34" s="1">
        <v>1</v>
      </c>
      <c r="E34" s="59" t="str">
        <f t="shared" si="26"/>
        <v>1.12.1</v>
      </c>
      <c r="F34" s="23" t="s">
        <v>29</v>
      </c>
      <c r="G34" s="191">
        <v>2.5</v>
      </c>
      <c r="H34" s="52" t="s">
        <v>117</v>
      </c>
      <c r="I34" s="52" t="s">
        <v>156</v>
      </c>
      <c r="J34" s="61">
        <v>1</v>
      </c>
      <c r="K34" s="61">
        <v>0</v>
      </c>
      <c r="L34" s="61">
        <f>+J34-K34</f>
        <v>1</v>
      </c>
      <c r="M34" s="20">
        <v>10</v>
      </c>
      <c r="N34" s="20">
        <v>48</v>
      </c>
      <c r="O34" s="51">
        <f>+N34*M34</f>
        <v>480</v>
      </c>
      <c r="P34" s="51">
        <f>+SUM(AA34:NZ34)</f>
        <v>480</v>
      </c>
      <c r="Q34" s="51">
        <f>+O34-P34</f>
        <v>0</v>
      </c>
      <c r="R34" s="79">
        <v>46055</v>
      </c>
      <c r="S34" s="80">
        <v>40</v>
      </c>
      <c r="T34" s="21">
        <f t="shared" si="30"/>
        <v>46108</v>
      </c>
      <c r="U34" s="22">
        <f>+K34/J34</f>
        <v>0</v>
      </c>
      <c r="V34" s="199">
        <f t="shared" si="31"/>
        <v>0</v>
      </c>
      <c r="W34" s="158">
        <f t="shared" si="33"/>
        <v>0</v>
      </c>
      <c r="X34" s="159">
        <f t="shared" si="34"/>
        <v>0</v>
      </c>
      <c r="Y34" s="199">
        <f t="shared" si="32"/>
        <v>0</v>
      </c>
      <c r="Z34" s="35"/>
      <c r="AA34" s="15"/>
      <c r="AB34" s="15"/>
      <c r="AC34" s="15"/>
      <c r="AD34" s="15"/>
      <c r="AE34" s="15"/>
      <c r="AF34" s="15"/>
      <c r="AG34" s="184"/>
      <c r="AH34" s="15"/>
      <c r="AI34" s="15"/>
      <c r="AJ34" s="15"/>
      <c r="AK34" s="15"/>
      <c r="AL34" s="15"/>
      <c r="AM34" s="15"/>
      <c r="AN34" s="184"/>
      <c r="AO34" s="15"/>
      <c r="AP34" s="15"/>
      <c r="AQ34" s="15"/>
      <c r="AR34" s="15"/>
      <c r="AS34" s="15"/>
      <c r="AT34" s="15"/>
      <c r="AU34" s="184"/>
      <c r="AV34" s="15"/>
      <c r="AW34" s="15"/>
      <c r="AX34" s="15"/>
      <c r="AY34" s="15"/>
      <c r="AZ34" s="15"/>
      <c r="BA34" s="15"/>
      <c r="BB34" s="184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84"/>
      <c r="CE34" s="15"/>
      <c r="CF34" s="15"/>
      <c r="CG34" s="15"/>
      <c r="CH34" s="15"/>
      <c r="CI34" s="15"/>
      <c r="CJ34" s="15"/>
      <c r="CK34" s="184"/>
      <c r="CL34" s="15"/>
      <c r="CM34" s="15"/>
      <c r="CN34" s="15"/>
      <c r="CO34" s="15"/>
      <c r="CP34" s="15"/>
      <c r="CQ34" s="15"/>
      <c r="CR34" s="184"/>
      <c r="CS34" s="15">
        <v>10</v>
      </c>
      <c r="CT34" s="15">
        <v>10</v>
      </c>
      <c r="CU34" s="15">
        <v>10</v>
      </c>
      <c r="CV34" s="15">
        <v>10</v>
      </c>
      <c r="CW34" s="15">
        <v>10</v>
      </c>
      <c r="CX34" s="15">
        <v>10</v>
      </c>
      <c r="CY34" s="184"/>
      <c r="CZ34" s="15">
        <v>10</v>
      </c>
      <c r="DA34" s="15">
        <v>10</v>
      </c>
      <c r="DB34" s="15">
        <v>10</v>
      </c>
      <c r="DC34" s="15">
        <v>10</v>
      </c>
      <c r="DD34" s="15">
        <v>10</v>
      </c>
      <c r="DE34" s="15">
        <v>10</v>
      </c>
      <c r="DF34" s="184"/>
      <c r="DG34" s="15">
        <v>10</v>
      </c>
      <c r="DH34" s="15">
        <v>10</v>
      </c>
      <c r="DI34" s="15">
        <v>10</v>
      </c>
      <c r="DJ34" s="15">
        <v>10</v>
      </c>
      <c r="DK34" s="15">
        <v>10</v>
      </c>
      <c r="DL34" s="15">
        <v>10</v>
      </c>
      <c r="DM34" s="184"/>
      <c r="DN34" s="15">
        <v>10</v>
      </c>
      <c r="DO34" s="15">
        <v>10</v>
      </c>
      <c r="DP34" s="15">
        <v>10</v>
      </c>
      <c r="DQ34" s="15">
        <v>10</v>
      </c>
      <c r="DR34" s="15">
        <v>10</v>
      </c>
      <c r="DS34" s="15">
        <v>10</v>
      </c>
      <c r="DT34" s="184"/>
      <c r="DU34" s="15">
        <v>10</v>
      </c>
      <c r="DV34" s="15">
        <v>10</v>
      </c>
      <c r="DW34" s="15">
        <v>10</v>
      </c>
      <c r="DX34" s="15">
        <v>10</v>
      </c>
      <c r="DY34" s="15">
        <v>10</v>
      </c>
      <c r="DZ34" s="15">
        <v>10</v>
      </c>
      <c r="EA34" s="184"/>
      <c r="EB34" s="15">
        <v>10</v>
      </c>
      <c r="EC34" s="15">
        <v>10</v>
      </c>
      <c r="ED34" s="15">
        <v>10</v>
      </c>
      <c r="EE34" s="15">
        <v>10</v>
      </c>
      <c r="EF34" s="15">
        <v>10</v>
      </c>
      <c r="EG34" s="15">
        <v>10</v>
      </c>
      <c r="EH34" s="184"/>
      <c r="EI34" s="15">
        <v>10</v>
      </c>
      <c r="EJ34" s="15">
        <v>10</v>
      </c>
      <c r="EK34" s="15">
        <v>10</v>
      </c>
      <c r="EL34" s="15">
        <v>10</v>
      </c>
      <c r="EM34" s="15">
        <v>10</v>
      </c>
      <c r="EN34" s="15">
        <v>10</v>
      </c>
      <c r="EO34" s="184"/>
      <c r="EP34" s="15">
        <v>10</v>
      </c>
      <c r="EQ34" s="15">
        <v>10</v>
      </c>
      <c r="ER34" s="15">
        <v>10</v>
      </c>
      <c r="ES34" s="15">
        <v>10</v>
      </c>
      <c r="ET34" s="15">
        <v>10</v>
      </c>
      <c r="EU34" s="15">
        <v>10</v>
      </c>
      <c r="EV34" s="184"/>
      <c r="EW34" s="15"/>
      <c r="EX34" s="15"/>
      <c r="EY34" s="15"/>
      <c r="EZ34" s="15"/>
      <c r="FA34" s="15"/>
      <c r="FB34" s="15"/>
      <c r="FC34" s="184"/>
      <c r="FD34" s="15"/>
      <c r="FE34" s="15"/>
      <c r="FF34" s="15"/>
      <c r="FG34" s="15"/>
      <c r="FH34" s="15"/>
      <c r="FI34" s="15"/>
      <c r="FJ34" s="184"/>
      <c r="FK34" s="15"/>
      <c r="FL34" s="15"/>
      <c r="FM34" s="15"/>
      <c r="FN34" s="15"/>
      <c r="FO34" s="15"/>
      <c r="FP34" s="15"/>
      <c r="FQ34" s="184"/>
      <c r="FR34" s="15"/>
      <c r="FS34" s="15"/>
      <c r="FT34" s="15"/>
      <c r="FU34" s="15"/>
      <c r="FV34" s="15"/>
      <c r="FW34" s="178"/>
      <c r="FX34" s="184"/>
      <c r="FY34" s="181"/>
      <c r="FZ34" s="15"/>
      <c r="GA34" s="15"/>
      <c r="GB34" s="15"/>
      <c r="GC34" s="15"/>
      <c r="GD34" s="15"/>
      <c r="GE34" s="184"/>
      <c r="GF34" s="15"/>
      <c r="GG34" s="15"/>
      <c r="GH34" s="15"/>
      <c r="GI34" s="15"/>
      <c r="GJ34" s="15"/>
      <c r="GK34" s="15"/>
      <c r="GL34" s="184"/>
      <c r="GM34" s="15"/>
      <c r="GN34" s="15"/>
      <c r="GO34" s="15"/>
      <c r="GP34" s="15"/>
      <c r="GQ34" s="15"/>
      <c r="GR34" s="15"/>
      <c r="GS34" s="184"/>
      <c r="GT34" s="15"/>
      <c r="GU34" s="15"/>
      <c r="GV34" s="15"/>
      <c r="GW34" s="15"/>
      <c r="GX34" s="15"/>
      <c r="GY34" s="15"/>
      <c r="GZ34" s="184"/>
      <c r="HA34" s="15"/>
      <c r="HB34" s="15"/>
      <c r="HC34" s="15"/>
      <c r="HD34" s="15"/>
      <c r="HE34" s="15"/>
      <c r="HF34" s="15"/>
      <c r="HG34" s="184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</row>
    <row r="35" spans="2:390" ht="19.5" customHeight="1" x14ac:dyDescent="0.45">
      <c r="B35" s="1">
        <f>+B34</f>
        <v>1</v>
      </c>
      <c r="C35" s="1">
        <f>+C34</f>
        <v>12</v>
      </c>
      <c r="D35" s="1">
        <v>2</v>
      </c>
      <c r="E35" s="59" t="str">
        <f t="shared" si="26"/>
        <v>1.12.2</v>
      </c>
      <c r="F35" s="23" t="s">
        <v>71</v>
      </c>
      <c r="G35" s="191" t="s">
        <v>147</v>
      </c>
      <c r="H35" s="52" t="s">
        <v>117</v>
      </c>
      <c r="I35" s="52" t="s">
        <v>158</v>
      </c>
      <c r="J35" s="52">
        <v>1</v>
      </c>
      <c r="K35" s="52">
        <v>0</v>
      </c>
      <c r="L35" s="52">
        <f>+J35-K35</f>
        <v>1</v>
      </c>
      <c r="M35" s="20">
        <v>4</v>
      </c>
      <c r="N35" s="20">
        <v>6</v>
      </c>
      <c r="O35" s="51">
        <f>+N35*M35</f>
        <v>24</v>
      </c>
      <c r="P35" s="51">
        <f>+SUM(AA35:NZ35)</f>
        <v>24</v>
      </c>
      <c r="Q35" s="51">
        <f>+O35-P35</f>
        <v>0</v>
      </c>
      <c r="R35" s="79">
        <v>46062</v>
      </c>
      <c r="S35" s="80">
        <v>5</v>
      </c>
      <c r="T35" s="21">
        <f t="shared" si="30"/>
        <v>46066</v>
      </c>
      <c r="U35" s="22">
        <f>+K35/J35</f>
        <v>0</v>
      </c>
      <c r="V35" s="199">
        <f t="shared" si="31"/>
        <v>0</v>
      </c>
      <c r="W35" s="158">
        <f t="shared" si="33"/>
        <v>0</v>
      </c>
      <c r="X35" s="159">
        <f t="shared" si="34"/>
        <v>0</v>
      </c>
      <c r="Y35" s="199">
        <f t="shared" si="32"/>
        <v>0</v>
      </c>
      <c r="Z35" s="35"/>
      <c r="AA35" s="15"/>
      <c r="AB35" s="15"/>
      <c r="AC35" s="15"/>
      <c r="AD35" s="15"/>
      <c r="AE35" s="15"/>
      <c r="AF35" s="15"/>
      <c r="AG35" s="184"/>
      <c r="AH35" s="15"/>
      <c r="AI35" s="15"/>
      <c r="AJ35" s="15"/>
      <c r="AK35" s="15"/>
      <c r="AL35" s="15"/>
      <c r="AM35" s="15"/>
      <c r="AN35" s="184"/>
      <c r="AO35" s="15"/>
      <c r="AP35" s="15"/>
      <c r="AQ35" s="15"/>
      <c r="AR35" s="15"/>
      <c r="AS35" s="15"/>
      <c r="AT35" s="15"/>
      <c r="AU35" s="184"/>
      <c r="AV35" s="15"/>
      <c r="AW35" s="15"/>
      <c r="AX35" s="15"/>
      <c r="AY35" s="15"/>
      <c r="AZ35" s="15"/>
      <c r="BA35" s="15"/>
      <c r="BB35" s="184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84"/>
      <c r="CE35" s="15"/>
      <c r="CF35" s="15"/>
      <c r="CG35" s="15"/>
      <c r="CH35" s="15"/>
      <c r="CI35" s="15"/>
      <c r="CJ35" s="15"/>
      <c r="CK35" s="184"/>
      <c r="CL35" s="15"/>
      <c r="CM35" s="15"/>
      <c r="CN35" s="15"/>
      <c r="CO35" s="15"/>
      <c r="CP35" s="15"/>
      <c r="CQ35" s="15"/>
      <c r="CR35" s="184"/>
      <c r="CS35" s="15"/>
      <c r="CT35" s="15"/>
      <c r="CU35" s="15"/>
      <c r="CV35" s="15"/>
      <c r="CW35" s="15"/>
      <c r="CX35" s="15"/>
      <c r="CY35" s="184"/>
      <c r="CZ35" s="15">
        <v>4</v>
      </c>
      <c r="DA35" s="15">
        <v>4</v>
      </c>
      <c r="DB35" s="15">
        <v>4</v>
      </c>
      <c r="DC35" s="15">
        <v>4</v>
      </c>
      <c r="DD35" s="15">
        <v>4</v>
      </c>
      <c r="DE35" s="15">
        <v>4</v>
      </c>
      <c r="DF35" s="184"/>
      <c r="DG35" s="15"/>
      <c r="DH35" s="15"/>
      <c r="DI35" s="15"/>
      <c r="DJ35" s="15"/>
      <c r="DK35" s="15"/>
      <c r="DL35" s="15"/>
      <c r="DM35" s="184"/>
      <c r="DN35" s="15"/>
      <c r="DO35" s="15"/>
      <c r="DP35" s="15"/>
      <c r="DQ35" s="15"/>
      <c r="DR35" s="15"/>
      <c r="DS35" s="15"/>
      <c r="DT35" s="184"/>
      <c r="DU35" s="15"/>
      <c r="DV35" s="15"/>
      <c r="DW35" s="15"/>
      <c r="DX35" s="15"/>
      <c r="DY35" s="15"/>
      <c r="DZ35" s="15"/>
      <c r="EA35" s="184"/>
      <c r="EB35" s="15"/>
      <c r="EC35" s="15"/>
      <c r="ED35" s="15"/>
      <c r="EE35" s="15"/>
      <c r="EF35" s="15"/>
      <c r="EG35" s="15"/>
      <c r="EH35" s="184"/>
      <c r="EI35" s="15"/>
      <c r="EJ35" s="15"/>
      <c r="EK35" s="15"/>
      <c r="EL35" s="15"/>
      <c r="EM35" s="15"/>
      <c r="EN35" s="15"/>
      <c r="EO35" s="184"/>
      <c r="EP35" s="15"/>
      <c r="EQ35" s="15"/>
      <c r="ER35" s="15"/>
      <c r="ES35" s="15"/>
      <c r="ET35" s="15"/>
      <c r="EU35" s="15"/>
      <c r="EV35" s="184"/>
      <c r="EW35" s="15"/>
      <c r="EX35" s="15"/>
      <c r="EY35" s="15"/>
      <c r="EZ35" s="15"/>
      <c r="FA35" s="15"/>
      <c r="FB35" s="15"/>
      <c r="FC35" s="184"/>
      <c r="FD35" s="15"/>
      <c r="FE35" s="15"/>
      <c r="FF35" s="15"/>
      <c r="FG35" s="15"/>
      <c r="FH35" s="15"/>
      <c r="FI35" s="15"/>
      <c r="FJ35" s="184"/>
      <c r="FK35" s="15"/>
      <c r="FL35" s="15"/>
      <c r="FM35" s="15"/>
      <c r="FN35" s="15"/>
      <c r="FO35" s="15"/>
      <c r="FP35" s="15"/>
      <c r="FQ35" s="184"/>
      <c r="FR35" s="15"/>
      <c r="FS35" s="15"/>
      <c r="FT35" s="15"/>
      <c r="FU35" s="15"/>
      <c r="FV35" s="15"/>
      <c r="FW35" s="178"/>
      <c r="FX35" s="184"/>
      <c r="FY35" s="181"/>
      <c r="FZ35" s="15"/>
      <c r="GA35" s="15"/>
      <c r="GB35" s="15"/>
      <c r="GC35" s="15"/>
      <c r="GD35" s="15"/>
      <c r="GE35" s="184"/>
      <c r="GF35" s="15"/>
      <c r="GG35" s="15"/>
      <c r="GH35" s="15"/>
      <c r="GI35" s="15"/>
      <c r="GJ35" s="15"/>
      <c r="GK35" s="15"/>
      <c r="GL35" s="184"/>
      <c r="GM35" s="15"/>
      <c r="GN35" s="15"/>
      <c r="GO35" s="15"/>
      <c r="GP35" s="15"/>
      <c r="GQ35" s="15"/>
      <c r="GR35" s="15"/>
      <c r="GS35" s="184"/>
      <c r="GT35" s="15"/>
      <c r="GU35" s="15"/>
      <c r="GV35" s="15"/>
      <c r="GW35" s="15"/>
      <c r="GX35" s="15"/>
      <c r="GY35" s="15"/>
      <c r="GZ35" s="184"/>
      <c r="HA35" s="15"/>
      <c r="HB35" s="15"/>
      <c r="HC35" s="15"/>
      <c r="HD35" s="15"/>
      <c r="HE35" s="15"/>
      <c r="HF35" s="15"/>
      <c r="HG35" s="184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</row>
    <row r="36" spans="2:390" ht="19.5" customHeight="1" x14ac:dyDescent="0.45">
      <c r="B36" s="1">
        <f>+B35</f>
        <v>1</v>
      </c>
      <c r="C36" s="1">
        <f>+C35+1</f>
        <v>13</v>
      </c>
      <c r="D36" s="1">
        <v>0</v>
      </c>
      <c r="E36" s="93" t="str">
        <f t="shared" si="26"/>
        <v>1.13.0</v>
      </c>
      <c r="F36" s="94" t="s">
        <v>61</v>
      </c>
      <c r="G36" s="108"/>
      <c r="H36" s="109"/>
      <c r="I36" s="109"/>
      <c r="J36" s="110"/>
      <c r="K36" s="110"/>
      <c r="L36" s="110"/>
      <c r="M36" s="108"/>
      <c r="N36" s="108"/>
      <c r="O36" s="95">
        <f>SUM(O37:O39)</f>
        <v>252</v>
      </c>
      <c r="P36" s="95"/>
      <c r="Q36" s="95"/>
      <c r="R36" s="166"/>
      <c r="S36" s="167"/>
      <c r="T36" s="163" t="str">
        <f t="shared" si="30"/>
        <v/>
      </c>
      <c r="U36" s="164">
        <f>+SUMPRODUCT(U37:U38,O37:O38)/O36</f>
        <v>0</v>
      </c>
      <c r="V36" s="200">
        <f t="shared" si="31"/>
        <v>0</v>
      </c>
      <c r="W36" s="158">
        <f t="shared" si="33"/>
        <v>0</v>
      </c>
      <c r="X36" s="159">
        <f t="shared" si="34"/>
        <v>0</v>
      </c>
      <c r="Y36" s="199">
        <f t="shared" si="32"/>
        <v>0</v>
      </c>
      <c r="Z36" s="36"/>
      <c r="AA36" s="15"/>
      <c r="AB36" s="15"/>
      <c r="AC36" s="15"/>
      <c r="AD36" s="15"/>
      <c r="AE36" s="15"/>
      <c r="AF36" s="15"/>
      <c r="AG36" s="184"/>
      <c r="AH36" s="15"/>
      <c r="AI36" s="15"/>
      <c r="AJ36" s="15"/>
      <c r="AK36" s="15"/>
      <c r="AL36" s="15"/>
      <c r="AM36" s="15"/>
      <c r="AN36" s="184"/>
      <c r="AO36" s="15"/>
      <c r="AP36" s="15"/>
      <c r="AQ36" s="15"/>
      <c r="AR36" s="15"/>
      <c r="AS36" s="15"/>
      <c r="AT36" s="15"/>
      <c r="AU36" s="184"/>
      <c r="AV36" s="15"/>
      <c r="AW36" s="15"/>
      <c r="AX36" s="15"/>
      <c r="AY36" s="15"/>
      <c r="AZ36" s="15"/>
      <c r="BA36" s="15"/>
      <c r="BB36" s="184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84"/>
      <c r="CE36" s="15"/>
      <c r="CF36" s="15"/>
      <c r="CG36" s="15"/>
      <c r="CH36" s="15"/>
      <c r="CI36" s="15"/>
      <c r="CJ36" s="15"/>
      <c r="CK36" s="184"/>
      <c r="CL36" s="15"/>
      <c r="CM36" s="15"/>
      <c r="CN36" s="15"/>
      <c r="CO36" s="15"/>
      <c r="CP36" s="15"/>
      <c r="CQ36" s="15"/>
      <c r="CR36" s="184"/>
      <c r="CS36" s="15"/>
      <c r="CT36" s="15"/>
      <c r="CU36" s="15"/>
      <c r="CV36" s="15"/>
      <c r="CW36" s="15"/>
      <c r="CX36" s="15"/>
      <c r="CY36" s="184"/>
      <c r="CZ36" s="15"/>
      <c r="DA36" s="15"/>
      <c r="DB36" s="15"/>
      <c r="DC36" s="15"/>
      <c r="DD36" s="15"/>
      <c r="DE36" s="15"/>
      <c r="DF36" s="184"/>
      <c r="DG36" s="15"/>
      <c r="DH36" s="15"/>
      <c r="DI36" s="15"/>
      <c r="DJ36" s="15"/>
      <c r="DK36" s="15"/>
      <c r="DL36" s="15"/>
      <c r="DM36" s="184"/>
      <c r="DN36" s="15"/>
      <c r="DO36" s="15"/>
      <c r="DP36" s="15"/>
      <c r="DQ36" s="15"/>
      <c r="DR36" s="15"/>
      <c r="DS36" s="15"/>
      <c r="DT36" s="184"/>
      <c r="DU36" s="15"/>
      <c r="DV36" s="15"/>
      <c r="DW36" s="15"/>
      <c r="DX36" s="15"/>
      <c r="DY36" s="15"/>
      <c r="DZ36" s="15"/>
      <c r="EA36" s="184"/>
      <c r="EB36" s="15"/>
      <c r="EC36" s="15"/>
      <c r="ED36" s="15"/>
      <c r="EE36" s="15"/>
      <c r="EF36" s="15"/>
      <c r="EG36" s="15"/>
      <c r="EH36" s="184"/>
      <c r="EI36" s="15"/>
      <c r="EJ36" s="15"/>
      <c r="EK36" s="15"/>
      <c r="EL36" s="15"/>
      <c r="EM36" s="15"/>
      <c r="EN36" s="15"/>
      <c r="EO36" s="184"/>
      <c r="EP36" s="15"/>
      <c r="EQ36" s="15"/>
      <c r="ER36" s="15"/>
      <c r="ES36" s="15"/>
      <c r="ET36" s="15"/>
      <c r="EU36" s="15"/>
      <c r="EV36" s="184"/>
      <c r="EW36" s="15"/>
      <c r="EX36" s="15"/>
      <c r="EY36" s="15"/>
      <c r="EZ36" s="15"/>
      <c r="FA36" s="15"/>
      <c r="FB36" s="15"/>
      <c r="FC36" s="184"/>
      <c r="FD36" s="15"/>
      <c r="FE36" s="15"/>
      <c r="FF36" s="15"/>
      <c r="FG36" s="15"/>
      <c r="FH36" s="15"/>
      <c r="FI36" s="15"/>
      <c r="FJ36" s="184"/>
      <c r="FK36" s="15"/>
      <c r="FL36" s="15"/>
      <c r="FM36" s="15"/>
      <c r="FN36" s="15"/>
      <c r="FO36" s="15"/>
      <c r="FP36" s="15"/>
      <c r="FQ36" s="184"/>
      <c r="FR36" s="15"/>
      <c r="FS36" s="15"/>
      <c r="FT36" s="15"/>
      <c r="FU36" s="15"/>
      <c r="FV36" s="15"/>
      <c r="FW36" s="178"/>
      <c r="FX36" s="184"/>
      <c r="FY36" s="181"/>
      <c r="FZ36" s="15"/>
      <c r="GA36" s="15"/>
      <c r="GB36" s="15"/>
      <c r="GC36" s="15"/>
      <c r="GD36" s="15"/>
      <c r="GE36" s="184"/>
      <c r="GF36" s="15"/>
      <c r="GG36" s="15"/>
      <c r="GH36" s="15"/>
      <c r="GI36" s="15"/>
      <c r="GJ36" s="15"/>
      <c r="GK36" s="15"/>
      <c r="GL36" s="184"/>
      <c r="GM36" s="15"/>
      <c r="GN36" s="15"/>
      <c r="GO36" s="15"/>
      <c r="GP36" s="15"/>
      <c r="GQ36" s="15"/>
      <c r="GR36" s="15"/>
      <c r="GS36" s="184"/>
      <c r="GT36" s="15"/>
      <c r="GU36" s="15"/>
      <c r="GV36" s="15"/>
      <c r="GW36" s="15"/>
      <c r="GX36" s="15"/>
      <c r="GY36" s="15"/>
      <c r="GZ36" s="184"/>
      <c r="HA36" s="15"/>
      <c r="HB36" s="15"/>
      <c r="HC36" s="15"/>
      <c r="HD36" s="15"/>
      <c r="HE36" s="15"/>
      <c r="HF36" s="15"/>
      <c r="HG36" s="184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</row>
    <row r="37" spans="2:390" ht="19.5" customHeight="1" x14ac:dyDescent="0.45">
      <c r="B37" s="1">
        <f>+B36</f>
        <v>1</v>
      </c>
      <c r="C37" s="1">
        <f>+C36</f>
        <v>13</v>
      </c>
      <c r="D37" s="1">
        <f>+D36+1</f>
        <v>1</v>
      </c>
      <c r="E37" s="59" t="str">
        <f t="shared" si="26"/>
        <v>1.13.1</v>
      </c>
      <c r="F37" s="23" t="s">
        <v>59</v>
      </c>
      <c r="G37" s="191" t="s">
        <v>147</v>
      </c>
      <c r="H37" s="52" t="s">
        <v>117</v>
      </c>
      <c r="I37" s="52" t="s">
        <v>157</v>
      </c>
      <c r="J37" s="62">
        <v>1</v>
      </c>
      <c r="K37" s="62">
        <v>0</v>
      </c>
      <c r="L37" s="63">
        <f>+J37-K37</f>
        <v>1</v>
      </c>
      <c r="M37" s="20">
        <v>4</v>
      </c>
      <c r="N37" s="20">
        <v>18</v>
      </c>
      <c r="O37" s="51">
        <f>+N37*M37</f>
        <v>72</v>
      </c>
      <c r="P37" s="51">
        <f>+SUM(AA37:NZ37)</f>
        <v>72</v>
      </c>
      <c r="Q37" s="51">
        <f>+O37-P37</f>
        <v>0</v>
      </c>
      <c r="R37" s="153">
        <v>46076</v>
      </c>
      <c r="S37" s="154">
        <v>15</v>
      </c>
      <c r="T37" s="155">
        <f t="shared" si="30"/>
        <v>46094</v>
      </c>
      <c r="U37" s="164">
        <f>+K37/J37</f>
        <v>0</v>
      </c>
      <c r="V37" s="200">
        <f t="shared" si="31"/>
        <v>0</v>
      </c>
      <c r="W37" s="158">
        <f t="shared" si="33"/>
        <v>0</v>
      </c>
      <c r="X37" s="159">
        <f t="shared" si="34"/>
        <v>0</v>
      </c>
      <c r="Y37" s="199">
        <f t="shared" si="32"/>
        <v>0</v>
      </c>
      <c r="Z37" s="36"/>
      <c r="AA37" s="15"/>
      <c r="AB37" s="15"/>
      <c r="AC37" s="15"/>
      <c r="AD37" s="15"/>
      <c r="AE37" s="15"/>
      <c r="AF37" s="15"/>
      <c r="AG37" s="184"/>
      <c r="AH37" s="15"/>
      <c r="AI37" s="15"/>
      <c r="AJ37" s="15"/>
      <c r="AK37" s="15"/>
      <c r="AL37" s="15"/>
      <c r="AM37" s="15"/>
      <c r="AN37" s="184"/>
      <c r="AO37" s="15"/>
      <c r="AP37" s="15"/>
      <c r="AQ37" s="15"/>
      <c r="AR37" s="15"/>
      <c r="AS37" s="15"/>
      <c r="AT37" s="15"/>
      <c r="AU37" s="184"/>
      <c r="AV37" s="15"/>
      <c r="AW37" s="15"/>
      <c r="AX37" s="15"/>
      <c r="AY37" s="15"/>
      <c r="AZ37" s="15"/>
      <c r="BA37" s="15"/>
      <c r="BB37" s="184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84"/>
      <c r="CE37" s="15"/>
      <c r="CF37" s="15"/>
      <c r="CG37" s="15"/>
      <c r="CH37" s="15"/>
      <c r="CI37" s="15"/>
      <c r="CJ37" s="15"/>
      <c r="CK37" s="184"/>
      <c r="CL37" s="15"/>
      <c r="CM37" s="15"/>
      <c r="CN37" s="15"/>
      <c r="CO37" s="15"/>
      <c r="CP37" s="15"/>
      <c r="CQ37" s="15"/>
      <c r="CR37" s="184"/>
      <c r="CS37" s="15"/>
      <c r="CT37" s="15"/>
      <c r="CU37" s="15"/>
      <c r="CV37" s="15"/>
      <c r="CW37" s="15"/>
      <c r="CX37" s="15"/>
      <c r="CY37" s="184"/>
      <c r="CZ37" s="15"/>
      <c r="DA37" s="15"/>
      <c r="DB37" s="15"/>
      <c r="DC37" s="15"/>
      <c r="DD37" s="15"/>
      <c r="DE37" s="15"/>
      <c r="DF37" s="184"/>
      <c r="DG37" s="15"/>
      <c r="DH37" s="15"/>
      <c r="DI37" s="15"/>
      <c r="DJ37" s="15"/>
      <c r="DK37" s="15"/>
      <c r="DL37" s="15"/>
      <c r="DM37" s="184"/>
      <c r="DN37" s="15">
        <v>4</v>
      </c>
      <c r="DO37" s="15">
        <v>4</v>
      </c>
      <c r="DP37" s="15">
        <v>4</v>
      </c>
      <c r="DQ37" s="15">
        <v>4</v>
      </c>
      <c r="DR37" s="15">
        <v>4</v>
      </c>
      <c r="DS37" s="15">
        <v>4</v>
      </c>
      <c r="DT37" s="184"/>
      <c r="DU37" s="15">
        <v>4</v>
      </c>
      <c r="DV37" s="15">
        <v>4</v>
      </c>
      <c r="DW37" s="15">
        <v>4</v>
      </c>
      <c r="DX37" s="15">
        <v>4</v>
      </c>
      <c r="DY37" s="15">
        <v>4</v>
      </c>
      <c r="DZ37" s="15">
        <v>4</v>
      </c>
      <c r="EA37" s="184"/>
      <c r="EB37" s="15">
        <v>4</v>
      </c>
      <c r="EC37" s="15">
        <v>4</v>
      </c>
      <c r="ED37" s="15">
        <v>4</v>
      </c>
      <c r="EE37" s="15">
        <v>4</v>
      </c>
      <c r="EF37" s="15">
        <v>4</v>
      </c>
      <c r="EG37" s="15">
        <v>4</v>
      </c>
      <c r="EH37" s="184"/>
      <c r="EI37" s="15"/>
      <c r="EJ37" s="15"/>
      <c r="EK37" s="15"/>
      <c r="EL37" s="15"/>
      <c r="EM37" s="15"/>
      <c r="EN37" s="15"/>
      <c r="EO37" s="184"/>
      <c r="EP37" s="15"/>
      <c r="EQ37" s="15"/>
      <c r="ER37" s="15"/>
      <c r="ES37" s="15"/>
      <c r="ET37" s="15"/>
      <c r="EU37" s="15"/>
      <c r="EV37" s="184"/>
      <c r="EW37" s="15"/>
      <c r="EX37" s="15"/>
      <c r="EY37" s="15"/>
      <c r="EZ37" s="15"/>
      <c r="FA37" s="15"/>
      <c r="FB37" s="15"/>
      <c r="FC37" s="184"/>
      <c r="FD37" s="15"/>
      <c r="FE37" s="15"/>
      <c r="FF37" s="15"/>
      <c r="FG37" s="15"/>
      <c r="FH37" s="15"/>
      <c r="FI37" s="15"/>
      <c r="FJ37" s="184"/>
      <c r="FK37" s="15"/>
      <c r="FL37" s="15"/>
      <c r="FM37" s="15"/>
      <c r="FN37" s="15"/>
      <c r="FO37" s="15"/>
      <c r="FP37" s="15"/>
      <c r="FQ37" s="184"/>
      <c r="FR37" s="15"/>
      <c r="FS37" s="15"/>
      <c r="FT37" s="15"/>
      <c r="FU37" s="15"/>
      <c r="FV37" s="15"/>
      <c r="FW37" s="178"/>
      <c r="FX37" s="184"/>
      <c r="FY37" s="181"/>
      <c r="FZ37" s="15"/>
      <c r="GA37" s="15"/>
      <c r="GB37" s="15"/>
      <c r="GC37" s="15"/>
      <c r="GD37" s="15"/>
      <c r="GE37" s="184"/>
      <c r="GF37" s="15"/>
      <c r="GG37" s="15"/>
      <c r="GH37" s="15"/>
      <c r="GI37" s="15"/>
      <c r="GJ37" s="15"/>
      <c r="GK37" s="15"/>
      <c r="GL37" s="184"/>
      <c r="GM37" s="15"/>
      <c r="GN37" s="15"/>
      <c r="GO37" s="15"/>
      <c r="GP37" s="15"/>
      <c r="GQ37" s="15"/>
      <c r="GR37" s="15"/>
      <c r="GS37" s="184"/>
      <c r="GT37" s="15"/>
      <c r="GU37" s="15"/>
      <c r="GV37" s="15"/>
      <c r="GW37" s="15"/>
      <c r="GX37" s="15"/>
      <c r="GY37" s="15"/>
      <c r="GZ37" s="184"/>
      <c r="HA37" s="15"/>
      <c r="HB37" s="15"/>
      <c r="HC37" s="15"/>
      <c r="HD37" s="15"/>
      <c r="HE37" s="15"/>
      <c r="HF37" s="15"/>
      <c r="HG37" s="184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</row>
    <row r="38" spans="2:390" ht="19.5" customHeight="1" x14ac:dyDescent="0.45">
      <c r="B38" s="1">
        <f t="shared" ref="B38:B43" si="42">+B37</f>
        <v>1</v>
      </c>
      <c r="C38" s="1">
        <f>+C37</f>
        <v>13</v>
      </c>
      <c r="D38" s="1">
        <f>+D37+1</f>
        <v>2</v>
      </c>
      <c r="E38" s="59" t="str">
        <f t="shared" si="26"/>
        <v>1.13.2</v>
      </c>
      <c r="F38" s="23" t="s">
        <v>60</v>
      </c>
      <c r="G38" s="191" t="s">
        <v>147</v>
      </c>
      <c r="H38" s="52" t="s">
        <v>117</v>
      </c>
      <c r="I38" s="52" t="s">
        <v>157</v>
      </c>
      <c r="J38" s="62">
        <v>1</v>
      </c>
      <c r="K38" s="62">
        <v>0</v>
      </c>
      <c r="L38" s="63">
        <f>+J38-K38</f>
        <v>1</v>
      </c>
      <c r="M38" s="20">
        <v>4</v>
      </c>
      <c r="N38" s="20">
        <v>18</v>
      </c>
      <c r="O38" s="51">
        <f>+N38*M38</f>
        <v>72</v>
      </c>
      <c r="P38" s="51">
        <f>+SUM(AA38:NZ38)</f>
        <v>72</v>
      </c>
      <c r="Q38" s="51">
        <f>+O38-P38</f>
        <v>0</v>
      </c>
      <c r="R38" s="153">
        <v>46090</v>
      </c>
      <c r="S38" s="154">
        <v>15</v>
      </c>
      <c r="T38" s="155">
        <f t="shared" si="30"/>
        <v>46108</v>
      </c>
      <c r="U38" s="164">
        <f>+K38/J38</f>
        <v>0</v>
      </c>
      <c r="V38" s="200">
        <f t="shared" si="31"/>
        <v>0</v>
      </c>
      <c r="W38" s="158">
        <f t="shared" si="33"/>
        <v>0</v>
      </c>
      <c r="X38" s="159">
        <f t="shared" si="34"/>
        <v>0</v>
      </c>
      <c r="Y38" s="199">
        <f t="shared" si="32"/>
        <v>0</v>
      </c>
      <c r="Z38" s="36"/>
      <c r="AA38" s="15"/>
      <c r="AB38" s="15"/>
      <c r="AC38" s="15"/>
      <c r="AD38" s="15"/>
      <c r="AE38" s="15"/>
      <c r="AF38" s="15"/>
      <c r="AG38" s="184"/>
      <c r="AH38" s="15"/>
      <c r="AI38" s="15"/>
      <c r="AJ38" s="15"/>
      <c r="AK38" s="15"/>
      <c r="AL38" s="15"/>
      <c r="AM38" s="15"/>
      <c r="AN38" s="184"/>
      <c r="AO38" s="15"/>
      <c r="AP38" s="15"/>
      <c r="AQ38" s="15"/>
      <c r="AR38" s="15"/>
      <c r="AS38" s="15"/>
      <c r="AT38" s="15"/>
      <c r="AU38" s="184"/>
      <c r="AV38" s="15"/>
      <c r="AW38" s="15"/>
      <c r="AX38" s="15"/>
      <c r="AY38" s="15"/>
      <c r="AZ38" s="15"/>
      <c r="BA38" s="15"/>
      <c r="BB38" s="184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84"/>
      <c r="CE38" s="15"/>
      <c r="CF38" s="15"/>
      <c r="CG38" s="15"/>
      <c r="CH38" s="15"/>
      <c r="CI38" s="15"/>
      <c r="CJ38" s="15"/>
      <c r="CK38" s="184"/>
      <c r="CL38" s="15"/>
      <c r="CM38" s="15"/>
      <c r="CN38" s="15"/>
      <c r="CO38" s="15"/>
      <c r="CP38" s="15"/>
      <c r="CQ38" s="15"/>
      <c r="CR38" s="184"/>
      <c r="CS38" s="15"/>
      <c r="CT38" s="15"/>
      <c r="CU38" s="15"/>
      <c r="CV38" s="15"/>
      <c r="CW38" s="15"/>
      <c r="CX38" s="15"/>
      <c r="CY38" s="184"/>
      <c r="CZ38" s="15"/>
      <c r="DA38" s="15"/>
      <c r="DB38" s="15"/>
      <c r="DC38" s="15"/>
      <c r="DD38" s="15"/>
      <c r="DE38" s="15"/>
      <c r="DF38" s="184"/>
      <c r="DG38" s="15"/>
      <c r="DH38" s="15"/>
      <c r="DI38" s="15"/>
      <c r="DJ38" s="15"/>
      <c r="DK38" s="15"/>
      <c r="DL38" s="15"/>
      <c r="DM38" s="184"/>
      <c r="DN38" s="15"/>
      <c r="DO38" s="15"/>
      <c r="DP38" s="15"/>
      <c r="DQ38" s="15"/>
      <c r="DR38" s="15"/>
      <c r="DS38" s="15"/>
      <c r="DT38" s="184"/>
      <c r="DU38" s="15"/>
      <c r="DV38" s="15"/>
      <c r="DW38" s="15"/>
      <c r="DX38" s="15"/>
      <c r="DY38" s="15"/>
      <c r="DZ38" s="15"/>
      <c r="EA38" s="184"/>
      <c r="EB38" s="15">
        <v>4</v>
      </c>
      <c r="EC38" s="15">
        <v>4</v>
      </c>
      <c r="ED38" s="15">
        <v>4</v>
      </c>
      <c r="EE38" s="15">
        <v>4</v>
      </c>
      <c r="EF38" s="15">
        <v>4</v>
      </c>
      <c r="EG38" s="15">
        <v>4</v>
      </c>
      <c r="EH38" s="184"/>
      <c r="EI38" s="15">
        <v>4</v>
      </c>
      <c r="EJ38" s="15">
        <v>4</v>
      </c>
      <c r="EK38" s="15">
        <v>4</v>
      </c>
      <c r="EL38" s="15">
        <v>4</v>
      </c>
      <c r="EM38" s="15">
        <v>4</v>
      </c>
      <c r="EN38" s="15">
        <v>4</v>
      </c>
      <c r="EO38" s="184"/>
      <c r="EP38" s="15">
        <v>4</v>
      </c>
      <c r="EQ38" s="15">
        <v>4</v>
      </c>
      <c r="ER38" s="15">
        <v>4</v>
      </c>
      <c r="ES38" s="15">
        <v>4</v>
      </c>
      <c r="ET38" s="15">
        <v>4</v>
      </c>
      <c r="EU38" s="15">
        <v>4</v>
      </c>
      <c r="EV38" s="184"/>
      <c r="EW38" s="15"/>
      <c r="EX38" s="15"/>
      <c r="EY38" s="15"/>
      <c r="EZ38" s="15"/>
      <c r="FA38" s="15"/>
      <c r="FB38" s="15"/>
      <c r="FC38" s="184"/>
      <c r="FD38" s="15"/>
      <c r="FE38" s="15"/>
      <c r="FF38" s="15"/>
      <c r="FG38" s="15"/>
      <c r="FH38" s="15"/>
      <c r="FI38" s="15"/>
      <c r="FJ38" s="184"/>
      <c r="FK38" s="15"/>
      <c r="FL38" s="15"/>
      <c r="FM38" s="15"/>
      <c r="FN38" s="15"/>
      <c r="FO38" s="15"/>
      <c r="FP38" s="15"/>
      <c r="FQ38" s="184"/>
      <c r="FR38" s="15"/>
      <c r="FS38" s="15"/>
      <c r="FT38" s="15"/>
      <c r="FU38" s="15"/>
      <c r="FV38" s="15"/>
      <c r="FW38" s="178"/>
      <c r="FX38" s="184"/>
      <c r="FY38" s="181"/>
      <c r="FZ38" s="15"/>
      <c r="GA38" s="15"/>
      <c r="GB38" s="15"/>
      <c r="GC38" s="15"/>
      <c r="GD38" s="15"/>
      <c r="GE38" s="184"/>
      <c r="GF38" s="15"/>
      <c r="GG38" s="15"/>
      <c r="GH38" s="15"/>
      <c r="GI38" s="15"/>
      <c r="GJ38" s="15"/>
      <c r="GK38" s="15"/>
      <c r="GL38" s="184"/>
      <c r="GM38" s="15"/>
      <c r="GN38" s="15"/>
      <c r="GO38" s="15"/>
      <c r="GP38" s="15"/>
      <c r="GQ38" s="15"/>
      <c r="GR38" s="15"/>
      <c r="GS38" s="184"/>
      <c r="GT38" s="15"/>
      <c r="GU38" s="15"/>
      <c r="GV38" s="15"/>
      <c r="GW38" s="15"/>
      <c r="GX38" s="15"/>
      <c r="GY38" s="15"/>
      <c r="GZ38" s="184"/>
      <c r="HA38" s="15"/>
      <c r="HB38" s="15"/>
      <c r="HC38" s="15"/>
      <c r="HD38" s="15"/>
      <c r="HE38" s="15"/>
      <c r="HF38" s="15"/>
      <c r="HG38" s="184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</row>
    <row r="39" spans="2:390" ht="19.5" customHeight="1" x14ac:dyDescent="0.45">
      <c r="B39" s="1">
        <f t="shared" si="42"/>
        <v>1</v>
      </c>
      <c r="C39" s="1">
        <f>+C38</f>
        <v>13</v>
      </c>
      <c r="D39" s="1">
        <f>+D38+1</f>
        <v>3</v>
      </c>
      <c r="E39" s="59" t="str">
        <f t="shared" si="26"/>
        <v>1.13.3</v>
      </c>
      <c r="F39" s="23" t="s">
        <v>34</v>
      </c>
      <c r="G39" s="191" t="s">
        <v>147</v>
      </c>
      <c r="H39" s="52" t="s">
        <v>117</v>
      </c>
      <c r="I39" s="52" t="s">
        <v>157</v>
      </c>
      <c r="J39" s="62">
        <v>1</v>
      </c>
      <c r="K39" s="62">
        <v>0</v>
      </c>
      <c r="L39" s="63">
        <f>+J39-K39</f>
        <v>1</v>
      </c>
      <c r="M39" s="20">
        <v>6</v>
      </c>
      <c r="N39" s="20">
        <v>18</v>
      </c>
      <c r="O39" s="51">
        <f>+N39*M39</f>
        <v>108</v>
      </c>
      <c r="P39" s="51">
        <f>+SUM(AA39:NZ39)</f>
        <v>108</v>
      </c>
      <c r="Q39" s="51">
        <f>+O39-P39</f>
        <v>0</v>
      </c>
      <c r="R39" s="153">
        <v>46097</v>
      </c>
      <c r="S39" s="154">
        <v>15</v>
      </c>
      <c r="T39" s="155">
        <f t="shared" si="30"/>
        <v>46115</v>
      </c>
      <c r="U39" s="164">
        <f>+K39/J39</f>
        <v>0</v>
      </c>
      <c r="V39" s="200">
        <f t="shared" si="31"/>
        <v>0</v>
      </c>
      <c r="W39" s="158">
        <f t="shared" si="33"/>
        <v>0</v>
      </c>
      <c r="X39" s="159">
        <f t="shared" si="34"/>
        <v>0</v>
      </c>
      <c r="Y39" s="199">
        <f t="shared" si="32"/>
        <v>0</v>
      </c>
      <c r="Z39" s="36"/>
      <c r="AA39" s="15"/>
      <c r="AB39" s="15"/>
      <c r="AC39" s="15"/>
      <c r="AD39" s="15"/>
      <c r="AE39" s="15"/>
      <c r="AF39" s="15"/>
      <c r="AG39" s="184"/>
      <c r="AH39" s="15"/>
      <c r="AI39" s="15"/>
      <c r="AJ39" s="15"/>
      <c r="AK39" s="15"/>
      <c r="AL39" s="15"/>
      <c r="AM39" s="15"/>
      <c r="AN39" s="184"/>
      <c r="AO39" s="15"/>
      <c r="AP39" s="15"/>
      <c r="AQ39" s="15"/>
      <c r="AR39" s="15"/>
      <c r="AS39" s="15"/>
      <c r="AT39" s="15"/>
      <c r="AU39" s="184"/>
      <c r="AV39" s="15"/>
      <c r="AW39" s="15"/>
      <c r="AX39" s="15"/>
      <c r="AY39" s="15"/>
      <c r="AZ39" s="15"/>
      <c r="BA39" s="15"/>
      <c r="BB39" s="184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84"/>
      <c r="CE39" s="15"/>
      <c r="CF39" s="15"/>
      <c r="CG39" s="15"/>
      <c r="CH39" s="15"/>
      <c r="CI39" s="15"/>
      <c r="CJ39" s="15"/>
      <c r="CK39" s="184"/>
      <c r="CL39" s="15"/>
      <c r="CM39" s="15"/>
      <c r="CN39" s="15"/>
      <c r="CO39" s="15"/>
      <c r="CP39" s="15"/>
      <c r="CQ39" s="15"/>
      <c r="CR39" s="184"/>
      <c r="CS39" s="15"/>
      <c r="CT39" s="15"/>
      <c r="CU39" s="15"/>
      <c r="CV39" s="15"/>
      <c r="CW39" s="15"/>
      <c r="CX39" s="15"/>
      <c r="CY39" s="184"/>
      <c r="CZ39" s="15"/>
      <c r="DA39" s="15"/>
      <c r="DB39" s="15"/>
      <c r="DC39" s="15"/>
      <c r="DD39" s="15"/>
      <c r="DE39" s="15"/>
      <c r="DF39" s="184"/>
      <c r="DG39" s="15"/>
      <c r="DH39" s="15"/>
      <c r="DI39" s="15"/>
      <c r="DJ39" s="15"/>
      <c r="DK39" s="15"/>
      <c r="DL39" s="15"/>
      <c r="DM39" s="184"/>
      <c r="DN39" s="15"/>
      <c r="DO39" s="15"/>
      <c r="DP39" s="15"/>
      <c r="DQ39" s="15"/>
      <c r="DR39" s="15"/>
      <c r="DS39" s="15"/>
      <c r="DT39" s="184"/>
      <c r="DU39" s="15"/>
      <c r="DV39" s="15"/>
      <c r="DW39" s="15"/>
      <c r="DX39" s="15"/>
      <c r="DY39" s="15"/>
      <c r="DZ39" s="15"/>
      <c r="EA39" s="184"/>
      <c r="EB39" s="15"/>
      <c r="EC39" s="15"/>
      <c r="ED39" s="15"/>
      <c r="EE39" s="15"/>
      <c r="EF39" s="15"/>
      <c r="EG39" s="15"/>
      <c r="EH39" s="184"/>
      <c r="EI39" s="15">
        <v>6</v>
      </c>
      <c r="EJ39" s="15">
        <v>6</v>
      </c>
      <c r="EK39" s="15">
        <v>6</v>
      </c>
      <c r="EL39" s="15">
        <v>6</v>
      </c>
      <c r="EM39" s="15">
        <v>6</v>
      </c>
      <c r="EN39" s="15">
        <v>6</v>
      </c>
      <c r="EO39" s="184"/>
      <c r="EP39" s="15">
        <v>6</v>
      </c>
      <c r="EQ39" s="15">
        <v>6</v>
      </c>
      <c r="ER39" s="15">
        <v>6</v>
      </c>
      <c r="ES39" s="15">
        <v>6</v>
      </c>
      <c r="ET39" s="15">
        <v>6</v>
      </c>
      <c r="EU39" s="15">
        <v>6</v>
      </c>
      <c r="EV39" s="184"/>
      <c r="EW39" s="15">
        <v>6</v>
      </c>
      <c r="EX39" s="15">
        <v>6</v>
      </c>
      <c r="EY39" s="15">
        <v>6</v>
      </c>
      <c r="EZ39" s="15">
        <v>6</v>
      </c>
      <c r="FA39" s="15">
        <v>6</v>
      </c>
      <c r="FB39" s="15">
        <v>6</v>
      </c>
      <c r="FC39" s="184"/>
      <c r="FD39" s="15"/>
      <c r="FE39" s="15"/>
      <c r="FF39" s="15"/>
      <c r="FG39" s="15"/>
      <c r="FH39" s="15"/>
      <c r="FI39" s="15"/>
      <c r="FJ39" s="184"/>
      <c r="FK39" s="15"/>
      <c r="FL39" s="15"/>
      <c r="FM39" s="15"/>
      <c r="FN39" s="15"/>
      <c r="FO39" s="15"/>
      <c r="FP39" s="15"/>
      <c r="FQ39" s="184"/>
      <c r="FR39" s="15"/>
      <c r="FS39" s="15"/>
      <c r="FT39" s="15"/>
      <c r="FU39" s="15"/>
      <c r="FV39" s="15"/>
      <c r="FW39" s="178"/>
      <c r="FX39" s="184"/>
      <c r="FY39" s="181"/>
      <c r="FZ39" s="15"/>
      <c r="GA39" s="15"/>
      <c r="GB39" s="15"/>
      <c r="GC39" s="15"/>
      <c r="GD39" s="15"/>
      <c r="GE39" s="184"/>
      <c r="GF39" s="15"/>
      <c r="GG39" s="15"/>
      <c r="GH39" s="15"/>
      <c r="GI39" s="15"/>
      <c r="GJ39" s="15"/>
      <c r="GK39" s="15"/>
      <c r="GL39" s="184"/>
      <c r="GM39" s="15"/>
      <c r="GN39" s="15"/>
      <c r="GO39" s="15"/>
      <c r="GP39" s="15"/>
      <c r="GQ39" s="15"/>
      <c r="GR39" s="15"/>
      <c r="GS39" s="184"/>
      <c r="GT39" s="15"/>
      <c r="GU39" s="15"/>
      <c r="GV39" s="15"/>
      <c r="GW39" s="15"/>
      <c r="GX39" s="15"/>
      <c r="GY39" s="15"/>
      <c r="GZ39" s="184"/>
      <c r="HA39" s="15"/>
      <c r="HB39" s="15"/>
      <c r="HC39" s="15"/>
      <c r="HD39" s="15"/>
      <c r="HE39" s="15"/>
      <c r="HF39" s="15"/>
      <c r="HG39" s="184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</row>
    <row r="40" spans="2:390" ht="19.5" customHeight="1" x14ac:dyDescent="0.45">
      <c r="B40" s="1">
        <f t="shared" si="42"/>
        <v>1</v>
      </c>
      <c r="C40" s="1">
        <f>+C39+1</f>
        <v>14</v>
      </c>
      <c r="D40" s="1">
        <v>0</v>
      </c>
      <c r="E40" s="77" t="str">
        <f t="shared" si="26"/>
        <v>1.14.0</v>
      </c>
      <c r="F40" s="78" t="s">
        <v>103</v>
      </c>
      <c r="G40" s="78"/>
      <c r="H40" s="81"/>
      <c r="I40" s="81"/>
      <c r="J40" s="74"/>
      <c r="K40" s="74"/>
      <c r="L40" s="74"/>
      <c r="M40" s="78"/>
      <c r="N40" s="78"/>
      <c r="O40" s="88"/>
      <c r="P40" s="88"/>
      <c r="Q40" s="88"/>
      <c r="R40" s="79"/>
      <c r="S40" s="80"/>
      <c r="T40" s="89" t="str">
        <f t="shared" si="30"/>
        <v/>
      </c>
      <c r="U40" s="90"/>
      <c r="V40" s="201">
        <f t="shared" si="31"/>
        <v>0</v>
      </c>
      <c r="W40" s="22"/>
      <c r="X40" s="22"/>
      <c r="Y40" s="199">
        <f t="shared" si="32"/>
        <v>0</v>
      </c>
      <c r="Z40" s="36"/>
      <c r="AA40" s="15"/>
      <c r="AB40" s="15"/>
      <c r="AC40" s="15"/>
      <c r="AD40" s="15"/>
      <c r="AE40" s="15"/>
      <c r="AF40" s="15"/>
      <c r="AG40" s="184"/>
      <c r="AH40" s="15"/>
      <c r="AI40" s="15"/>
      <c r="AJ40" s="15"/>
      <c r="AK40" s="15"/>
      <c r="AL40" s="15"/>
      <c r="AM40" s="15"/>
      <c r="AN40" s="184"/>
      <c r="AO40" s="15"/>
      <c r="AP40" s="15"/>
      <c r="AQ40" s="15"/>
      <c r="AR40" s="15"/>
      <c r="AS40" s="15"/>
      <c r="AT40" s="15"/>
      <c r="AU40" s="184"/>
      <c r="AV40" s="15"/>
      <c r="AW40" s="15"/>
      <c r="AX40" s="15"/>
      <c r="AY40" s="15"/>
      <c r="AZ40" s="15"/>
      <c r="BA40" s="15"/>
      <c r="BB40" s="184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84"/>
      <c r="CE40" s="15"/>
      <c r="CF40" s="15"/>
      <c r="CG40" s="15"/>
      <c r="CH40" s="15"/>
      <c r="CI40" s="15"/>
      <c r="CJ40" s="15"/>
      <c r="CK40" s="184"/>
      <c r="CL40" s="15"/>
      <c r="CM40" s="15"/>
      <c r="CN40" s="15"/>
      <c r="CO40" s="15"/>
      <c r="CP40" s="15"/>
      <c r="CQ40" s="15"/>
      <c r="CR40" s="184"/>
      <c r="CS40" s="15"/>
      <c r="CT40" s="15"/>
      <c r="CU40" s="15"/>
      <c r="CV40" s="15"/>
      <c r="CW40" s="15"/>
      <c r="CX40" s="15"/>
      <c r="CY40" s="184"/>
      <c r="CZ40" s="15"/>
      <c r="DA40" s="15"/>
      <c r="DB40" s="15"/>
      <c r="DC40" s="15"/>
      <c r="DD40" s="15"/>
      <c r="DE40" s="15"/>
      <c r="DF40" s="184"/>
      <c r="DG40" s="15"/>
      <c r="DH40" s="15"/>
      <c r="DI40" s="15"/>
      <c r="DJ40" s="15"/>
      <c r="DK40" s="15"/>
      <c r="DL40" s="15"/>
      <c r="DM40" s="184"/>
      <c r="DN40" s="15"/>
      <c r="DO40" s="15"/>
      <c r="DP40" s="15"/>
      <c r="DQ40" s="15"/>
      <c r="DR40" s="15"/>
      <c r="DS40" s="15"/>
      <c r="DT40" s="184"/>
      <c r="DU40" s="15"/>
      <c r="DV40" s="15"/>
      <c r="DW40" s="15"/>
      <c r="DX40" s="15"/>
      <c r="DY40" s="15"/>
      <c r="DZ40" s="15"/>
      <c r="EA40" s="184"/>
      <c r="EB40" s="15"/>
      <c r="EC40" s="15"/>
      <c r="ED40" s="15"/>
      <c r="EE40" s="15"/>
      <c r="EF40" s="15"/>
      <c r="EG40" s="15"/>
      <c r="EH40" s="184"/>
      <c r="EI40" s="15"/>
      <c r="EJ40" s="15"/>
      <c r="EK40" s="15"/>
      <c r="EL40" s="15"/>
      <c r="EM40" s="15"/>
      <c r="EN40" s="15"/>
      <c r="EO40" s="184"/>
      <c r="EP40" s="15"/>
      <c r="EQ40" s="15"/>
      <c r="ER40" s="15"/>
      <c r="ES40" s="15"/>
      <c r="ET40" s="15"/>
      <c r="EU40" s="15"/>
      <c r="EV40" s="184"/>
      <c r="EW40" s="15"/>
      <c r="EX40" s="15"/>
      <c r="EY40" s="15"/>
      <c r="EZ40" s="15"/>
      <c r="FA40" s="15"/>
      <c r="FB40" s="15"/>
      <c r="FC40" s="184"/>
      <c r="FD40" s="15"/>
      <c r="FE40" s="15"/>
      <c r="FF40" s="15"/>
      <c r="FG40" s="15"/>
      <c r="FH40" s="15"/>
      <c r="FI40" s="15"/>
      <c r="FJ40" s="184"/>
      <c r="FK40" s="15"/>
      <c r="FL40" s="15"/>
      <c r="FM40" s="15"/>
      <c r="FN40" s="15"/>
      <c r="FO40" s="15"/>
      <c r="FP40" s="15"/>
      <c r="FQ40" s="184"/>
      <c r="FR40" s="15"/>
      <c r="FS40" s="15"/>
      <c r="FT40" s="15"/>
      <c r="FU40" s="15"/>
      <c r="FV40" s="15"/>
      <c r="FW40" s="178"/>
      <c r="FX40" s="184"/>
      <c r="FY40" s="181"/>
      <c r="FZ40" s="15"/>
      <c r="GA40" s="15"/>
      <c r="GB40" s="15"/>
      <c r="GC40" s="15"/>
      <c r="GD40" s="15"/>
      <c r="GE40" s="184"/>
      <c r="GF40" s="15"/>
      <c r="GG40" s="15"/>
      <c r="GH40" s="15"/>
      <c r="GI40" s="15"/>
      <c r="GJ40" s="15"/>
      <c r="GK40" s="15"/>
      <c r="GL40" s="184"/>
      <c r="GM40" s="15"/>
      <c r="GN40" s="15"/>
      <c r="GO40" s="15"/>
      <c r="GP40" s="15"/>
      <c r="GQ40" s="15"/>
      <c r="GR40" s="15"/>
      <c r="GS40" s="184"/>
      <c r="GT40" s="15"/>
      <c r="GU40" s="15"/>
      <c r="GV40" s="15"/>
      <c r="GW40" s="15"/>
      <c r="GX40" s="15"/>
      <c r="GY40" s="15"/>
      <c r="GZ40" s="184"/>
      <c r="HA40" s="15"/>
      <c r="HB40" s="15"/>
      <c r="HC40" s="15"/>
      <c r="HD40" s="15"/>
      <c r="HE40" s="15"/>
      <c r="HF40" s="15"/>
      <c r="HG40" s="184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</row>
    <row r="41" spans="2:390" ht="19.5" customHeight="1" x14ac:dyDescent="0.45">
      <c r="B41" s="1">
        <f t="shared" si="42"/>
        <v>1</v>
      </c>
      <c r="C41" s="1">
        <f>+C40</f>
        <v>14</v>
      </c>
      <c r="D41" s="1">
        <f>+D40+1</f>
        <v>1</v>
      </c>
      <c r="E41" s="91" t="str">
        <f t="shared" si="26"/>
        <v>1.14.1</v>
      </c>
      <c r="F41" s="82" t="s">
        <v>104</v>
      </c>
      <c r="G41" s="82"/>
      <c r="H41" s="83" t="s">
        <v>117</v>
      </c>
      <c r="I41" s="83"/>
      <c r="J41" s="83"/>
      <c r="K41" s="83"/>
      <c r="L41" s="74"/>
      <c r="M41" s="80">
        <v>0</v>
      </c>
      <c r="N41" s="80">
        <v>0</v>
      </c>
      <c r="O41" s="88">
        <f>+N41*M41</f>
        <v>0</v>
      </c>
      <c r="P41" s="88"/>
      <c r="Q41" s="88"/>
      <c r="R41" s="79"/>
      <c r="S41" s="80"/>
      <c r="T41" s="89" t="str">
        <f t="shared" si="30"/>
        <v/>
      </c>
      <c r="U41" s="90"/>
      <c r="V41" s="201">
        <f t="shared" si="31"/>
        <v>0</v>
      </c>
      <c r="W41" s="22"/>
      <c r="X41" s="22"/>
      <c r="Y41" s="199">
        <f t="shared" si="32"/>
        <v>0</v>
      </c>
      <c r="Z41" s="36"/>
      <c r="AA41" s="15"/>
      <c r="AB41" s="15"/>
      <c r="AC41" s="15"/>
      <c r="AD41" s="15"/>
      <c r="AE41" s="15"/>
      <c r="AF41" s="15"/>
      <c r="AG41" s="184"/>
      <c r="AH41" s="15"/>
      <c r="AI41" s="15"/>
      <c r="AJ41" s="15"/>
      <c r="AK41" s="15"/>
      <c r="AL41" s="15"/>
      <c r="AM41" s="15"/>
      <c r="AN41" s="184"/>
      <c r="AO41" s="15"/>
      <c r="AP41" s="15"/>
      <c r="AQ41" s="15"/>
      <c r="AR41" s="15"/>
      <c r="AS41" s="15"/>
      <c r="AT41" s="15"/>
      <c r="AU41" s="184"/>
      <c r="AV41" s="15"/>
      <c r="AW41" s="15"/>
      <c r="AX41" s="15"/>
      <c r="AY41" s="15"/>
      <c r="AZ41" s="15"/>
      <c r="BA41" s="15"/>
      <c r="BB41" s="184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84"/>
      <c r="CE41" s="15"/>
      <c r="CF41" s="15"/>
      <c r="CG41" s="15"/>
      <c r="CH41" s="15"/>
      <c r="CI41" s="15"/>
      <c r="CJ41" s="15"/>
      <c r="CK41" s="184"/>
      <c r="CL41" s="15"/>
      <c r="CM41" s="15"/>
      <c r="CN41" s="15"/>
      <c r="CO41" s="15"/>
      <c r="CP41" s="15"/>
      <c r="CQ41" s="15"/>
      <c r="CR41" s="184"/>
      <c r="CS41" s="15"/>
      <c r="CT41" s="15"/>
      <c r="CU41" s="15"/>
      <c r="CV41" s="15"/>
      <c r="CW41" s="15"/>
      <c r="CX41" s="15"/>
      <c r="CY41" s="184"/>
      <c r="CZ41" s="15"/>
      <c r="DA41" s="15"/>
      <c r="DB41" s="15"/>
      <c r="DC41" s="15"/>
      <c r="DD41" s="15"/>
      <c r="DE41" s="15"/>
      <c r="DF41" s="184"/>
      <c r="DG41" s="15"/>
      <c r="DH41" s="15"/>
      <c r="DI41" s="15"/>
      <c r="DJ41" s="15"/>
      <c r="DK41" s="15"/>
      <c r="DL41" s="15"/>
      <c r="DM41" s="184"/>
      <c r="DN41" s="15"/>
      <c r="DO41" s="15"/>
      <c r="DP41" s="15"/>
      <c r="DQ41" s="15"/>
      <c r="DR41" s="15"/>
      <c r="DS41" s="15"/>
      <c r="DT41" s="184"/>
      <c r="DU41" s="15"/>
      <c r="DV41" s="15"/>
      <c r="DW41" s="15"/>
      <c r="DX41" s="15"/>
      <c r="DY41" s="15"/>
      <c r="DZ41" s="15"/>
      <c r="EA41" s="184"/>
      <c r="EB41" s="15"/>
      <c r="EC41" s="15"/>
      <c r="ED41" s="15"/>
      <c r="EE41" s="15"/>
      <c r="EF41" s="15"/>
      <c r="EG41" s="15"/>
      <c r="EH41" s="184"/>
      <c r="EI41" s="15"/>
      <c r="EJ41" s="15"/>
      <c r="EK41" s="15"/>
      <c r="EL41" s="15"/>
      <c r="EM41" s="15"/>
      <c r="EN41" s="15"/>
      <c r="EO41" s="184"/>
      <c r="EP41" s="15"/>
      <c r="EQ41" s="15"/>
      <c r="ER41" s="15"/>
      <c r="ES41" s="15"/>
      <c r="ET41" s="15"/>
      <c r="EU41" s="15"/>
      <c r="EV41" s="184"/>
      <c r="EW41" s="15"/>
      <c r="EX41" s="15"/>
      <c r="EY41" s="15"/>
      <c r="EZ41" s="15"/>
      <c r="FA41" s="15"/>
      <c r="FB41" s="15"/>
      <c r="FC41" s="184"/>
      <c r="FD41" s="15"/>
      <c r="FE41" s="15"/>
      <c r="FF41" s="15"/>
      <c r="FG41" s="15"/>
      <c r="FH41" s="15"/>
      <c r="FI41" s="15"/>
      <c r="FJ41" s="184"/>
      <c r="FK41" s="15"/>
      <c r="FL41" s="15"/>
      <c r="FM41" s="15"/>
      <c r="FN41" s="15"/>
      <c r="FO41" s="15"/>
      <c r="FP41" s="15"/>
      <c r="FQ41" s="184"/>
      <c r="FR41" s="15"/>
      <c r="FS41" s="15"/>
      <c r="FT41" s="15"/>
      <c r="FU41" s="15"/>
      <c r="FV41" s="15"/>
      <c r="FW41" s="178"/>
      <c r="FX41" s="184"/>
      <c r="FY41" s="181"/>
      <c r="FZ41" s="15"/>
      <c r="GA41" s="15"/>
      <c r="GB41" s="15"/>
      <c r="GC41" s="15"/>
      <c r="GD41" s="15"/>
      <c r="GE41" s="184"/>
      <c r="GF41" s="15"/>
      <c r="GG41" s="15"/>
      <c r="GH41" s="15"/>
      <c r="GI41" s="15"/>
      <c r="GJ41" s="15"/>
      <c r="GK41" s="15"/>
      <c r="GL41" s="184"/>
      <c r="GM41" s="15"/>
      <c r="GN41" s="15"/>
      <c r="GO41" s="15"/>
      <c r="GP41" s="15"/>
      <c r="GQ41" s="15"/>
      <c r="GR41" s="15"/>
      <c r="GS41" s="184"/>
      <c r="GT41" s="15"/>
      <c r="GU41" s="15"/>
      <c r="GV41" s="15"/>
      <c r="GW41" s="15"/>
      <c r="GX41" s="15"/>
      <c r="GY41" s="15"/>
      <c r="GZ41" s="184"/>
      <c r="HA41" s="15"/>
      <c r="HB41" s="15"/>
      <c r="HC41" s="15"/>
      <c r="HD41" s="15"/>
      <c r="HE41" s="15"/>
      <c r="HF41" s="15"/>
      <c r="HG41" s="184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</row>
    <row r="42" spans="2:390" ht="19.5" customHeight="1" x14ac:dyDescent="0.45">
      <c r="B42" s="1">
        <f t="shared" si="42"/>
        <v>1</v>
      </c>
      <c r="C42" s="1">
        <f>+C41</f>
        <v>14</v>
      </c>
      <c r="D42" s="1">
        <f>+D41+1</f>
        <v>2</v>
      </c>
      <c r="E42" s="91" t="str">
        <f t="shared" si="26"/>
        <v>1.14.2</v>
      </c>
      <c r="F42" s="82" t="s">
        <v>105</v>
      </c>
      <c r="G42" s="82"/>
      <c r="H42" s="83" t="s">
        <v>117</v>
      </c>
      <c r="I42" s="83"/>
      <c r="J42" s="83"/>
      <c r="K42" s="83"/>
      <c r="L42" s="74"/>
      <c r="M42" s="80">
        <v>0</v>
      </c>
      <c r="N42" s="80">
        <v>0</v>
      </c>
      <c r="O42" s="88">
        <f>+N42*M42</f>
        <v>0</v>
      </c>
      <c r="P42" s="88"/>
      <c r="Q42" s="88"/>
      <c r="R42" s="79"/>
      <c r="S42" s="80"/>
      <c r="T42" s="89" t="str">
        <f t="shared" si="30"/>
        <v/>
      </c>
      <c r="U42" s="90"/>
      <c r="V42" s="201">
        <f t="shared" si="31"/>
        <v>0</v>
      </c>
      <c r="W42" s="22"/>
      <c r="X42" s="22"/>
      <c r="Y42" s="199">
        <f t="shared" si="32"/>
        <v>0</v>
      </c>
      <c r="Z42" s="36"/>
      <c r="AA42" s="15"/>
      <c r="AB42" s="15"/>
      <c r="AC42" s="15"/>
      <c r="AD42" s="15"/>
      <c r="AE42" s="15"/>
      <c r="AF42" s="15"/>
      <c r="AG42" s="184"/>
      <c r="AH42" s="15"/>
      <c r="AI42" s="15"/>
      <c r="AJ42" s="15"/>
      <c r="AK42" s="15"/>
      <c r="AL42" s="15"/>
      <c r="AM42" s="15"/>
      <c r="AN42" s="184"/>
      <c r="AO42" s="15"/>
      <c r="AP42" s="15"/>
      <c r="AQ42" s="15"/>
      <c r="AR42" s="15"/>
      <c r="AS42" s="15"/>
      <c r="AT42" s="15"/>
      <c r="AU42" s="184"/>
      <c r="AV42" s="15"/>
      <c r="AW42" s="15"/>
      <c r="AX42" s="15"/>
      <c r="AY42" s="15"/>
      <c r="AZ42" s="15"/>
      <c r="BA42" s="15"/>
      <c r="BB42" s="184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84"/>
      <c r="CE42" s="15"/>
      <c r="CF42" s="15"/>
      <c r="CG42" s="15"/>
      <c r="CH42" s="15"/>
      <c r="CI42" s="15"/>
      <c r="CJ42" s="15"/>
      <c r="CK42" s="184"/>
      <c r="CL42" s="15"/>
      <c r="CM42" s="15"/>
      <c r="CN42" s="15"/>
      <c r="CO42" s="15"/>
      <c r="CP42" s="15"/>
      <c r="CQ42" s="15"/>
      <c r="CR42" s="184"/>
      <c r="CS42" s="15"/>
      <c r="CT42" s="15"/>
      <c r="CU42" s="15"/>
      <c r="CV42" s="15"/>
      <c r="CW42" s="15"/>
      <c r="CX42" s="15"/>
      <c r="CY42" s="184"/>
      <c r="CZ42" s="15"/>
      <c r="DA42" s="15"/>
      <c r="DB42" s="15"/>
      <c r="DC42" s="15"/>
      <c r="DD42" s="15"/>
      <c r="DE42" s="15"/>
      <c r="DF42" s="184"/>
      <c r="DG42" s="15"/>
      <c r="DH42" s="15"/>
      <c r="DI42" s="15"/>
      <c r="DJ42" s="15"/>
      <c r="DK42" s="15"/>
      <c r="DL42" s="15"/>
      <c r="DM42" s="184"/>
      <c r="DN42" s="15"/>
      <c r="DO42" s="15"/>
      <c r="DP42" s="15"/>
      <c r="DQ42" s="15"/>
      <c r="DR42" s="15"/>
      <c r="DS42" s="15"/>
      <c r="DT42" s="184"/>
      <c r="DU42" s="15"/>
      <c r="DV42" s="15"/>
      <c r="DW42" s="15"/>
      <c r="DX42" s="15"/>
      <c r="DY42" s="15"/>
      <c r="DZ42" s="15"/>
      <c r="EA42" s="184"/>
      <c r="EB42" s="15"/>
      <c r="EC42" s="15"/>
      <c r="ED42" s="15"/>
      <c r="EE42" s="15"/>
      <c r="EF42" s="15"/>
      <c r="EG42" s="15"/>
      <c r="EH42" s="184"/>
      <c r="EI42" s="15"/>
      <c r="EJ42" s="15"/>
      <c r="EK42" s="15"/>
      <c r="EL42" s="15"/>
      <c r="EM42" s="15"/>
      <c r="EN42" s="15"/>
      <c r="EO42" s="184"/>
      <c r="EP42" s="15"/>
      <c r="EQ42" s="15"/>
      <c r="ER42" s="15"/>
      <c r="ES42" s="15"/>
      <c r="ET42" s="15"/>
      <c r="EU42" s="15"/>
      <c r="EV42" s="184"/>
      <c r="EW42" s="15"/>
      <c r="EX42" s="15"/>
      <c r="EY42" s="15"/>
      <c r="EZ42" s="15"/>
      <c r="FA42" s="15"/>
      <c r="FB42" s="15"/>
      <c r="FC42" s="184"/>
      <c r="FD42" s="15"/>
      <c r="FE42" s="15"/>
      <c r="FF42" s="15"/>
      <c r="FG42" s="15"/>
      <c r="FH42" s="15"/>
      <c r="FI42" s="15"/>
      <c r="FJ42" s="184"/>
      <c r="FK42" s="15"/>
      <c r="FL42" s="15"/>
      <c r="FM42" s="15"/>
      <c r="FN42" s="15"/>
      <c r="FO42" s="15"/>
      <c r="FP42" s="15"/>
      <c r="FQ42" s="184"/>
      <c r="FR42" s="15"/>
      <c r="FS42" s="15"/>
      <c r="FT42" s="15"/>
      <c r="FU42" s="15"/>
      <c r="FV42" s="15"/>
      <c r="FW42" s="178"/>
      <c r="FX42" s="184"/>
      <c r="FY42" s="181"/>
      <c r="FZ42" s="15"/>
      <c r="GA42" s="15"/>
      <c r="GB42" s="15"/>
      <c r="GC42" s="15"/>
      <c r="GD42" s="15"/>
      <c r="GE42" s="184"/>
      <c r="GF42" s="15"/>
      <c r="GG42" s="15"/>
      <c r="GH42" s="15"/>
      <c r="GI42" s="15"/>
      <c r="GJ42" s="15"/>
      <c r="GK42" s="15"/>
      <c r="GL42" s="184"/>
      <c r="GM42" s="15"/>
      <c r="GN42" s="15"/>
      <c r="GO42" s="15"/>
      <c r="GP42" s="15"/>
      <c r="GQ42" s="15"/>
      <c r="GR42" s="15"/>
      <c r="GS42" s="184"/>
      <c r="GT42" s="15"/>
      <c r="GU42" s="15"/>
      <c r="GV42" s="15"/>
      <c r="GW42" s="15"/>
      <c r="GX42" s="15"/>
      <c r="GY42" s="15"/>
      <c r="GZ42" s="184"/>
      <c r="HA42" s="15"/>
      <c r="HB42" s="15"/>
      <c r="HC42" s="15"/>
      <c r="HD42" s="15"/>
      <c r="HE42" s="15"/>
      <c r="HF42" s="15"/>
      <c r="HG42" s="184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</row>
    <row r="43" spans="2:390" ht="19.5" customHeight="1" x14ac:dyDescent="0.45">
      <c r="B43" s="1">
        <f t="shared" si="42"/>
        <v>1</v>
      </c>
      <c r="C43" s="1">
        <f>+C42</f>
        <v>14</v>
      </c>
      <c r="D43" s="1">
        <f>+D42+1</f>
        <v>3</v>
      </c>
      <c r="E43" s="91" t="str">
        <f t="shared" si="26"/>
        <v>1.14.3</v>
      </c>
      <c r="F43" s="82" t="s">
        <v>106</v>
      </c>
      <c r="G43" s="82"/>
      <c r="H43" s="83" t="s">
        <v>117</v>
      </c>
      <c r="I43" s="83"/>
      <c r="J43" s="83"/>
      <c r="K43" s="83"/>
      <c r="L43" s="74"/>
      <c r="M43" s="80">
        <v>0</v>
      </c>
      <c r="N43" s="80">
        <v>0</v>
      </c>
      <c r="O43" s="88">
        <f>+N43*M43</f>
        <v>0</v>
      </c>
      <c r="P43" s="88"/>
      <c r="Q43" s="88"/>
      <c r="R43" s="79"/>
      <c r="S43" s="80"/>
      <c r="T43" s="89" t="str">
        <f t="shared" si="30"/>
        <v/>
      </c>
      <c r="U43" s="90"/>
      <c r="V43" s="201">
        <f t="shared" si="31"/>
        <v>0</v>
      </c>
      <c r="W43" s="22"/>
      <c r="X43" s="22"/>
      <c r="Y43" s="199">
        <f t="shared" si="32"/>
        <v>0</v>
      </c>
      <c r="Z43" s="36"/>
      <c r="AA43" s="15"/>
      <c r="AB43" s="15"/>
      <c r="AC43" s="15"/>
      <c r="AD43" s="15"/>
      <c r="AE43" s="15"/>
      <c r="AF43" s="15"/>
      <c r="AG43" s="184"/>
      <c r="AH43" s="15"/>
      <c r="AI43" s="15"/>
      <c r="AJ43" s="15"/>
      <c r="AK43" s="15"/>
      <c r="AL43" s="15"/>
      <c r="AM43" s="15"/>
      <c r="AN43" s="184"/>
      <c r="AO43" s="15"/>
      <c r="AP43" s="15"/>
      <c r="AQ43" s="15"/>
      <c r="AR43" s="15"/>
      <c r="AS43" s="15"/>
      <c r="AT43" s="15"/>
      <c r="AU43" s="184"/>
      <c r="AV43" s="15"/>
      <c r="AW43" s="15"/>
      <c r="AX43" s="15"/>
      <c r="AY43" s="15"/>
      <c r="AZ43" s="15"/>
      <c r="BA43" s="15"/>
      <c r="BB43" s="184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84"/>
      <c r="CE43" s="15"/>
      <c r="CF43" s="15"/>
      <c r="CG43" s="15"/>
      <c r="CH43" s="15"/>
      <c r="CI43" s="15"/>
      <c r="CJ43" s="15"/>
      <c r="CK43" s="184"/>
      <c r="CL43" s="15"/>
      <c r="CM43" s="15"/>
      <c r="CN43" s="15"/>
      <c r="CO43" s="15"/>
      <c r="CP43" s="15"/>
      <c r="CQ43" s="15"/>
      <c r="CR43" s="184"/>
      <c r="CS43" s="15"/>
      <c r="CT43" s="15"/>
      <c r="CU43" s="15"/>
      <c r="CV43" s="15"/>
      <c r="CW43" s="15"/>
      <c r="CX43" s="15"/>
      <c r="CY43" s="184"/>
      <c r="CZ43" s="15"/>
      <c r="DA43" s="15"/>
      <c r="DB43" s="15"/>
      <c r="DC43" s="15"/>
      <c r="DD43" s="15"/>
      <c r="DE43" s="15"/>
      <c r="DF43" s="184"/>
      <c r="DG43" s="15"/>
      <c r="DH43" s="15"/>
      <c r="DI43" s="15"/>
      <c r="DJ43" s="15"/>
      <c r="DK43" s="15"/>
      <c r="DL43" s="15"/>
      <c r="DM43" s="184"/>
      <c r="DN43" s="15"/>
      <c r="DO43" s="15"/>
      <c r="DP43" s="15"/>
      <c r="DQ43" s="15"/>
      <c r="DR43" s="15"/>
      <c r="DS43" s="15"/>
      <c r="DT43" s="184"/>
      <c r="DU43" s="15"/>
      <c r="DV43" s="15"/>
      <c r="DW43" s="15"/>
      <c r="DX43" s="15"/>
      <c r="DY43" s="15"/>
      <c r="DZ43" s="15"/>
      <c r="EA43" s="184"/>
      <c r="EB43" s="15"/>
      <c r="EC43" s="15"/>
      <c r="ED43" s="15"/>
      <c r="EE43" s="15"/>
      <c r="EF43" s="15"/>
      <c r="EG43" s="15"/>
      <c r="EH43" s="184"/>
      <c r="EI43" s="15"/>
      <c r="EJ43" s="15"/>
      <c r="EK43" s="15"/>
      <c r="EL43" s="15"/>
      <c r="EM43" s="15"/>
      <c r="EN43" s="15"/>
      <c r="EO43" s="184"/>
      <c r="EP43" s="15"/>
      <c r="EQ43" s="15"/>
      <c r="ER43" s="15"/>
      <c r="ES43" s="15"/>
      <c r="ET43" s="15"/>
      <c r="EU43" s="15"/>
      <c r="EV43" s="184"/>
      <c r="EW43" s="15"/>
      <c r="EX43" s="15"/>
      <c r="EY43" s="15"/>
      <c r="EZ43" s="15"/>
      <c r="FA43" s="15"/>
      <c r="FB43" s="15"/>
      <c r="FC43" s="184"/>
      <c r="FD43" s="15"/>
      <c r="FE43" s="15"/>
      <c r="FF43" s="15"/>
      <c r="FG43" s="15"/>
      <c r="FH43" s="15"/>
      <c r="FI43" s="15"/>
      <c r="FJ43" s="184"/>
      <c r="FK43" s="15"/>
      <c r="FL43" s="15"/>
      <c r="FM43" s="15"/>
      <c r="FN43" s="15"/>
      <c r="FO43" s="15"/>
      <c r="FP43" s="15"/>
      <c r="FQ43" s="184"/>
      <c r="FR43" s="15"/>
      <c r="FS43" s="15"/>
      <c r="FT43" s="15"/>
      <c r="FU43" s="15"/>
      <c r="FV43" s="15"/>
      <c r="FW43" s="178"/>
      <c r="FX43" s="184"/>
      <c r="FY43" s="181"/>
      <c r="FZ43" s="15"/>
      <c r="GA43" s="15"/>
      <c r="GB43" s="15"/>
      <c r="GC43" s="15"/>
      <c r="GD43" s="15"/>
      <c r="GE43" s="184"/>
      <c r="GF43" s="15"/>
      <c r="GG43" s="15"/>
      <c r="GH43" s="15"/>
      <c r="GI43" s="15"/>
      <c r="GJ43" s="15"/>
      <c r="GK43" s="15"/>
      <c r="GL43" s="184"/>
      <c r="GM43" s="15"/>
      <c r="GN43" s="15"/>
      <c r="GO43" s="15"/>
      <c r="GP43" s="15"/>
      <c r="GQ43" s="15"/>
      <c r="GR43" s="15"/>
      <c r="GS43" s="184"/>
      <c r="GT43" s="15"/>
      <c r="GU43" s="15"/>
      <c r="GV43" s="15"/>
      <c r="GW43" s="15"/>
      <c r="GX43" s="15"/>
      <c r="GY43" s="15"/>
      <c r="GZ43" s="184"/>
      <c r="HA43" s="15"/>
      <c r="HB43" s="15"/>
      <c r="HC43" s="15"/>
      <c r="HD43" s="15"/>
      <c r="HE43" s="15"/>
      <c r="HF43" s="15"/>
      <c r="HG43" s="184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</row>
    <row r="44" spans="2:390" ht="19.5" customHeight="1" thickBot="1" x14ac:dyDescent="0.5">
      <c r="E44" s="29"/>
      <c r="F44" s="30"/>
      <c r="G44" s="30"/>
      <c r="H44" s="71"/>
      <c r="I44" s="71"/>
      <c r="J44" s="54"/>
      <c r="K44" s="54"/>
      <c r="L44" s="54"/>
      <c r="M44" s="30"/>
      <c r="N44" s="30"/>
      <c r="O44" s="30"/>
      <c r="P44" s="30"/>
      <c r="Q44" s="30"/>
      <c r="R44" s="19"/>
      <c r="S44" s="20"/>
      <c r="T44" s="21" t="str">
        <f t="shared" si="30"/>
        <v/>
      </c>
      <c r="U44" s="22"/>
      <c r="V44" s="199">
        <f t="shared" si="31"/>
        <v>0</v>
      </c>
      <c r="W44" s="22"/>
      <c r="X44" s="22"/>
      <c r="Y44" s="199">
        <f t="shared" si="32"/>
        <v>0</v>
      </c>
      <c r="Z44" s="35"/>
      <c r="AA44" s="15"/>
      <c r="AB44" s="15"/>
      <c r="AC44" s="15"/>
      <c r="AD44" s="15"/>
      <c r="AE44" s="15"/>
      <c r="AF44" s="15"/>
      <c r="AG44" s="184"/>
      <c r="AH44" s="15"/>
      <c r="AI44" s="15"/>
      <c r="AJ44" s="15"/>
      <c r="AK44" s="15"/>
      <c r="AL44" s="15"/>
      <c r="AM44" s="15"/>
      <c r="AN44" s="184"/>
      <c r="AO44" s="15"/>
      <c r="AP44" s="15"/>
      <c r="AQ44" s="15"/>
      <c r="AR44" s="15"/>
      <c r="AS44" s="15"/>
      <c r="AT44" s="15"/>
      <c r="AU44" s="184"/>
      <c r="AV44" s="15"/>
      <c r="AW44" s="15"/>
      <c r="AX44" s="15"/>
      <c r="AY44" s="15"/>
      <c r="AZ44" s="15"/>
      <c r="BA44" s="15"/>
      <c r="BB44" s="184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84"/>
      <c r="CE44" s="15"/>
      <c r="CF44" s="15"/>
      <c r="CG44" s="15"/>
      <c r="CH44" s="15"/>
      <c r="CI44" s="15"/>
      <c r="CJ44" s="15"/>
      <c r="CK44" s="184"/>
      <c r="CL44" s="15"/>
      <c r="CM44" s="15"/>
      <c r="CN44" s="15"/>
      <c r="CO44" s="15"/>
      <c r="CP44" s="15"/>
      <c r="CQ44" s="15"/>
      <c r="CR44" s="184"/>
      <c r="CS44" s="15"/>
      <c r="CT44" s="15"/>
      <c r="CU44" s="15"/>
      <c r="CV44" s="15"/>
      <c r="CW44" s="15"/>
      <c r="CX44" s="15"/>
      <c r="CY44" s="184"/>
      <c r="CZ44" s="15"/>
      <c r="DA44" s="15"/>
      <c r="DB44" s="15"/>
      <c r="DC44" s="15"/>
      <c r="DD44" s="15"/>
      <c r="DE44" s="15"/>
      <c r="DF44" s="184"/>
      <c r="DG44" s="15"/>
      <c r="DH44" s="15"/>
      <c r="DI44" s="15"/>
      <c r="DJ44" s="15"/>
      <c r="DK44" s="15"/>
      <c r="DL44" s="15"/>
      <c r="DM44" s="184"/>
      <c r="DN44" s="15"/>
      <c r="DO44" s="15"/>
      <c r="DP44" s="15"/>
      <c r="DQ44" s="15"/>
      <c r="DR44" s="15"/>
      <c r="DS44" s="15"/>
      <c r="DT44" s="184"/>
      <c r="DU44" s="15"/>
      <c r="DV44" s="15"/>
      <c r="DW44" s="15"/>
      <c r="DX44" s="15"/>
      <c r="DY44" s="15"/>
      <c r="DZ44" s="15"/>
      <c r="EA44" s="184"/>
      <c r="EB44" s="15"/>
      <c r="EC44" s="15"/>
      <c r="ED44" s="15"/>
      <c r="EE44" s="15"/>
      <c r="EF44" s="15"/>
      <c r="EG44" s="15"/>
      <c r="EH44" s="184"/>
      <c r="EI44" s="15"/>
      <c r="EJ44" s="15"/>
      <c r="EK44" s="15"/>
      <c r="EL44" s="15"/>
      <c r="EM44" s="15"/>
      <c r="EN44" s="15"/>
      <c r="EO44" s="184"/>
      <c r="EP44" s="15"/>
      <c r="EQ44" s="15"/>
      <c r="ER44" s="15"/>
      <c r="ES44" s="15"/>
      <c r="ET44" s="15"/>
      <c r="EU44" s="15"/>
      <c r="EV44" s="184"/>
      <c r="EW44" s="15"/>
      <c r="EX44" s="15"/>
      <c r="EY44" s="15"/>
      <c r="EZ44" s="15"/>
      <c r="FA44" s="15"/>
      <c r="FB44" s="15"/>
      <c r="FC44" s="184"/>
      <c r="FD44" s="15"/>
      <c r="FE44" s="15"/>
      <c r="FF44" s="15"/>
      <c r="FG44" s="15"/>
      <c r="FH44" s="15"/>
      <c r="FI44" s="15"/>
      <c r="FJ44" s="184"/>
      <c r="FK44" s="15"/>
      <c r="FL44" s="15"/>
      <c r="FM44" s="15"/>
      <c r="FN44" s="15"/>
      <c r="FO44" s="15"/>
      <c r="FP44" s="15"/>
      <c r="FQ44" s="184"/>
      <c r="FR44" s="15"/>
      <c r="FS44" s="15"/>
      <c r="FT44" s="15"/>
      <c r="FU44" s="15"/>
      <c r="FV44" s="15"/>
      <c r="FW44" s="178"/>
      <c r="FX44" s="184"/>
      <c r="FY44" s="181"/>
      <c r="FZ44" s="15"/>
      <c r="GA44" s="15"/>
      <c r="GB44" s="15"/>
      <c r="GC44" s="15"/>
      <c r="GD44" s="15"/>
      <c r="GE44" s="184"/>
      <c r="GF44" s="15"/>
      <c r="GG44" s="15"/>
      <c r="GH44" s="15"/>
      <c r="GI44" s="15"/>
      <c r="GJ44" s="15"/>
      <c r="GK44" s="15"/>
      <c r="GL44" s="184"/>
      <c r="GM44" s="15"/>
      <c r="GN44" s="15"/>
      <c r="GO44" s="15"/>
      <c r="GP44" s="15"/>
      <c r="GQ44" s="15"/>
      <c r="GR44" s="15"/>
      <c r="GS44" s="184"/>
      <c r="GT44" s="15"/>
      <c r="GU44" s="15"/>
      <c r="GV44" s="15"/>
      <c r="GW44" s="15"/>
      <c r="GX44" s="15"/>
      <c r="GY44" s="15"/>
      <c r="GZ44" s="184"/>
      <c r="HA44" s="15"/>
      <c r="HB44" s="15"/>
      <c r="HC44" s="15"/>
      <c r="HD44" s="15"/>
      <c r="HE44" s="15"/>
      <c r="HF44" s="15"/>
      <c r="HG44" s="184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</row>
    <row r="45" spans="2:390" ht="19.5" customHeight="1" x14ac:dyDescent="0.45">
      <c r="B45" s="1">
        <f>+B12+1</f>
        <v>2</v>
      </c>
      <c r="C45" s="1">
        <v>0</v>
      </c>
      <c r="D45" s="1">
        <v>0</v>
      </c>
      <c r="E45" s="112" t="str">
        <f t="shared" ref="E45:E59" si="43">B45&amp;"."&amp;C45&amp;"."&amp;D45</f>
        <v>2.0.0</v>
      </c>
      <c r="F45" s="103" t="s">
        <v>22</v>
      </c>
      <c r="G45" s="103"/>
      <c r="H45" s="104"/>
      <c r="I45" s="104"/>
      <c r="J45" s="105"/>
      <c r="K45" s="105"/>
      <c r="L45" s="105"/>
      <c r="M45" s="103"/>
      <c r="N45" s="103"/>
      <c r="O45" s="106">
        <f>+SUM(O46,O50,O52,O56,O63,O64,O68,O69,O74,O79,O80,O81,O85)</f>
        <v>1101</v>
      </c>
      <c r="P45" s="106"/>
      <c r="Q45" s="106"/>
      <c r="R45" s="107"/>
      <c r="S45" s="107"/>
      <c r="T45" s="194">
        <f>+MAX(T46:T87)</f>
        <v>46108</v>
      </c>
      <c r="U45" s="160">
        <f>+SUM(O46*U46,O50*U50,O52*U52,O56*U56,O63*U63,O64*U64,O68*U68,O74*U74,O79*U79,O80*U80,O81*U81,O85*U85,O69*U69)/O45</f>
        <v>0.14232837408256815</v>
      </c>
      <c r="V45" s="202">
        <f t="shared" si="31"/>
        <v>156.70353986490753</v>
      </c>
      <c r="W45" s="32"/>
      <c r="X45" s="32"/>
      <c r="Y45" s="106">
        <f>+SUM(Y46,Y50,Y52,Y56,Y63,Y64,Y68,Y69,Y74,Y79,Y80,Y81,Y85)</f>
        <v>12</v>
      </c>
      <c r="Z45" s="38"/>
      <c r="AA45" s="15"/>
      <c r="AB45" s="15"/>
      <c r="AC45" s="15"/>
      <c r="AD45" s="15"/>
      <c r="AE45" s="15"/>
      <c r="AF45" s="15"/>
      <c r="AG45" s="184"/>
      <c r="AH45" s="15"/>
      <c r="AI45" s="15"/>
      <c r="AJ45" s="15"/>
      <c r="AK45" s="15"/>
      <c r="AL45" s="15"/>
      <c r="AM45" s="15"/>
      <c r="AN45" s="184"/>
      <c r="AO45" s="15"/>
      <c r="AP45" s="15"/>
      <c r="AQ45" s="15"/>
      <c r="AR45" s="15"/>
      <c r="AS45" s="15"/>
      <c r="AT45" s="15"/>
      <c r="AU45" s="184"/>
      <c r="AV45" s="15"/>
      <c r="AW45" s="15"/>
      <c r="AX45" s="15"/>
      <c r="AY45" s="15"/>
      <c r="AZ45" s="15"/>
      <c r="BA45" s="15"/>
      <c r="BB45" s="184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84"/>
      <c r="CE45" s="15"/>
      <c r="CF45" s="15"/>
      <c r="CG45" s="15"/>
      <c r="CH45" s="15"/>
      <c r="CI45" s="15"/>
      <c r="CJ45" s="15"/>
      <c r="CK45" s="184"/>
      <c r="CL45" s="15"/>
      <c r="CM45" s="15"/>
      <c r="CN45" s="15"/>
      <c r="CO45" s="15"/>
      <c r="CP45" s="15"/>
      <c r="CQ45" s="15"/>
      <c r="CR45" s="184"/>
      <c r="CS45" s="15"/>
      <c r="CT45" s="15"/>
      <c r="CU45" s="15"/>
      <c r="CV45" s="15"/>
      <c r="CW45" s="15"/>
      <c r="CX45" s="15"/>
      <c r="CY45" s="184"/>
      <c r="CZ45" s="15"/>
      <c r="DA45" s="15"/>
      <c r="DB45" s="15"/>
      <c r="DC45" s="15"/>
      <c r="DD45" s="15"/>
      <c r="DE45" s="15"/>
      <c r="DF45" s="184"/>
      <c r="DG45" s="15"/>
      <c r="DH45" s="15"/>
      <c r="DI45" s="15"/>
      <c r="DJ45" s="15"/>
      <c r="DK45" s="15"/>
      <c r="DL45" s="15"/>
      <c r="DM45" s="184"/>
      <c r="DN45" s="15"/>
      <c r="DO45" s="15"/>
      <c r="DP45" s="15"/>
      <c r="DQ45" s="15"/>
      <c r="DR45" s="15"/>
      <c r="DS45" s="15"/>
      <c r="DT45" s="184"/>
      <c r="DU45" s="15"/>
      <c r="DV45" s="15"/>
      <c r="DW45" s="15"/>
      <c r="DX45" s="15"/>
      <c r="DY45" s="15"/>
      <c r="DZ45" s="15"/>
      <c r="EA45" s="184"/>
      <c r="EB45" s="15"/>
      <c r="EC45" s="15"/>
      <c r="ED45" s="15"/>
      <c r="EE45" s="15"/>
      <c r="EF45" s="15"/>
      <c r="EG45" s="15"/>
      <c r="EH45" s="184"/>
      <c r="EI45" s="15"/>
      <c r="EJ45" s="15"/>
      <c r="EK45" s="15"/>
      <c r="EL45" s="15"/>
      <c r="EM45" s="15"/>
      <c r="EN45" s="15"/>
      <c r="EO45" s="184"/>
      <c r="EP45" s="15"/>
      <c r="EQ45" s="15"/>
      <c r="ER45" s="15"/>
      <c r="ES45" s="15"/>
      <c r="ET45" s="15"/>
      <c r="EU45" s="15"/>
      <c r="EV45" s="184"/>
      <c r="EW45" s="15"/>
      <c r="EX45" s="15"/>
      <c r="EY45" s="15"/>
      <c r="EZ45" s="15"/>
      <c r="FA45" s="15"/>
      <c r="FB45" s="15"/>
      <c r="FC45" s="184"/>
      <c r="FD45" s="15"/>
      <c r="FE45" s="15"/>
      <c r="FF45" s="15"/>
      <c r="FG45" s="15"/>
      <c r="FH45" s="15"/>
      <c r="FI45" s="15"/>
      <c r="FJ45" s="184"/>
      <c r="FK45" s="15"/>
      <c r="FL45" s="15"/>
      <c r="FM45" s="15"/>
      <c r="FN45" s="15"/>
      <c r="FO45" s="15"/>
      <c r="FP45" s="15"/>
      <c r="FQ45" s="184"/>
      <c r="FR45" s="15"/>
      <c r="FS45" s="15"/>
      <c r="FT45" s="15"/>
      <c r="FU45" s="15"/>
      <c r="FV45" s="15"/>
      <c r="FW45" s="178"/>
      <c r="FX45" s="184"/>
      <c r="FY45" s="181"/>
      <c r="FZ45" s="15"/>
      <c r="GA45" s="15"/>
      <c r="GB45" s="15"/>
      <c r="GC45" s="15"/>
      <c r="GD45" s="15"/>
      <c r="GE45" s="184"/>
      <c r="GF45" s="15"/>
      <c r="GG45" s="15"/>
      <c r="GH45" s="15"/>
      <c r="GI45" s="15"/>
      <c r="GJ45" s="15"/>
      <c r="GK45" s="15"/>
      <c r="GL45" s="184"/>
      <c r="GM45" s="15"/>
      <c r="GN45" s="15"/>
      <c r="GO45" s="15"/>
      <c r="GP45" s="15"/>
      <c r="GQ45" s="15"/>
      <c r="GR45" s="15"/>
      <c r="GS45" s="184"/>
      <c r="GT45" s="15"/>
      <c r="GU45" s="15"/>
      <c r="GV45" s="15"/>
      <c r="GW45" s="15"/>
      <c r="GX45" s="15"/>
      <c r="GY45" s="15"/>
      <c r="GZ45" s="184"/>
      <c r="HA45" s="15"/>
      <c r="HB45" s="15"/>
      <c r="HC45" s="15"/>
      <c r="HD45" s="15"/>
      <c r="HE45" s="15"/>
      <c r="HF45" s="15"/>
      <c r="HG45" s="184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</row>
    <row r="46" spans="2:390" ht="19.5" customHeight="1" x14ac:dyDescent="0.45">
      <c r="B46" s="1">
        <f t="shared" ref="B46:B55" si="44">+B45</f>
        <v>2</v>
      </c>
      <c r="C46" s="1">
        <v>1</v>
      </c>
      <c r="D46" s="1">
        <v>0</v>
      </c>
      <c r="E46" s="93" t="str">
        <f t="shared" si="43"/>
        <v>2.1.0</v>
      </c>
      <c r="F46" s="113" t="s">
        <v>9</v>
      </c>
      <c r="G46" s="114"/>
      <c r="H46" s="115"/>
      <c r="I46" s="115"/>
      <c r="J46" s="111"/>
      <c r="K46" s="111"/>
      <c r="L46" s="111"/>
      <c r="M46" s="114"/>
      <c r="N46" s="114"/>
      <c r="O46" s="95">
        <f>SUM(O47:O49)</f>
        <v>15</v>
      </c>
      <c r="P46" s="95"/>
      <c r="Q46" s="95"/>
      <c r="R46" s="168"/>
      <c r="S46" s="98"/>
      <c r="T46" s="163" t="str">
        <f t="shared" si="30"/>
        <v/>
      </c>
      <c r="U46" s="164">
        <f>+SUMPRODUCT(U47:U49,O47:O49)/O46</f>
        <v>0.97642857142857153</v>
      </c>
      <c r="V46" s="200">
        <f t="shared" si="31"/>
        <v>14.646428571428572</v>
      </c>
      <c r="W46" s="158">
        <f>SUMIFS($AA46:$NZ46, $AA$8:$NZ$8, $W$12)/$O46</f>
        <v>0</v>
      </c>
      <c r="X46" s="159">
        <f>SUMIF($AA$9:$NZ$9, "&lt;=" &amp; $W$11,$AA46:$NZ46)/$O46</f>
        <v>0</v>
      </c>
      <c r="Y46" s="206">
        <f t="shared" si="32"/>
        <v>0</v>
      </c>
      <c r="Z46" s="34"/>
      <c r="AA46" s="15"/>
      <c r="AB46" s="15"/>
      <c r="AC46" s="15"/>
      <c r="AD46" s="15"/>
      <c r="AE46" s="15"/>
      <c r="AF46" s="15"/>
      <c r="AG46" s="184"/>
      <c r="AH46" s="15"/>
      <c r="AI46" s="15"/>
      <c r="AJ46" s="15"/>
      <c r="AK46" s="15"/>
      <c r="AL46" s="15"/>
      <c r="AM46" s="15"/>
      <c r="AN46" s="184"/>
      <c r="AO46" s="15"/>
      <c r="AP46" s="15"/>
      <c r="AQ46" s="15"/>
      <c r="AR46" s="15"/>
      <c r="AS46" s="15"/>
      <c r="AT46" s="15"/>
      <c r="AU46" s="184"/>
      <c r="AV46" s="15"/>
      <c r="AW46" s="15"/>
      <c r="AX46" s="15"/>
      <c r="AY46" s="15"/>
      <c r="AZ46" s="15"/>
      <c r="BA46" s="15"/>
      <c r="BB46" s="184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84"/>
      <c r="CE46" s="15"/>
      <c r="CF46" s="15"/>
      <c r="CG46" s="15"/>
      <c r="CH46" s="15"/>
      <c r="CI46" s="15"/>
      <c r="CJ46" s="15"/>
      <c r="CK46" s="184"/>
      <c r="CL46" s="15"/>
      <c r="CM46" s="15"/>
      <c r="CN46" s="15"/>
      <c r="CO46" s="15"/>
      <c r="CP46" s="15"/>
      <c r="CQ46" s="15"/>
      <c r="CR46" s="184"/>
      <c r="CS46" s="15"/>
      <c r="CT46" s="15"/>
      <c r="CU46" s="15"/>
      <c r="CV46" s="15"/>
      <c r="CW46" s="15"/>
      <c r="CX46" s="15"/>
      <c r="CY46" s="184"/>
      <c r="CZ46" s="15"/>
      <c r="DA46" s="15"/>
      <c r="DB46" s="15"/>
      <c r="DC46" s="15"/>
      <c r="DD46" s="15"/>
      <c r="DE46" s="15"/>
      <c r="DF46" s="184"/>
      <c r="DG46" s="15"/>
      <c r="DH46" s="15"/>
      <c r="DI46" s="15"/>
      <c r="DJ46" s="15"/>
      <c r="DK46" s="15"/>
      <c r="DL46" s="15"/>
      <c r="DM46" s="184"/>
      <c r="DN46" s="15"/>
      <c r="DO46" s="15"/>
      <c r="DP46" s="15"/>
      <c r="DQ46" s="15"/>
      <c r="DR46" s="15"/>
      <c r="DS46" s="15"/>
      <c r="DT46" s="184"/>
      <c r="DU46" s="15"/>
      <c r="DV46" s="15"/>
      <c r="DW46" s="15"/>
      <c r="DX46" s="15"/>
      <c r="DY46" s="15"/>
      <c r="DZ46" s="15"/>
      <c r="EA46" s="184"/>
      <c r="EB46" s="15"/>
      <c r="EC46" s="15"/>
      <c r="ED46" s="15"/>
      <c r="EE46" s="15"/>
      <c r="EF46" s="15"/>
      <c r="EG46" s="15"/>
      <c r="EH46" s="184"/>
      <c r="EI46" s="15"/>
      <c r="EJ46" s="15"/>
      <c r="EK46" s="15"/>
      <c r="EL46" s="15"/>
      <c r="EM46" s="15"/>
      <c r="EN46" s="15"/>
      <c r="EO46" s="184"/>
      <c r="EP46" s="15"/>
      <c r="EQ46" s="15"/>
      <c r="ER46" s="15"/>
      <c r="ES46" s="15"/>
      <c r="ET46" s="15"/>
      <c r="EU46" s="15"/>
      <c r="EV46" s="184"/>
      <c r="EW46" s="15"/>
      <c r="EX46" s="15"/>
      <c r="EY46" s="15"/>
      <c r="EZ46" s="15"/>
      <c r="FA46" s="15"/>
      <c r="FB46" s="15"/>
      <c r="FC46" s="184"/>
      <c r="FD46" s="15"/>
      <c r="FE46" s="15"/>
      <c r="FF46" s="15"/>
      <c r="FG46" s="15"/>
      <c r="FH46" s="15"/>
      <c r="FI46" s="15"/>
      <c r="FJ46" s="184"/>
      <c r="FK46" s="15"/>
      <c r="FL46" s="15"/>
      <c r="FM46" s="15"/>
      <c r="FN46" s="15"/>
      <c r="FO46" s="15"/>
      <c r="FP46" s="15"/>
      <c r="FQ46" s="184"/>
      <c r="FR46" s="15"/>
      <c r="FS46" s="15"/>
      <c r="FT46" s="15"/>
      <c r="FU46" s="15"/>
      <c r="FV46" s="15"/>
      <c r="FW46" s="178"/>
      <c r="FX46" s="184"/>
      <c r="FY46" s="181"/>
      <c r="FZ46" s="15"/>
      <c r="GA46" s="15"/>
      <c r="GB46" s="15"/>
      <c r="GC46" s="15"/>
      <c r="GD46" s="15"/>
      <c r="GE46" s="184"/>
      <c r="GF46" s="15"/>
      <c r="GG46" s="15"/>
      <c r="GH46" s="15"/>
      <c r="GI46" s="15"/>
      <c r="GJ46" s="15"/>
      <c r="GK46" s="15"/>
      <c r="GL46" s="184"/>
      <c r="GM46" s="15"/>
      <c r="GN46" s="15"/>
      <c r="GO46" s="15"/>
      <c r="GP46" s="15"/>
      <c r="GQ46" s="15"/>
      <c r="GR46" s="15"/>
      <c r="GS46" s="184"/>
      <c r="GT46" s="15"/>
      <c r="GU46" s="15"/>
      <c r="GV46" s="15"/>
      <c r="GW46" s="15"/>
      <c r="GX46" s="15"/>
      <c r="GY46" s="15"/>
      <c r="GZ46" s="184"/>
      <c r="HA46" s="15"/>
      <c r="HB46" s="15"/>
      <c r="HC46" s="15"/>
      <c r="HD46" s="15"/>
      <c r="HE46" s="15"/>
      <c r="HF46" s="15"/>
      <c r="HG46" s="184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</row>
    <row r="47" spans="2:390" ht="19.5" customHeight="1" x14ac:dyDescent="0.45">
      <c r="B47" s="1">
        <f t="shared" si="44"/>
        <v>2</v>
      </c>
      <c r="C47" s="1">
        <f>+C46</f>
        <v>1</v>
      </c>
      <c r="D47" s="1">
        <v>1</v>
      </c>
      <c r="E47" s="59" t="str">
        <f t="shared" si="43"/>
        <v>2.1.1</v>
      </c>
      <c r="F47" s="23" t="s">
        <v>10</v>
      </c>
      <c r="G47" s="191">
        <v>2.2999999999999998</v>
      </c>
      <c r="H47" s="52" t="s">
        <v>117</v>
      </c>
      <c r="I47" s="52" t="s">
        <v>156</v>
      </c>
      <c r="J47" s="52">
        <v>120</v>
      </c>
      <c r="K47" s="52">
        <v>120</v>
      </c>
      <c r="L47" s="53">
        <f>+J47-K47</f>
        <v>0</v>
      </c>
      <c r="M47" s="52">
        <v>3</v>
      </c>
      <c r="N47" s="52">
        <v>1</v>
      </c>
      <c r="O47" s="51">
        <f>+N47*M47</f>
        <v>3</v>
      </c>
      <c r="P47" s="51">
        <f>+SUM(AA47:NZ47)</f>
        <v>3</v>
      </c>
      <c r="Q47" s="51">
        <f>+O47-P47</f>
        <v>0</v>
      </c>
      <c r="R47" s="153"/>
      <c r="S47" s="154"/>
      <c r="T47" s="155" t="str">
        <f t="shared" si="30"/>
        <v/>
      </c>
      <c r="U47" s="22">
        <f>+K47/J47</f>
        <v>1</v>
      </c>
      <c r="V47" s="199">
        <f t="shared" si="31"/>
        <v>3</v>
      </c>
      <c r="W47" s="158">
        <f>SUMIFS($AA47:$NZ47, $AA$8:$NZ$8, $W$12)/$O47</f>
        <v>0</v>
      </c>
      <c r="X47" s="159">
        <f>SUMIF($AA$9:$NZ$9, "&lt;=" &amp; $W$11,$AA47:$NZ47)/$O47</f>
        <v>1</v>
      </c>
      <c r="Y47" s="199">
        <f t="shared" si="32"/>
        <v>3</v>
      </c>
      <c r="Z47" s="39"/>
      <c r="AA47" s="15">
        <v>3</v>
      </c>
      <c r="AB47" s="15"/>
      <c r="AC47" s="15"/>
      <c r="AD47" s="15"/>
      <c r="AE47" s="15"/>
      <c r="AF47" s="15"/>
      <c r="AG47" s="184"/>
      <c r="AH47" s="15"/>
      <c r="AI47" s="15"/>
      <c r="AJ47" s="15"/>
      <c r="AK47" s="15"/>
      <c r="AL47" s="15"/>
      <c r="AM47" s="15"/>
      <c r="AN47" s="184"/>
      <c r="AO47" s="15"/>
      <c r="AP47" s="15"/>
      <c r="AQ47" s="15"/>
      <c r="AR47" s="15"/>
      <c r="AS47" s="15"/>
      <c r="AT47" s="15"/>
      <c r="AU47" s="184"/>
      <c r="AV47" s="15"/>
      <c r="AW47" s="15"/>
      <c r="AX47" s="15"/>
      <c r="AY47" s="15"/>
      <c r="AZ47" s="15"/>
      <c r="BA47" s="15"/>
      <c r="BB47" s="184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84"/>
      <c r="CE47" s="15"/>
      <c r="CF47" s="15"/>
      <c r="CG47" s="15"/>
      <c r="CH47" s="15"/>
      <c r="CI47" s="15"/>
      <c r="CJ47" s="15"/>
      <c r="CK47" s="184"/>
      <c r="CL47" s="15"/>
      <c r="CM47" s="15"/>
      <c r="CN47" s="15"/>
      <c r="CO47" s="15"/>
      <c r="CP47" s="15"/>
      <c r="CQ47" s="15"/>
      <c r="CR47" s="184"/>
      <c r="CS47" s="15"/>
      <c r="CT47" s="15"/>
      <c r="CU47" s="15"/>
      <c r="CV47" s="15"/>
      <c r="CW47" s="15"/>
      <c r="CX47" s="15"/>
      <c r="CY47" s="184"/>
      <c r="CZ47" s="15"/>
      <c r="DA47" s="15"/>
      <c r="DB47" s="15"/>
      <c r="DC47" s="15"/>
      <c r="DD47" s="15"/>
      <c r="DE47" s="15"/>
      <c r="DF47" s="184"/>
      <c r="DG47" s="15"/>
      <c r="DH47" s="15"/>
      <c r="DI47" s="15"/>
      <c r="DJ47" s="15"/>
      <c r="DK47" s="15"/>
      <c r="DL47" s="15"/>
      <c r="DM47" s="184"/>
      <c r="DN47" s="15"/>
      <c r="DO47" s="15"/>
      <c r="DP47" s="15"/>
      <c r="DQ47" s="15"/>
      <c r="DR47" s="15"/>
      <c r="DS47" s="15"/>
      <c r="DT47" s="184"/>
      <c r="DU47" s="15"/>
      <c r="DV47" s="15"/>
      <c r="DW47" s="15"/>
      <c r="DX47" s="15"/>
      <c r="DY47" s="15"/>
      <c r="DZ47" s="15"/>
      <c r="EA47" s="184"/>
      <c r="EB47" s="15"/>
      <c r="EC47" s="15"/>
      <c r="ED47" s="15"/>
      <c r="EE47" s="15"/>
      <c r="EF47" s="15"/>
      <c r="EG47" s="15"/>
      <c r="EH47" s="184"/>
      <c r="EI47" s="15"/>
      <c r="EJ47" s="15"/>
      <c r="EK47" s="15"/>
      <c r="EL47" s="15"/>
      <c r="EM47" s="15"/>
      <c r="EN47" s="15"/>
      <c r="EO47" s="184"/>
      <c r="EP47" s="15"/>
      <c r="EQ47" s="15"/>
      <c r="ER47" s="15"/>
      <c r="ES47" s="15"/>
      <c r="ET47" s="15"/>
      <c r="EU47" s="15"/>
      <c r="EV47" s="184"/>
      <c r="EW47" s="15"/>
      <c r="EX47" s="15"/>
      <c r="EY47" s="15"/>
      <c r="EZ47" s="15"/>
      <c r="FA47" s="15"/>
      <c r="FB47" s="15"/>
      <c r="FC47" s="184"/>
      <c r="FD47" s="15"/>
      <c r="FE47" s="15"/>
      <c r="FF47" s="15"/>
      <c r="FG47" s="15"/>
      <c r="FH47" s="15"/>
      <c r="FI47" s="15"/>
      <c r="FJ47" s="184"/>
      <c r="FK47" s="15"/>
      <c r="FL47" s="15"/>
      <c r="FM47" s="15"/>
      <c r="FN47" s="15"/>
      <c r="FO47" s="15"/>
      <c r="FP47" s="15"/>
      <c r="FQ47" s="184"/>
      <c r="FR47" s="15"/>
      <c r="FS47" s="15"/>
      <c r="FT47" s="15"/>
      <c r="FU47" s="15"/>
      <c r="FV47" s="15"/>
      <c r="FW47" s="178"/>
      <c r="FX47" s="184"/>
      <c r="FY47" s="181"/>
      <c r="FZ47" s="15"/>
      <c r="GA47" s="15"/>
      <c r="GB47" s="15"/>
      <c r="GC47" s="15"/>
      <c r="GD47" s="15"/>
      <c r="GE47" s="184"/>
      <c r="GF47" s="15"/>
      <c r="GG47" s="15"/>
      <c r="GH47" s="15"/>
      <c r="GI47" s="15"/>
      <c r="GJ47" s="15"/>
      <c r="GK47" s="15"/>
      <c r="GL47" s="184"/>
      <c r="GM47" s="15"/>
      <c r="GN47" s="15"/>
      <c r="GO47" s="15"/>
      <c r="GP47" s="15"/>
      <c r="GQ47" s="15"/>
      <c r="GR47" s="15"/>
      <c r="GS47" s="184"/>
      <c r="GT47" s="15"/>
      <c r="GU47" s="15"/>
      <c r="GV47" s="15"/>
      <c r="GW47" s="15"/>
      <c r="GX47" s="15"/>
      <c r="GY47" s="15"/>
      <c r="GZ47" s="184"/>
      <c r="HA47" s="15"/>
      <c r="HB47" s="15"/>
      <c r="HC47" s="15"/>
      <c r="HD47" s="15"/>
      <c r="HE47" s="15"/>
      <c r="HF47" s="15"/>
      <c r="HG47" s="184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</row>
    <row r="48" spans="2:390" ht="19.5" customHeight="1" x14ac:dyDescent="0.45">
      <c r="B48" s="1">
        <f t="shared" si="44"/>
        <v>2</v>
      </c>
      <c r="C48" s="1">
        <f>+C47</f>
        <v>1</v>
      </c>
      <c r="D48" s="1">
        <v>2</v>
      </c>
      <c r="E48" s="59" t="str">
        <f t="shared" si="43"/>
        <v>2.1.2</v>
      </c>
      <c r="F48" s="23" t="s">
        <v>11</v>
      </c>
      <c r="G48" s="191">
        <v>2.2999999999999998</v>
      </c>
      <c r="H48" s="52" t="s">
        <v>117</v>
      </c>
      <c r="I48" s="52" t="s">
        <v>156</v>
      </c>
      <c r="J48" s="52">
        <v>80</v>
      </c>
      <c r="K48" s="52">
        <v>77</v>
      </c>
      <c r="L48" s="53">
        <f>+J48-K48</f>
        <v>3</v>
      </c>
      <c r="M48" s="52">
        <v>2</v>
      </c>
      <c r="N48" s="52">
        <v>3</v>
      </c>
      <c r="O48" s="51">
        <f>+N48*M48</f>
        <v>6</v>
      </c>
      <c r="P48" s="51">
        <f>+SUM(AA48:NZ48)</f>
        <v>0</v>
      </c>
      <c r="Q48" s="51">
        <f>+O48-P48</f>
        <v>6</v>
      </c>
      <c r="R48" s="153"/>
      <c r="S48" s="154"/>
      <c r="T48" s="155" t="str">
        <f t="shared" si="30"/>
        <v/>
      </c>
      <c r="U48" s="22">
        <f>+K48/J48</f>
        <v>0.96250000000000002</v>
      </c>
      <c r="V48" s="199">
        <f t="shared" si="31"/>
        <v>5.7750000000000004</v>
      </c>
      <c r="W48" s="158">
        <f>SUMIFS($AA48:$NZ48, $AA$8:$NZ$8, $W$12)/$O48</f>
        <v>0</v>
      </c>
      <c r="X48" s="159">
        <f>SUMIF($AA$9:$NZ$9, "&lt;=" &amp; $W$11,$AA48:$NZ48)/$O48</f>
        <v>0</v>
      </c>
      <c r="Y48" s="199">
        <f t="shared" si="32"/>
        <v>0</v>
      </c>
      <c r="Z48" s="36"/>
      <c r="AA48" s="15"/>
      <c r="AB48" s="15"/>
      <c r="AC48" s="15"/>
      <c r="AD48" s="15"/>
      <c r="AE48" s="15"/>
      <c r="AF48" s="15"/>
      <c r="AG48" s="184"/>
      <c r="AH48" s="15"/>
      <c r="AI48" s="15"/>
      <c r="AJ48" s="15"/>
      <c r="AK48" s="15"/>
      <c r="AL48" s="15"/>
      <c r="AM48" s="15"/>
      <c r="AN48" s="184"/>
      <c r="AO48" s="15"/>
      <c r="AP48" s="15"/>
      <c r="AQ48" s="15"/>
      <c r="AR48" s="15"/>
      <c r="AS48" s="15"/>
      <c r="AT48" s="15"/>
      <c r="AU48" s="184"/>
      <c r="AV48" s="15"/>
      <c r="AW48" s="15"/>
      <c r="AX48" s="15"/>
      <c r="AY48" s="15"/>
      <c r="AZ48" s="15"/>
      <c r="BA48" s="15"/>
      <c r="BB48" s="184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84"/>
      <c r="CE48" s="15"/>
      <c r="CF48" s="15"/>
      <c r="CG48" s="15"/>
      <c r="CH48" s="15"/>
      <c r="CI48" s="15"/>
      <c r="CJ48" s="15"/>
      <c r="CK48" s="184"/>
      <c r="CL48" s="15"/>
      <c r="CM48" s="15"/>
      <c r="CN48" s="15"/>
      <c r="CO48" s="15"/>
      <c r="CP48" s="15"/>
      <c r="CQ48" s="15"/>
      <c r="CR48" s="184"/>
      <c r="CS48" s="15"/>
      <c r="CT48" s="15"/>
      <c r="CU48" s="15"/>
      <c r="CV48" s="15"/>
      <c r="CW48" s="15"/>
      <c r="CX48" s="15"/>
      <c r="CY48" s="184"/>
      <c r="CZ48" s="15"/>
      <c r="DA48" s="15"/>
      <c r="DB48" s="15"/>
      <c r="DC48" s="15"/>
      <c r="DD48" s="15"/>
      <c r="DE48" s="15"/>
      <c r="DF48" s="184"/>
      <c r="DG48" s="15"/>
      <c r="DH48" s="15"/>
      <c r="DI48" s="15"/>
      <c r="DJ48" s="15"/>
      <c r="DK48" s="15"/>
      <c r="DL48" s="15"/>
      <c r="DM48" s="184"/>
      <c r="DN48" s="15"/>
      <c r="DO48" s="15"/>
      <c r="DP48" s="15"/>
      <c r="DQ48" s="15"/>
      <c r="DR48" s="15"/>
      <c r="DS48" s="15"/>
      <c r="DT48" s="184"/>
      <c r="DU48" s="15"/>
      <c r="DV48" s="15"/>
      <c r="DW48" s="15"/>
      <c r="DX48" s="15"/>
      <c r="DY48" s="15"/>
      <c r="DZ48" s="15"/>
      <c r="EA48" s="184"/>
      <c r="EB48" s="15"/>
      <c r="EC48" s="15"/>
      <c r="ED48" s="15"/>
      <c r="EE48" s="15"/>
      <c r="EF48" s="15"/>
      <c r="EG48" s="15"/>
      <c r="EH48" s="184"/>
      <c r="EI48" s="15"/>
      <c r="EJ48" s="15"/>
      <c r="EK48" s="15"/>
      <c r="EL48" s="15"/>
      <c r="EM48" s="15"/>
      <c r="EN48" s="15"/>
      <c r="EO48" s="184"/>
      <c r="EP48" s="15"/>
      <c r="EQ48" s="15"/>
      <c r="ER48" s="15"/>
      <c r="ES48" s="15"/>
      <c r="ET48" s="15"/>
      <c r="EU48" s="15"/>
      <c r="EV48" s="184"/>
      <c r="EW48" s="15"/>
      <c r="EX48" s="15"/>
      <c r="EY48" s="15"/>
      <c r="EZ48" s="15"/>
      <c r="FA48" s="15"/>
      <c r="FB48" s="15"/>
      <c r="FC48" s="184"/>
      <c r="FD48" s="15"/>
      <c r="FE48" s="15"/>
      <c r="FF48" s="15"/>
      <c r="FG48" s="15"/>
      <c r="FH48" s="15"/>
      <c r="FI48" s="15"/>
      <c r="FJ48" s="184"/>
      <c r="FK48" s="15"/>
      <c r="FL48" s="15"/>
      <c r="FM48" s="15"/>
      <c r="FN48" s="15"/>
      <c r="FO48" s="15"/>
      <c r="FP48" s="15"/>
      <c r="FQ48" s="184"/>
      <c r="FR48" s="15"/>
      <c r="FS48" s="15"/>
      <c r="FT48" s="15"/>
      <c r="FU48" s="15"/>
      <c r="FV48" s="15"/>
      <c r="FW48" s="178"/>
      <c r="FX48" s="184"/>
      <c r="FY48" s="181"/>
      <c r="FZ48" s="15"/>
      <c r="GA48" s="15"/>
      <c r="GB48" s="15"/>
      <c r="GC48" s="15"/>
      <c r="GD48" s="15"/>
      <c r="GE48" s="184"/>
      <c r="GF48" s="15"/>
      <c r="GG48" s="15"/>
      <c r="GH48" s="15"/>
      <c r="GI48" s="15"/>
      <c r="GJ48" s="15"/>
      <c r="GK48" s="15"/>
      <c r="GL48" s="184"/>
      <c r="GM48" s="15"/>
      <c r="GN48" s="15"/>
      <c r="GO48" s="15"/>
      <c r="GP48" s="15"/>
      <c r="GQ48" s="15"/>
      <c r="GR48" s="15"/>
      <c r="GS48" s="184"/>
      <c r="GT48" s="15"/>
      <c r="GU48" s="15"/>
      <c r="GV48" s="15"/>
      <c r="GW48" s="15"/>
      <c r="GX48" s="15"/>
      <c r="GY48" s="15"/>
      <c r="GZ48" s="184"/>
      <c r="HA48" s="15"/>
      <c r="HB48" s="15"/>
      <c r="HC48" s="15"/>
      <c r="HD48" s="15"/>
      <c r="HE48" s="15"/>
      <c r="HF48" s="15"/>
      <c r="HG48" s="184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</row>
    <row r="49" spans="2:390" ht="19.5" customHeight="1" x14ac:dyDescent="0.45">
      <c r="B49" s="1">
        <f t="shared" si="44"/>
        <v>2</v>
      </c>
      <c r="C49" s="1">
        <f>+C48</f>
        <v>1</v>
      </c>
      <c r="D49" s="1">
        <v>3</v>
      </c>
      <c r="E49" s="59" t="str">
        <f t="shared" si="43"/>
        <v>2.1.3</v>
      </c>
      <c r="F49" s="23" t="s">
        <v>12</v>
      </c>
      <c r="G49" s="191">
        <v>2.2999999999999998</v>
      </c>
      <c r="H49" s="52" t="s">
        <v>117</v>
      </c>
      <c r="I49" s="52" t="s">
        <v>156</v>
      </c>
      <c r="J49" s="52">
        <v>140</v>
      </c>
      <c r="K49" s="52">
        <v>137</v>
      </c>
      <c r="L49" s="53">
        <f>+J49-K49</f>
        <v>3</v>
      </c>
      <c r="M49" s="52">
        <v>2</v>
      </c>
      <c r="N49" s="52">
        <v>3</v>
      </c>
      <c r="O49" s="51">
        <f>+N49*M49</f>
        <v>6</v>
      </c>
      <c r="P49" s="51">
        <f>+SUM(AA49:NZ49)</f>
        <v>0</v>
      </c>
      <c r="Q49" s="51">
        <f>+O49-P49</f>
        <v>6</v>
      </c>
      <c r="R49" s="153"/>
      <c r="S49" s="154"/>
      <c r="T49" s="155" t="str">
        <f t="shared" si="30"/>
        <v/>
      </c>
      <c r="U49" s="22">
        <f>+K49/J49</f>
        <v>0.97857142857142854</v>
      </c>
      <c r="V49" s="199">
        <f t="shared" si="31"/>
        <v>5.871428571428571</v>
      </c>
      <c r="W49" s="158">
        <f>SUMIFS($AA49:$NZ49, $AA$8:$NZ$8, $W$12)/$O49</f>
        <v>0</v>
      </c>
      <c r="X49" s="159">
        <f>SUMIF($AA$9:$NZ$9, "&lt;=" &amp; $W$11,$AA49:$NZ49)/$O49</f>
        <v>0</v>
      </c>
      <c r="Y49" s="199">
        <f t="shared" si="32"/>
        <v>0</v>
      </c>
      <c r="Z49" s="36"/>
      <c r="AA49" s="15"/>
      <c r="AB49" s="15"/>
      <c r="AC49" s="15"/>
      <c r="AD49" s="15"/>
      <c r="AE49" s="15"/>
      <c r="AF49" s="15"/>
      <c r="AG49" s="184"/>
      <c r="AH49" s="15"/>
      <c r="AI49" s="15"/>
      <c r="AJ49" s="15"/>
      <c r="AK49" s="15"/>
      <c r="AL49" s="15"/>
      <c r="AM49" s="15"/>
      <c r="AN49" s="184"/>
      <c r="AO49" s="15"/>
      <c r="AP49" s="15"/>
      <c r="AQ49" s="15"/>
      <c r="AR49" s="15"/>
      <c r="AS49" s="15"/>
      <c r="AT49" s="15"/>
      <c r="AU49" s="184"/>
      <c r="AV49" s="15"/>
      <c r="AW49" s="15"/>
      <c r="AX49" s="15"/>
      <c r="AY49" s="15"/>
      <c r="AZ49" s="15"/>
      <c r="BA49" s="15"/>
      <c r="BB49" s="184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84"/>
      <c r="CE49" s="15"/>
      <c r="CF49" s="15"/>
      <c r="CG49" s="15"/>
      <c r="CH49" s="15"/>
      <c r="CI49" s="15"/>
      <c r="CJ49" s="15"/>
      <c r="CK49" s="184"/>
      <c r="CL49" s="15"/>
      <c r="CM49" s="15"/>
      <c r="CN49" s="15"/>
      <c r="CO49" s="15"/>
      <c r="CP49" s="15"/>
      <c r="CQ49" s="15"/>
      <c r="CR49" s="184"/>
      <c r="CS49" s="15"/>
      <c r="CT49" s="15"/>
      <c r="CU49" s="15"/>
      <c r="CV49" s="15"/>
      <c r="CW49" s="15"/>
      <c r="CX49" s="15"/>
      <c r="CY49" s="184"/>
      <c r="CZ49" s="15"/>
      <c r="DA49" s="15"/>
      <c r="DB49" s="15"/>
      <c r="DC49" s="15"/>
      <c r="DD49" s="15"/>
      <c r="DE49" s="15"/>
      <c r="DF49" s="184"/>
      <c r="DG49" s="15"/>
      <c r="DH49" s="15"/>
      <c r="DI49" s="15"/>
      <c r="DJ49" s="15"/>
      <c r="DK49" s="15"/>
      <c r="DL49" s="15"/>
      <c r="DM49" s="184"/>
      <c r="DN49" s="15"/>
      <c r="DO49" s="15"/>
      <c r="DP49" s="15"/>
      <c r="DQ49" s="15"/>
      <c r="DR49" s="15"/>
      <c r="DS49" s="15"/>
      <c r="DT49" s="184"/>
      <c r="DU49" s="15"/>
      <c r="DV49" s="15"/>
      <c r="DW49" s="15"/>
      <c r="DX49" s="15"/>
      <c r="DY49" s="15"/>
      <c r="DZ49" s="15"/>
      <c r="EA49" s="184"/>
      <c r="EB49" s="15"/>
      <c r="EC49" s="15"/>
      <c r="ED49" s="15"/>
      <c r="EE49" s="15"/>
      <c r="EF49" s="15"/>
      <c r="EG49" s="15"/>
      <c r="EH49" s="184"/>
      <c r="EI49" s="15"/>
      <c r="EJ49" s="15"/>
      <c r="EK49" s="15"/>
      <c r="EL49" s="15"/>
      <c r="EM49" s="15"/>
      <c r="EN49" s="15"/>
      <c r="EO49" s="184"/>
      <c r="EP49" s="15"/>
      <c r="EQ49" s="15"/>
      <c r="ER49" s="15"/>
      <c r="ES49" s="15"/>
      <c r="ET49" s="15"/>
      <c r="EU49" s="15"/>
      <c r="EV49" s="184"/>
      <c r="EW49" s="15"/>
      <c r="EX49" s="15"/>
      <c r="EY49" s="15"/>
      <c r="EZ49" s="15"/>
      <c r="FA49" s="15"/>
      <c r="FB49" s="15"/>
      <c r="FC49" s="184"/>
      <c r="FD49" s="15"/>
      <c r="FE49" s="15"/>
      <c r="FF49" s="15"/>
      <c r="FG49" s="15"/>
      <c r="FH49" s="15"/>
      <c r="FI49" s="15"/>
      <c r="FJ49" s="184"/>
      <c r="FK49" s="15"/>
      <c r="FL49" s="15"/>
      <c r="FM49" s="15"/>
      <c r="FN49" s="15"/>
      <c r="FO49" s="15"/>
      <c r="FP49" s="15"/>
      <c r="FQ49" s="184"/>
      <c r="FR49" s="15"/>
      <c r="FS49" s="15"/>
      <c r="FT49" s="15"/>
      <c r="FU49" s="15"/>
      <c r="FV49" s="15"/>
      <c r="FW49" s="178"/>
      <c r="FX49" s="184"/>
      <c r="FY49" s="181"/>
      <c r="FZ49" s="15"/>
      <c r="GA49" s="15"/>
      <c r="GB49" s="15"/>
      <c r="GC49" s="15"/>
      <c r="GD49" s="15"/>
      <c r="GE49" s="184"/>
      <c r="GF49" s="15"/>
      <c r="GG49" s="15"/>
      <c r="GH49" s="15"/>
      <c r="GI49" s="15"/>
      <c r="GJ49" s="15"/>
      <c r="GK49" s="15"/>
      <c r="GL49" s="184"/>
      <c r="GM49" s="15"/>
      <c r="GN49" s="15"/>
      <c r="GO49" s="15"/>
      <c r="GP49" s="15"/>
      <c r="GQ49" s="15"/>
      <c r="GR49" s="15"/>
      <c r="GS49" s="184"/>
      <c r="GT49" s="15"/>
      <c r="GU49" s="15"/>
      <c r="GV49" s="15"/>
      <c r="GW49" s="15"/>
      <c r="GX49" s="15"/>
      <c r="GY49" s="15"/>
      <c r="GZ49" s="184"/>
      <c r="HA49" s="15"/>
      <c r="HB49" s="15"/>
      <c r="HC49" s="15"/>
      <c r="HD49" s="15"/>
      <c r="HE49" s="15"/>
      <c r="HF49" s="15"/>
      <c r="HG49" s="184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</row>
    <row r="50" spans="2:390" ht="19.5" customHeight="1" x14ac:dyDescent="0.45">
      <c r="B50" s="1">
        <f t="shared" si="44"/>
        <v>2</v>
      </c>
      <c r="C50" s="1">
        <f>+C46+1</f>
        <v>2</v>
      </c>
      <c r="D50" s="1">
        <v>0</v>
      </c>
      <c r="E50" s="93" t="str">
        <f t="shared" si="43"/>
        <v>2.2.0</v>
      </c>
      <c r="F50" s="99" t="s">
        <v>13</v>
      </c>
      <c r="G50" s="99"/>
      <c r="H50" s="100"/>
      <c r="I50" s="100"/>
      <c r="J50" s="101"/>
      <c r="K50" s="101"/>
      <c r="L50" s="111"/>
      <c r="M50" s="99"/>
      <c r="N50" s="99"/>
      <c r="O50" s="95">
        <f>SUM(O51)</f>
        <v>0</v>
      </c>
      <c r="P50" s="95"/>
      <c r="Q50" s="95"/>
      <c r="R50" s="168"/>
      <c r="S50" s="98"/>
      <c r="T50" s="163" t="str">
        <f t="shared" si="30"/>
        <v/>
      </c>
      <c r="U50" s="164">
        <v>1</v>
      </c>
      <c r="V50" s="200">
        <f t="shared" si="31"/>
        <v>0</v>
      </c>
      <c r="W50" s="158"/>
      <c r="X50" s="159"/>
      <c r="Y50" s="199"/>
      <c r="Z50" s="36"/>
      <c r="AA50" s="15"/>
      <c r="AB50" s="15"/>
      <c r="AC50" s="15"/>
      <c r="AD50" s="15"/>
      <c r="AE50" s="15"/>
      <c r="AF50" s="15"/>
      <c r="AG50" s="184"/>
      <c r="AH50" s="15"/>
      <c r="AI50" s="15"/>
      <c r="AJ50" s="15"/>
      <c r="AK50" s="15"/>
      <c r="AL50" s="15"/>
      <c r="AM50" s="15"/>
      <c r="AN50" s="184"/>
      <c r="AO50" s="15"/>
      <c r="AP50" s="15"/>
      <c r="AQ50" s="15"/>
      <c r="AR50" s="15"/>
      <c r="AS50" s="15"/>
      <c r="AT50" s="15"/>
      <c r="AU50" s="184"/>
      <c r="AV50" s="15"/>
      <c r="AW50" s="15"/>
      <c r="AX50" s="15"/>
      <c r="AY50" s="15"/>
      <c r="AZ50" s="15"/>
      <c r="BA50" s="15"/>
      <c r="BB50" s="184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84"/>
      <c r="CE50" s="15"/>
      <c r="CF50" s="15"/>
      <c r="CG50" s="15"/>
      <c r="CH50" s="15"/>
      <c r="CI50" s="15"/>
      <c r="CJ50" s="15"/>
      <c r="CK50" s="184"/>
      <c r="CL50" s="15"/>
      <c r="CM50" s="15"/>
      <c r="CN50" s="15"/>
      <c r="CO50" s="15"/>
      <c r="CP50" s="15"/>
      <c r="CQ50" s="15"/>
      <c r="CR50" s="184"/>
      <c r="CS50" s="15"/>
      <c r="CT50" s="15"/>
      <c r="CU50" s="15"/>
      <c r="CV50" s="15"/>
      <c r="CW50" s="15"/>
      <c r="CX50" s="15"/>
      <c r="CY50" s="184"/>
      <c r="CZ50" s="15"/>
      <c r="DA50" s="15"/>
      <c r="DB50" s="15"/>
      <c r="DC50" s="15"/>
      <c r="DD50" s="15"/>
      <c r="DE50" s="15"/>
      <c r="DF50" s="184"/>
      <c r="DG50" s="15"/>
      <c r="DH50" s="15"/>
      <c r="DI50" s="15"/>
      <c r="DJ50" s="15"/>
      <c r="DK50" s="15"/>
      <c r="DL50" s="15"/>
      <c r="DM50" s="184"/>
      <c r="DN50" s="15"/>
      <c r="DO50" s="15"/>
      <c r="DP50" s="15"/>
      <c r="DQ50" s="15"/>
      <c r="DR50" s="15"/>
      <c r="DS50" s="15"/>
      <c r="DT50" s="184"/>
      <c r="DU50" s="15"/>
      <c r="DV50" s="15"/>
      <c r="DW50" s="15"/>
      <c r="DX50" s="15"/>
      <c r="DY50" s="15"/>
      <c r="DZ50" s="15"/>
      <c r="EA50" s="184"/>
      <c r="EB50" s="15"/>
      <c r="EC50" s="15"/>
      <c r="ED50" s="15"/>
      <c r="EE50" s="15"/>
      <c r="EF50" s="15"/>
      <c r="EG50" s="15"/>
      <c r="EH50" s="184"/>
      <c r="EI50" s="15"/>
      <c r="EJ50" s="15"/>
      <c r="EK50" s="15"/>
      <c r="EL50" s="15"/>
      <c r="EM50" s="15"/>
      <c r="EN50" s="15"/>
      <c r="EO50" s="184"/>
      <c r="EP50" s="15"/>
      <c r="EQ50" s="15"/>
      <c r="ER50" s="15"/>
      <c r="ES50" s="15"/>
      <c r="ET50" s="15"/>
      <c r="EU50" s="15"/>
      <c r="EV50" s="184"/>
      <c r="EW50" s="15"/>
      <c r="EX50" s="15"/>
      <c r="EY50" s="15"/>
      <c r="EZ50" s="15"/>
      <c r="FA50" s="15"/>
      <c r="FB50" s="15"/>
      <c r="FC50" s="184"/>
      <c r="FD50" s="15"/>
      <c r="FE50" s="15"/>
      <c r="FF50" s="15"/>
      <c r="FG50" s="15"/>
      <c r="FH50" s="15"/>
      <c r="FI50" s="15"/>
      <c r="FJ50" s="184"/>
      <c r="FK50" s="15"/>
      <c r="FL50" s="15"/>
      <c r="FM50" s="15"/>
      <c r="FN50" s="15"/>
      <c r="FO50" s="15"/>
      <c r="FP50" s="15"/>
      <c r="FQ50" s="184"/>
      <c r="FR50" s="15"/>
      <c r="FS50" s="15"/>
      <c r="FT50" s="15"/>
      <c r="FU50" s="15"/>
      <c r="FV50" s="15"/>
      <c r="FW50" s="178"/>
      <c r="FX50" s="184"/>
      <c r="FY50" s="181"/>
      <c r="FZ50" s="15"/>
      <c r="GA50" s="15"/>
      <c r="GB50" s="15"/>
      <c r="GC50" s="15"/>
      <c r="GD50" s="15"/>
      <c r="GE50" s="184"/>
      <c r="GF50" s="15"/>
      <c r="GG50" s="15"/>
      <c r="GH50" s="15"/>
      <c r="GI50" s="15"/>
      <c r="GJ50" s="15"/>
      <c r="GK50" s="15"/>
      <c r="GL50" s="184"/>
      <c r="GM50" s="15"/>
      <c r="GN50" s="15"/>
      <c r="GO50" s="15"/>
      <c r="GP50" s="15"/>
      <c r="GQ50" s="15"/>
      <c r="GR50" s="15"/>
      <c r="GS50" s="184"/>
      <c r="GT50" s="15"/>
      <c r="GU50" s="15"/>
      <c r="GV50" s="15"/>
      <c r="GW50" s="15"/>
      <c r="GX50" s="15"/>
      <c r="GY50" s="15"/>
      <c r="GZ50" s="184"/>
      <c r="HA50" s="15"/>
      <c r="HB50" s="15"/>
      <c r="HC50" s="15"/>
      <c r="HD50" s="15"/>
      <c r="HE50" s="15"/>
      <c r="HF50" s="15"/>
      <c r="HG50" s="184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</row>
    <row r="51" spans="2:390" ht="19.5" customHeight="1" x14ac:dyDescent="0.45">
      <c r="B51" s="1">
        <f t="shared" si="44"/>
        <v>2</v>
      </c>
      <c r="C51" s="1">
        <f>+C50</f>
        <v>2</v>
      </c>
      <c r="D51" s="1">
        <v>1</v>
      </c>
      <c r="E51" s="59" t="str">
        <f t="shared" si="43"/>
        <v>2.2.1</v>
      </c>
      <c r="F51" s="23" t="s">
        <v>53</v>
      </c>
      <c r="G51" s="191">
        <v>2.2999999999999998</v>
      </c>
      <c r="H51" s="52" t="s">
        <v>117</v>
      </c>
      <c r="I51" s="52" t="s">
        <v>156</v>
      </c>
      <c r="J51" s="52">
        <v>45</v>
      </c>
      <c r="K51" s="52">
        <v>45</v>
      </c>
      <c r="L51" s="53">
        <f>+J51-K51</f>
        <v>0</v>
      </c>
      <c r="M51" s="52">
        <v>0</v>
      </c>
      <c r="N51" s="52">
        <v>0</v>
      </c>
      <c r="O51" s="51">
        <f>+N51*M51</f>
        <v>0</v>
      </c>
      <c r="P51" s="51">
        <f>+SUM(AA51:NZ51)</f>
        <v>0</v>
      </c>
      <c r="Q51" s="51">
        <f>+O51-P51</f>
        <v>0</v>
      </c>
      <c r="R51" s="19"/>
      <c r="S51" s="20"/>
      <c r="T51" s="21" t="str">
        <f t="shared" si="30"/>
        <v/>
      </c>
      <c r="U51" s="22">
        <f>+K51/J51</f>
        <v>1</v>
      </c>
      <c r="V51" s="199">
        <f t="shared" si="31"/>
        <v>0</v>
      </c>
      <c r="W51" s="158"/>
      <c r="X51" s="159"/>
      <c r="Y51" s="199">
        <f t="shared" si="32"/>
        <v>0</v>
      </c>
      <c r="Z51" s="35"/>
      <c r="AA51" s="15"/>
      <c r="AB51" s="15"/>
      <c r="AC51" s="15"/>
      <c r="AD51" s="15"/>
      <c r="AE51" s="15"/>
      <c r="AF51" s="15"/>
      <c r="AG51" s="184"/>
      <c r="AH51" s="15"/>
      <c r="AI51" s="15"/>
      <c r="AJ51" s="15"/>
      <c r="AK51" s="15"/>
      <c r="AL51" s="15"/>
      <c r="AM51" s="15"/>
      <c r="AN51" s="184"/>
      <c r="AO51" s="15"/>
      <c r="AP51" s="15"/>
      <c r="AQ51" s="15"/>
      <c r="AR51" s="15"/>
      <c r="AS51" s="15"/>
      <c r="AT51" s="15"/>
      <c r="AU51" s="184"/>
      <c r="AV51" s="15"/>
      <c r="AW51" s="15"/>
      <c r="AX51" s="15"/>
      <c r="AY51" s="15"/>
      <c r="AZ51" s="15"/>
      <c r="BA51" s="15"/>
      <c r="BB51" s="184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84"/>
      <c r="CE51" s="15"/>
      <c r="CF51" s="15"/>
      <c r="CG51" s="15"/>
      <c r="CH51" s="15"/>
      <c r="CI51" s="15"/>
      <c r="CJ51" s="15"/>
      <c r="CK51" s="184"/>
      <c r="CL51" s="15"/>
      <c r="CM51" s="15"/>
      <c r="CN51" s="15"/>
      <c r="CO51" s="15"/>
      <c r="CP51" s="15"/>
      <c r="CQ51" s="15"/>
      <c r="CR51" s="184"/>
      <c r="CS51" s="15"/>
      <c r="CT51" s="15"/>
      <c r="CU51" s="15"/>
      <c r="CV51" s="15"/>
      <c r="CW51" s="15"/>
      <c r="CX51" s="15"/>
      <c r="CY51" s="184"/>
      <c r="CZ51" s="15"/>
      <c r="DA51" s="15"/>
      <c r="DB51" s="15"/>
      <c r="DC51" s="15"/>
      <c r="DD51" s="15"/>
      <c r="DE51" s="15"/>
      <c r="DF51" s="184"/>
      <c r="DG51" s="15"/>
      <c r="DH51" s="15"/>
      <c r="DI51" s="15"/>
      <c r="DJ51" s="15"/>
      <c r="DK51" s="15"/>
      <c r="DL51" s="15"/>
      <c r="DM51" s="184"/>
      <c r="DN51" s="15"/>
      <c r="DO51" s="15"/>
      <c r="DP51" s="15"/>
      <c r="DQ51" s="15"/>
      <c r="DR51" s="15"/>
      <c r="DS51" s="15"/>
      <c r="DT51" s="184"/>
      <c r="DU51" s="15"/>
      <c r="DV51" s="15"/>
      <c r="DW51" s="15"/>
      <c r="DX51" s="15"/>
      <c r="DY51" s="15"/>
      <c r="DZ51" s="15"/>
      <c r="EA51" s="184"/>
      <c r="EB51" s="15"/>
      <c r="EC51" s="15"/>
      <c r="ED51" s="15"/>
      <c r="EE51" s="15"/>
      <c r="EF51" s="15"/>
      <c r="EG51" s="15"/>
      <c r="EH51" s="184"/>
      <c r="EI51" s="15"/>
      <c r="EJ51" s="15"/>
      <c r="EK51" s="15"/>
      <c r="EL51" s="15"/>
      <c r="EM51" s="15"/>
      <c r="EN51" s="15"/>
      <c r="EO51" s="184"/>
      <c r="EP51" s="15"/>
      <c r="EQ51" s="15"/>
      <c r="ER51" s="15"/>
      <c r="ES51" s="15"/>
      <c r="ET51" s="15"/>
      <c r="EU51" s="15"/>
      <c r="EV51" s="184"/>
      <c r="EW51" s="15"/>
      <c r="EX51" s="15"/>
      <c r="EY51" s="15"/>
      <c r="EZ51" s="15"/>
      <c r="FA51" s="15"/>
      <c r="FB51" s="15"/>
      <c r="FC51" s="184"/>
      <c r="FD51" s="15"/>
      <c r="FE51" s="15"/>
      <c r="FF51" s="15"/>
      <c r="FG51" s="15"/>
      <c r="FH51" s="15"/>
      <c r="FI51" s="15"/>
      <c r="FJ51" s="184"/>
      <c r="FK51" s="15"/>
      <c r="FL51" s="15"/>
      <c r="FM51" s="15"/>
      <c r="FN51" s="15"/>
      <c r="FO51" s="15"/>
      <c r="FP51" s="15"/>
      <c r="FQ51" s="184"/>
      <c r="FR51" s="15"/>
      <c r="FS51" s="15"/>
      <c r="FT51" s="15"/>
      <c r="FU51" s="15"/>
      <c r="FV51" s="15"/>
      <c r="FW51" s="178"/>
      <c r="FX51" s="184"/>
      <c r="FY51" s="181"/>
      <c r="FZ51" s="15"/>
      <c r="GA51" s="15"/>
      <c r="GB51" s="15"/>
      <c r="GC51" s="15"/>
      <c r="GD51" s="15"/>
      <c r="GE51" s="184"/>
      <c r="GF51" s="15"/>
      <c r="GG51" s="15"/>
      <c r="GH51" s="15"/>
      <c r="GI51" s="15"/>
      <c r="GJ51" s="15"/>
      <c r="GK51" s="15"/>
      <c r="GL51" s="184"/>
      <c r="GM51" s="15"/>
      <c r="GN51" s="15"/>
      <c r="GO51" s="15"/>
      <c r="GP51" s="15"/>
      <c r="GQ51" s="15"/>
      <c r="GR51" s="15"/>
      <c r="GS51" s="184"/>
      <c r="GT51" s="15"/>
      <c r="GU51" s="15"/>
      <c r="GV51" s="15"/>
      <c r="GW51" s="15"/>
      <c r="GX51" s="15"/>
      <c r="GY51" s="15"/>
      <c r="GZ51" s="184"/>
      <c r="HA51" s="15"/>
      <c r="HB51" s="15"/>
      <c r="HC51" s="15"/>
      <c r="HD51" s="15"/>
      <c r="HE51" s="15"/>
      <c r="HF51" s="15"/>
      <c r="HG51" s="184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</row>
    <row r="52" spans="2:390" ht="19.5" customHeight="1" x14ac:dyDescent="0.45">
      <c r="B52" s="1">
        <f t="shared" si="44"/>
        <v>2</v>
      </c>
      <c r="C52" s="1">
        <f>+C50+1</f>
        <v>3</v>
      </c>
      <c r="D52" s="1">
        <v>0</v>
      </c>
      <c r="E52" s="93" t="str">
        <f t="shared" si="43"/>
        <v>2.3.0</v>
      </c>
      <c r="F52" s="99" t="s">
        <v>14</v>
      </c>
      <c r="G52" s="99"/>
      <c r="H52" s="100"/>
      <c r="I52" s="100"/>
      <c r="J52" s="101"/>
      <c r="K52" s="101"/>
      <c r="L52" s="111"/>
      <c r="M52" s="99"/>
      <c r="N52" s="99"/>
      <c r="O52" s="95">
        <f>SUM(O53:O54)</f>
        <v>102</v>
      </c>
      <c r="P52" s="95"/>
      <c r="Q52" s="95"/>
      <c r="R52" s="168"/>
      <c r="S52" s="98"/>
      <c r="T52" s="163" t="str">
        <f t="shared" si="30"/>
        <v/>
      </c>
      <c r="U52" s="164">
        <f>+SUMPRODUCT(U53:U55,O53:O55)/O52</f>
        <v>0.35294117647058826</v>
      </c>
      <c r="V52" s="200">
        <f t="shared" si="31"/>
        <v>36</v>
      </c>
      <c r="W52" s="158">
        <f t="shared" ref="W52:W59" si="45">SUMIFS($AA52:$NZ52, $AA$8:$NZ$8, $W$12)/$O52</f>
        <v>0</v>
      </c>
      <c r="X52" s="159">
        <f t="shared" ref="X52:X59" si="46">SUMIF($AA$9:$NZ$9, "&lt;=" &amp; $W$11,$AA52:$NZ52)/$O52</f>
        <v>0</v>
      </c>
      <c r="Y52" s="199">
        <f t="shared" si="32"/>
        <v>0</v>
      </c>
      <c r="Z52" s="36"/>
      <c r="AA52" s="15"/>
      <c r="AB52" s="15"/>
      <c r="AC52" s="15"/>
      <c r="AD52" s="15"/>
      <c r="AE52" s="15"/>
      <c r="AF52" s="15"/>
      <c r="AG52" s="184"/>
      <c r="AH52" s="15"/>
      <c r="AI52" s="15"/>
      <c r="AJ52" s="15"/>
      <c r="AK52" s="15"/>
      <c r="AL52" s="15"/>
      <c r="AM52" s="15"/>
      <c r="AN52" s="184"/>
      <c r="AO52" s="15"/>
      <c r="AP52" s="15"/>
      <c r="AQ52" s="15"/>
      <c r="AR52" s="15"/>
      <c r="AS52" s="15"/>
      <c r="AT52" s="15"/>
      <c r="AU52" s="184"/>
      <c r="AV52" s="15"/>
      <c r="AW52" s="15"/>
      <c r="AX52" s="15"/>
      <c r="AY52" s="15"/>
      <c r="AZ52" s="15"/>
      <c r="BA52" s="15"/>
      <c r="BB52" s="184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84"/>
      <c r="CE52" s="15"/>
      <c r="CF52" s="15"/>
      <c r="CG52" s="15"/>
      <c r="CH52" s="15"/>
      <c r="CI52" s="15"/>
      <c r="CJ52" s="15"/>
      <c r="CK52" s="184"/>
      <c r="CL52" s="15"/>
      <c r="CM52" s="15"/>
      <c r="CN52" s="15"/>
      <c r="CO52" s="15"/>
      <c r="CP52" s="15"/>
      <c r="CQ52" s="15"/>
      <c r="CR52" s="184"/>
      <c r="CS52" s="15"/>
      <c r="CT52" s="15"/>
      <c r="CU52" s="15"/>
      <c r="CV52" s="15"/>
      <c r="CW52" s="15"/>
      <c r="CX52" s="15"/>
      <c r="CY52" s="184"/>
      <c r="CZ52" s="15"/>
      <c r="DA52" s="15"/>
      <c r="DB52" s="15"/>
      <c r="DC52" s="15"/>
      <c r="DD52" s="15"/>
      <c r="DE52" s="15"/>
      <c r="DF52" s="184"/>
      <c r="DG52" s="15"/>
      <c r="DH52" s="15"/>
      <c r="DI52" s="15"/>
      <c r="DJ52" s="15"/>
      <c r="DK52" s="15"/>
      <c r="DL52" s="15"/>
      <c r="DM52" s="184"/>
      <c r="DN52" s="15"/>
      <c r="DO52" s="15"/>
      <c r="DP52" s="15"/>
      <c r="DQ52" s="15"/>
      <c r="DR52" s="15"/>
      <c r="DS52" s="15"/>
      <c r="DT52" s="184"/>
      <c r="DU52" s="15"/>
      <c r="DV52" s="15"/>
      <c r="DW52" s="15"/>
      <c r="DX52" s="15"/>
      <c r="DY52" s="15"/>
      <c r="DZ52" s="15"/>
      <c r="EA52" s="184"/>
      <c r="EB52" s="15"/>
      <c r="EC52" s="15"/>
      <c r="ED52" s="15"/>
      <c r="EE52" s="15"/>
      <c r="EF52" s="15"/>
      <c r="EG52" s="15"/>
      <c r="EH52" s="184"/>
      <c r="EI52" s="15"/>
      <c r="EJ52" s="15"/>
      <c r="EK52" s="15"/>
      <c r="EL52" s="15"/>
      <c r="EM52" s="15"/>
      <c r="EN52" s="15"/>
      <c r="EO52" s="184"/>
      <c r="EP52" s="15"/>
      <c r="EQ52" s="15"/>
      <c r="ER52" s="15"/>
      <c r="ES52" s="15"/>
      <c r="ET52" s="15"/>
      <c r="EU52" s="15"/>
      <c r="EV52" s="184"/>
      <c r="EW52" s="15"/>
      <c r="EX52" s="15"/>
      <c r="EY52" s="15"/>
      <c r="EZ52" s="15"/>
      <c r="FA52" s="15"/>
      <c r="FB52" s="15"/>
      <c r="FC52" s="184"/>
      <c r="FD52" s="15"/>
      <c r="FE52" s="15"/>
      <c r="FF52" s="15"/>
      <c r="FG52" s="15"/>
      <c r="FH52" s="15"/>
      <c r="FI52" s="15"/>
      <c r="FJ52" s="184"/>
      <c r="FK52" s="15"/>
      <c r="FL52" s="15"/>
      <c r="FM52" s="15"/>
      <c r="FN52" s="15"/>
      <c r="FO52" s="15"/>
      <c r="FP52" s="15"/>
      <c r="FQ52" s="184"/>
      <c r="FR52" s="15"/>
      <c r="FS52" s="15"/>
      <c r="FT52" s="15"/>
      <c r="FU52" s="15"/>
      <c r="FV52" s="15"/>
      <c r="FW52" s="178"/>
      <c r="FX52" s="184"/>
      <c r="FY52" s="181"/>
      <c r="FZ52" s="15"/>
      <c r="GA52" s="15"/>
      <c r="GB52" s="15"/>
      <c r="GC52" s="15"/>
      <c r="GD52" s="15"/>
      <c r="GE52" s="184"/>
      <c r="GF52" s="15"/>
      <c r="GG52" s="15"/>
      <c r="GH52" s="15"/>
      <c r="GI52" s="15"/>
      <c r="GJ52" s="15"/>
      <c r="GK52" s="15"/>
      <c r="GL52" s="184"/>
      <c r="GM52" s="15"/>
      <c r="GN52" s="15"/>
      <c r="GO52" s="15"/>
      <c r="GP52" s="15"/>
      <c r="GQ52" s="15"/>
      <c r="GR52" s="15"/>
      <c r="GS52" s="184"/>
      <c r="GT52" s="15"/>
      <c r="GU52" s="15"/>
      <c r="GV52" s="15"/>
      <c r="GW52" s="15"/>
      <c r="GX52" s="15"/>
      <c r="GY52" s="15"/>
      <c r="GZ52" s="184"/>
      <c r="HA52" s="15"/>
      <c r="HB52" s="15"/>
      <c r="HC52" s="15"/>
      <c r="HD52" s="15"/>
      <c r="HE52" s="15"/>
      <c r="HF52" s="15"/>
      <c r="HG52" s="184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</row>
    <row r="53" spans="2:390" ht="19.5" customHeight="1" x14ac:dyDescent="0.45">
      <c r="B53" s="1">
        <f t="shared" si="44"/>
        <v>2</v>
      </c>
      <c r="C53" s="1">
        <f>+C52</f>
        <v>3</v>
      </c>
      <c r="D53" s="1">
        <v>1</v>
      </c>
      <c r="E53" s="59" t="str">
        <f t="shared" si="43"/>
        <v>2.3.1</v>
      </c>
      <c r="F53" s="23" t="s">
        <v>23</v>
      </c>
      <c r="G53" s="191" t="s">
        <v>145</v>
      </c>
      <c r="H53" s="52" t="s">
        <v>117</v>
      </c>
      <c r="I53" s="52" t="s">
        <v>158</v>
      </c>
      <c r="J53" s="52">
        <v>5</v>
      </c>
      <c r="K53" s="52">
        <v>0</v>
      </c>
      <c r="L53" s="53">
        <f>+J53-K53</f>
        <v>5</v>
      </c>
      <c r="M53" s="52">
        <v>4</v>
      </c>
      <c r="N53" s="52">
        <v>3</v>
      </c>
      <c r="O53" s="51">
        <f>+N53*M53</f>
        <v>12</v>
      </c>
      <c r="P53" s="51">
        <f>+SUM(AA53:NZ53)</f>
        <v>12</v>
      </c>
      <c r="Q53" s="51">
        <f>+O53-P53</f>
        <v>0</v>
      </c>
      <c r="R53" s="19">
        <v>46055</v>
      </c>
      <c r="S53" s="20">
        <v>3</v>
      </c>
      <c r="T53" s="21">
        <f t="shared" si="30"/>
        <v>46057</v>
      </c>
      <c r="U53" s="22">
        <f>+K53/J53</f>
        <v>0</v>
      </c>
      <c r="V53" s="199">
        <f t="shared" si="31"/>
        <v>0</v>
      </c>
      <c r="W53" s="158">
        <f t="shared" si="45"/>
        <v>0</v>
      </c>
      <c r="X53" s="159">
        <f t="shared" si="46"/>
        <v>0</v>
      </c>
      <c r="Y53" s="199">
        <f t="shared" si="32"/>
        <v>0</v>
      </c>
      <c r="Z53" s="36"/>
      <c r="AA53" s="15"/>
      <c r="AB53" s="15"/>
      <c r="AC53" s="15"/>
      <c r="AD53" s="15"/>
      <c r="AE53" s="15"/>
      <c r="AF53" s="15"/>
      <c r="AG53" s="184"/>
      <c r="AH53" s="15"/>
      <c r="AI53" s="15"/>
      <c r="AJ53" s="15"/>
      <c r="AK53" s="15"/>
      <c r="AL53" s="15"/>
      <c r="AM53" s="15"/>
      <c r="AN53" s="184"/>
      <c r="AO53" s="15"/>
      <c r="AP53" s="15"/>
      <c r="AQ53" s="15"/>
      <c r="AR53" s="15"/>
      <c r="AS53" s="15"/>
      <c r="AT53" s="15"/>
      <c r="AU53" s="184"/>
      <c r="AV53" s="15"/>
      <c r="AW53" s="15"/>
      <c r="AX53" s="15"/>
      <c r="AY53" s="15"/>
      <c r="AZ53" s="15"/>
      <c r="BA53" s="15"/>
      <c r="BB53" s="184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84"/>
      <c r="CE53" s="15"/>
      <c r="CF53" s="15"/>
      <c r="CG53" s="15"/>
      <c r="CH53" s="15"/>
      <c r="CI53" s="15"/>
      <c r="CJ53" s="15"/>
      <c r="CK53" s="184"/>
      <c r="CL53" s="15"/>
      <c r="CM53" s="15"/>
      <c r="CN53" s="15"/>
      <c r="CO53" s="15"/>
      <c r="CP53" s="15"/>
      <c r="CQ53" s="15"/>
      <c r="CR53" s="184"/>
      <c r="CS53" s="15">
        <v>4</v>
      </c>
      <c r="CT53" s="15">
        <v>4</v>
      </c>
      <c r="CU53" s="15">
        <v>4</v>
      </c>
      <c r="CV53" s="15"/>
      <c r="CW53" s="15"/>
      <c r="CX53" s="15"/>
      <c r="CY53" s="184"/>
      <c r="CZ53" s="15"/>
      <c r="DA53" s="15"/>
      <c r="DB53" s="15"/>
      <c r="DC53" s="15"/>
      <c r="DD53" s="15"/>
      <c r="DE53" s="15"/>
      <c r="DF53" s="184"/>
      <c r="DG53" s="15"/>
      <c r="DH53" s="15"/>
      <c r="DI53" s="15"/>
      <c r="DJ53" s="15"/>
      <c r="DK53" s="15"/>
      <c r="DL53" s="15"/>
      <c r="DM53" s="184"/>
      <c r="DN53" s="15"/>
      <c r="DO53" s="15"/>
      <c r="DP53" s="15"/>
      <c r="DQ53" s="15"/>
      <c r="DR53" s="15"/>
      <c r="DS53" s="15"/>
      <c r="DT53" s="184"/>
      <c r="DU53" s="15"/>
      <c r="DV53" s="15"/>
      <c r="DW53" s="15"/>
      <c r="DX53" s="15"/>
      <c r="DY53" s="15"/>
      <c r="DZ53" s="15"/>
      <c r="EA53" s="184"/>
      <c r="EB53" s="15"/>
      <c r="EC53" s="15"/>
      <c r="ED53" s="15"/>
      <c r="EE53" s="15"/>
      <c r="EF53" s="15"/>
      <c r="EG53" s="15"/>
      <c r="EH53" s="184"/>
      <c r="EI53" s="15"/>
      <c r="EJ53" s="15"/>
      <c r="EK53" s="15"/>
      <c r="EL53" s="15"/>
      <c r="EM53" s="15"/>
      <c r="EN53" s="15"/>
      <c r="EO53" s="184"/>
      <c r="EP53" s="15"/>
      <c r="EQ53" s="15"/>
      <c r="ER53" s="15"/>
      <c r="ES53" s="15"/>
      <c r="ET53" s="15"/>
      <c r="EU53" s="15"/>
      <c r="EV53" s="184"/>
      <c r="EW53" s="15"/>
      <c r="EX53" s="15"/>
      <c r="EY53" s="15"/>
      <c r="EZ53" s="15"/>
      <c r="FA53" s="15"/>
      <c r="FB53" s="15"/>
      <c r="FC53" s="184"/>
      <c r="FD53" s="15"/>
      <c r="FE53" s="15"/>
      <c r="FF53" s="15"/>
      <c r="FG53" s="15"/>
      <c r="FH53" s="15"/>
      <c r="FI53" s="15"/>
      <c r="FJ53" s="184"/>
      <c r="FK53" s="15"/>
      <c r="FL53" s="15"/>
      <c r="FM53" s="15"/>
      <c r="FN53" s="15"/>
      <c r="FO53" s="15"/>
      <c r="FP53" s="15"/>
      <c r="FQ53" s="184"/>
      <c r="FR53" s="15"/>
      <c r="FS53" s="15"/>
      <c r="FT53" s="15"/>
      <c r="FU53" s="15"/>
      <c r="FV53" s="15"/>
      <c r="FW53" s="178"/>
      <c r="FX53" s="184"/>
      <c r="FY53" s="181"/>
      <c r="FZ53" s="15"/>
      <c r="GA53" s="15"/>
      <c r="GB53" s="15"/>
      <c r="GC53" s="15"/>
      <c r="GD53" s="15"/>
      <c r="GE53" s="184"/>
      <c r="GF53" s="15"/>
      <c r="GG53" s="15"/>
      <c r="GH53" s="15"/>
      <c r="GI53" s="15"/>
      <c r="GJ53" s="15"/>
      <c r="GK53" s="15"/>
      <c r="GL53" s="184"/>
      <c r="GM53" s="15"/>
      <c r="GN53" s="15"/>
      <c r="GO53" s="15"/>
      <c r="GP53" s="15"/>
      <c r="GQ53" s="15"/>
      <c r="GR53" s="15"/>
      <c r="GS53" s="184"/>
      <c r="GT53" s="15"/>
      <c r="GU53" s="15"/>
      <c r="GV53" s="15"/>
      <c r="GW53" s="15"/>
      <c r="GX53" s="15"/>
      <c r="GY53" s="15"/>
      <c r="GZ53" s="184"/>
      <c r="HA53" s="15"/>
      <c r="HB53" s="15"/>
      <c r="HC53" s="15"/>
      <c r="HD53" s="15"/>
      <c r="HE53" s="15"/>
      <c r="HF53" s="15"/>
      <c r="HG53" s="184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  <c r="MG53" s="15"/>
      <c r="MH53" s="15"/>
      <c r="MI53" s="15"/>
      <c r="MJ53" s="15"/>
      <c r="MK53" s="15"/>
      <c r="ML53" s="15"/>
      <c r="MM53" s="15"/>
      <c r="MN53" s="15"/>
      <c r="MO53" s="15"/>
      <c r="MP53" s="15"/>
      <c r="MQ53" s="15"/>
      <c r="MR53" s="15"/>
      <c r="MS53" s="15"/>
      <c r="MT53" s="15"/>
      <c r="MU53" s="15"/>
      <c r="MV53" s="15"/>
      <c r="MW53" s="15"/>
      <c r="MX53" s="15"/>
      <c r="MY53" s="15"/>
      <c r="MZ53" s="15"/>
      <c r="NA53" s="15"/>
      <c r="NB53" s="15"/>
      <c r="NC53" s="15"/>
      <c r="ND53" s="15"/>
      <c r="NE53" s="15"/>
      <c r="NF53" s="15"/>
      <c r="NG53" s="15"/>
      <c r="NH53" s="15"/>
      <c r="NI53" s="15"/>
      <c r="NJ53" s="15"/>
      <c r="NK53" s="15"/>
      <c r="NL53" s="15"/>
      <c r="NM53" s="15"/>
      <c r="NN53" s="15"/>
      <c r="NO53" s="15"/>
      <c r="NP53" s="15"/>
      <c r="NQ53" s="15"/>
      <c r="NR53" s="15"/>
      <c r="NS53" s="15"/>
      <c r="NT53" s="15"/>
      <c r="NU53" s="15"/>
      <c r="NV53" s="15"/>
      <c r="NW53" s="15"/>
      <c r="NX53" s="15"/>
      <c r="NY53" s="15"/>
      <c r="NZ53" s="15"/>
    </row>
    <row r="54" spans="2:390" ht="19.5" customHeight="1" x14ac:dyDescent="0.45">
      <c r="B54" s="1">
        <f t="shared" si="44"/>
        <v>2</v>
      </c>
      <c r="C54" s="1">
        <f>+C53</f>
        <v>3</v>
      </c>
      <c r="D54" s="1">
        <f>+D53+1</f>
        <v>2</v>
      </c>
      <c r="E54" s="59" t="str">
        <f t="shared" si="43"/>
        <v>2.3.2</v>
      </c>
      <c r="F54" s="23" t="s">
        <v>132</v>
      </c>
      <c r="G54" s="191">
        <v>2.2999999999999998</v>
      </c>
      <c r="H54" s="52" t="s">
        <v>117</v>
      </c>
      <c r="I54" s="52" t="s">
        <v>156</v>
      </c>
      <c r="J54" s="52">
        <v>6</v>
      </c>
      <c r="K54" s="52">
        <v>0</v>
      </c>
      <c r="L54" s="53">
        <f>+J54-K54</f>
        <v>6</v>
      </c>
      <c r="M54" s="52">
        <v>3</v>
      </c>
      <c r="N54" s="52">
        <v>30</v>
      </c>
      <c r="O54" s="51">
        <f>+N54*M54</f>
        <v>90</v>
      </c>
      <c r="P54" s="51">
        <f>+SUM(AA54:NZ54)</f>
        <v>81</v>
      </c>
      <c r="Q54" s="51">
        <f>+O54-P54</f>
        <v>9</v>
      </c>
      <c r="R54" s="19">
        <v>46034</v>
      </c>
      <c r="S54" s="20">
        <v>15</v>
      </c>
      <c r="T54" s="21">
        <f t="shared" si="30"/>
        <v>46052</v>
      </c>
      <c r="U54" s="22">
        <f>+K54/J54</f>
        <v>0</v>
      </c>
      <c r="V54" s="199">
        <f t="shared" si="31"/>
        <v>0</v>
      </c>
      <c r="W54" s="158">
        <f t="shared" si="45"/>
        <v>0</v>
      </c>
      <c r="X54" s="159">
        <f t="shared" si="46"/>
        <v>0</v>
      </c>
      <c r="Y54" s="199">
        <f t="shared" si="32"/>
        <v>0</v>
      </c>
      <c r="Z54" s="36"/>
      <c r="AA54" s="15"/>
      <c r="AB54" s="15"/>
      <c r="AC54" s="15"/>
      <c r="AD54" s="15"/>
      <c r="AE54" s="15"/>
      <c r="AF54" s="15"/>
      <c r="AG54" s="184"/>
      <c r="AH54" s="15"/>
      <c r="AI54" s="15"/>
      <c r="AJ54" s="15"/>
      <c r="AK54" s="15"/>
      <c r="AL54" s="15"/>
      <c r="AM54" s="15"/>
      <c r="AN54" s="184"/>
      <c r="AO54" s="15"/>
      <c r="AP54" s="15"/>
      <c r="AQ54" s="15"/>
      <c r="AR54" s="15"/>
      <c r="AS54" s="15"/>
      <c r="AT54" s="15"/>
      <c r="AU54" s="184"/>
      <c r="AV54" s="15"/>
      <c r="AW54" s="15"/>
      <c r="AX54" s="15"/>
      <c r="AY54" s="15"/>
      <c r="AZ54" s="15"/>
      <c r="BA54" s="15"/>
      <c r="BB54" s="184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>
        <v>6</v>
      </c>
      <c r="BY54" s="15">
        <v>6</v>
      </c>
      <c r="BZ54" s="15">
        <v>6</v>
      </c>
      <c r="CA54" s="15">
        <v>6</v>
      </c>
      <c r="CB54" s="15">
        <v>6</v>
      </c>
      <c r="CC54" s="15">
        <v>6</v>
      </c>
      <c r="CD54" s="184"/>
      <c r="CE54" s="15">
        <v>3</v>
      </c>
      <c r="CF54" s="15">
        <v>3</v>
      </c>
      <c r="CG54" s="15">
        <v>3</v>
      </c>
      <c r="CH54" s="15">
        <v>3</v>
      </c>
      <c r="CI54" s="15">
        <v>3</v>
      </c>
      <c r="CJ54" s="15">
        <v>3</v>
      </c>
      <c r="CK54" s="184"/>
      <c r="CL54" s="15">
        <v>3</v>
      </c>
      <c r="CM54" s="15">
        <v>3</v>
      </c>
      <c r="CN54" s="15">
        <v>3</v>
      </c>
      <c r="CO54" s="15">
        <v>6</v>
      </c>
      <c r="CP54" s="15">
        <v>6</v>
      </c>
      <c r="CQ54" s="15">
        <v>6</v>
      </c>
      <c r="CR54" s="184"/>
      <c r="CS54" s="15"/>
      <c r="CT54" s="15"/>
      <c r="CU54" s="15"/>
      <c r="CV54" s="15"/>
      <c r="CW54" s="15"/>
      <c r="CX54" s="15"/>
      <c r="CY54" s="184"/>
      <c r="CZ54" s="15"/>
      <c r="DA54" s="15"/>
      <c r="DB54" s="15"/>
      <c r="DC54" s="15"/>
      <c r="DD54" s="15"/>
      <c r="DE54" s="15"/>
      <c r="DF54" s="184"/>
      <c r="DG54" s="15"/>
      <c r="DH54" s="15"/>
      <c r="DI54" s="15"/>
      <c r="DJ54" s="15"/>
      <c r="DK54" s="15"/>
      <c r="DL54" s="15"/>
      <c r="DM54" s="184"/>
      <c r="DN54" s="15"/>
      <c r="DO54" s="15"/>
      <c r="DP54" s="15"/>
      <c r="DQ54" s="15"/>
      <c r="DR54" s="15"/>
      <c r="DS54" s="15"/>
      <c r="DT54" s="184"/>
      <c r="DU54" s="15"/>
      <c r="DV54" s="15"/>
      <c r="DW54" s="15"/>
      <c r="DX54" s="15"/>
      <c r="DY54" s="15"/>
      <c r="DZ54" s="15"/>
      <c r="EA54" s="184"/>
      <c r="EB54" s="15"/>
      <c r="EC54" s="15"/>
      <c r="ED54" s="15"/>
      <c r="EE54" s="15"/>
      <c r="EF54" s="15"/>
      <c r="EG54" s="15"/>
      <c r="EH54" s="184"/>
      <c r="EI54" s="15"/>
      <c r="EJ54" s="15"/>
      <c r="EK54" s="15"/>
      <c r="EL54" s="15"/>
      <c r="EM54" s="15"/>
      <c r="EN54" s="15"/>
      <c r="EO54" s="184"/>
      <c r="EP54" s="15"/>
      <c r="EQ54" s="15"/>
      <c r="ER54" s="15"/>
      <c r="ES54" s="15"/>
      <c r="ET54" s="15"/>
      <c r="EU54" s="15"/>
      <c r="EV54" s="184"/>
      <c r="EW54" s="15"/>
      <c r="EX54" s="15"/>
      <c r="EY54" s="15"/>
      <c r="EZ54" s="15"/>
      <c r="FA54" s="15"/>
      <c r="FB54" s="15"/>
      <c r="FC54" s="184"/>
      <c r="FD54" s="15"/>
      <c r="FE54" s="15"/>
      <c r="FF54" s="15"/>
      <c r="FG54" s="15"/>
      <c r="FH54" s="15"/>
      <c r="FI54" s="15"/>
      <c r="FJ54" s="184"/>
      <c r="FK54" s="15"/>
      <c r="FL54" s="15"/>
      <c r="FM54" s="15"/>
      <c r="FN54" s="15"/>
      <c r="FO54" s="15"/>
      <c r="FP54" s="15"/>
      <c r="FQ54" s="184"/>
      <c r="FR54" s="15"/>
      <c r="FS54" s="15"/>
      <c r="FT54" s="15"/>
      <c r="FU54" s="15"/>
      <c r="FV54" s="15"/>
      <c r="FW54" s="178"/>
      <c r="FX54" s="184"/>
      <c r="FY54" s="181"/>
      <c r="FZ54" s="15"/>
      <c r="GA54" s="15"/>
      <c r="GB54" s="15"/>
      <c r="GC54" s="15"/>
      <c r="GD54" s="15"/>
      <c r="GE54" s="184"/>
      <c r="GF54" s="15"/>
      <c r="GG54" s="15"/>
      <c r="GH54" s="15"/>
      <c r="GI54" s="15"/>
      <c r="GJ54" s="15"/>
      <c r="GK54" s="15"/>
      <c r="GL54" s="184"/>
      <c r="GM54" s="15"/>
      <c r="GN54" s="15"/>
      <c r="GO54" s="15"/>
      <c r="GP54" s="15"/>
      <c r="GQ54" s="15"/>
      <c r="GR54" s="15"/>
      <c r="GS54" s="184"/>
      <c r="GT54" s="15"/>
      <c r="GU54" s="15"/>
      <c r="GV54" s="15"/>
      <c r="GW54" s="15"/>
      <c r="GX54" s="15"/>
      <c r="GY54" s="15"/>
      <c r="GZ54" s="184"/>
      <c r="HA54" s="15"/>
      <c r="HB54" s="15"/>
      <c r="HC54" s="15"/>
      <c r="HD54" s="15"/>
      <c r="HE54" s="15"/>
      <c r="HF54" s="15"/>
      <c r="HG54" s="184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</row>
    <row r="55" spans="2:390" ht="19.5" customHeight="1" x14ac:dyDescent="0.45">
      <c r="B55" s="1">
        <f t="shared" si="44"/>
        <v>2</v>
      </c>
      <c r="C55" s="1">
        <f>+C54</f>
        <v>3</v>
      </c>
      <c r="D55" s="1">
        <f>+D54+1</f>
        <v>3</v>
      </c>
      <c r="E55" s="59" t="str">
        <f t="shared" si="43"/>
        <v>2.3.3</v>
      </c>
      <c r="F55" s="23" t="s">
        <v>133</v>
      </c>
      <c r="G55" s="191">
        <v>2.2999999999999998</v>
      </c>
      <c r="H55" s="52" t="s">
        <v>117</v>
      </c>
      <c r="I55" s="52" t="s">
        <v>156</v>
      </c>
      <c r="J55" s="52">
        <v>6</v>
      </c>
      <c r="K55" s="52">
        <v>4</v>
      </c>
      <c r="L55" s="53">
        <f>+J55-K55</f>
        <v>2</v>
      </c>
      <c r="M55" s="52">
        <v>3</v>
      </c>
      <c r="N55" s="52">
        <v>18</v>
      </c>
      <c r="O55" s="51">
        <f>+N55*M55</f>
        <v>54</v>
      </c>
      <c r="P55" s="51">
        <f>+SUM(AA55:NZ55)</f>
        <v>54</v>
      </c>
      <c r="Q55" s="51">
        <f>+O55-P55</f>
        <v>0</v>
      </c>
      <c r="R55" s="19">
        <v>45985</v>
      </c>
      <c r="S55" s="20">
        <v>48</v>
      </c>
      <c r="T55" s="21">
        <f t="shared" si="30"/>
        <v>46050</v>
      </c>
      <c r="U55" s="22">
        <f>+K55/J55</f>
        <v>0.66666666666666663</v>
      </c>
      <c r="V55" s="199">
        <f t="shared" si="31"/>
        <v>36</v>
      </c>
      <c r="W55" s="158">
        <f t="shared" si="45"/>
        <v>0</v>
      </c>
      <c r="X55" s="159">
        <f t="shared" si="46"/>
        <v>0.5</v>
      </c>
      <c r="Y55" s="199">
        <f t="shared" si="32"/>
        <v>27</v>
      </c>
      <c r="Z55" s="36"/>
      <c r="AA55" s="15">
        <v>5</v>
      </c>
      <c r="AB55" s="15">
        <v>5</v>
      </c>
      <c r="AC55" s="15">
        <v>5</v>
      </c>
      <c r="AD55" s="15">
        <v>4</v>
      </c>
      <c r="AE55" s="15">
        <v>4</v>
      </c>
      <c r="AF55" s="15">
        <v>4</v>
      </c>
      <c r="AG55" s="184"/>
      <c r="AH55" s="15"/>
      <c r="AI55" s="15"/>
      <c r="AJ55" s="15"/>
      <c r="AK55" s="15"/>
      <c r="AL55" s="15"/>
      <c r="AM55" s="15"/>
      <c r="AN55" s="184"/>
      <c r="AO55" s="15"/>
      <c r="AP55" s="15"/>
      <c r="AQ55" s="15"/>
      <c r="AR55" s="15"/>
      <c r="AS55" s="15"/>
      <c r="AT55" s="15"/>
      <c r="AU55" s="184"/>
      <c r="AV55" s="15"/>
      <c r="AW55" s="15"/>
      <c r="AX55" s="15"/>
      <c r="AY55" s="15"/>
      <c r="AZ55" s="15"/>
      <c r="BA55" s="15"/>
      <c r="BB55" s="184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84"/>
      <c r="CE55" s="15">
        <v>3</v>
      </c>
      <c r="CF55" s="15">
        <v>3</v>
      </c>
      <c r="CG55" s="15">
        <v>3</v>
      </c>
      <c r="CH55" s="15">
        <v>3</v>
      </c>
      <c r="CI55" s="15">
        <v>3</v>
      </c>
      <c r="CJ55" s="15">
        <v>3</v>
      </c>
      <c r="CK55" s="184"/>
      <c r="CL55" s="15">
        <v>3</v>
      </c>
      <c r="CM55" s="15">
        <v>3</v>
      </c>
      <c r="CN55" s="15">
        <v>3</v>
      </c>
      <c r="CO55" s="15"/>
      <c r="CP55" s="15"/>
      <c r="CQ55" s="15"/>
      <c r="CR55" s="184"/>
      <c r="CS55" s="15"/>
      <c r="CT55" s="15"/>
      <c r="CU55" s="15"/>
      <c r="CV55" s="15"/>
      <c r="CW55" s="15"/>
      <c r="CX55" s="15"/>
      <c r="CY55" s="184"/>
      <c r="CZ55" s="15"/>
      <c r="DA55" s="15"/>
      <c r="DB55" s="15"/>
      <c r="DC55" s="15"/>
      <c r="DD55" s="15"/>
      <c r="DE55" s="15"/>
      <c r="DF55" s="184"/>
      <c r="DG55" s="15"/>
      <c r="DH55" s="15"/>
      <c r="DI55" s="15"/>
      <c r="DJ55" s="15"/>
      <c r="DK55" s="15"/>
      <c r="DL55" s="15"/>
      <c r="DM55" s="184"/>
      <c r="DN55" s="15"/>
      <c r="DO55" s="15"/>
      <c r="DP55" s="15"/>
      <c r="DQ55" s="15"/>
      <c r="DR55" s="15"/>
      <c r="DS55" s="15"/>
      <c r="DT55" s="184"/>
      <c r="DU55" s="15"/>
      <c r="DV55" s="15"/>
      <c r="DW55" s="15"/>
      <c r="DX55" s="15"/>
      <c r="DY55" s="15"/>
      <c r="DZ55" s="15"/>
      <c r="EA55" s="184"/>
      <c r="EB55" s="15"/>
      <c r="EC55" s="15"/>
      <c r="ED55" s="15"/>
      <c r="EE55" s="15"/>
      <c r="EF55" s="15"/>
      <c r="EG55" s="15"/>
      <c r="EH55" s="184"/>
      <c r="EI55" s="15"/>
      <c r="EJ55" s="15"/>
      <c r="EK55" s="15"/>
      <c r="EL55" s="15"/>
      <c r="EM55" s="15"/>
      <c r="EN55" s="15"/>
      <c r="EO55" s="184"/>
      <c r="EP55" s="15"/>
      <c r="EQ55" s="15"/>
      <c r="ER55" s="15"/>
      <c r="ES55" s="15"/>
      <c r="ET55" s="15"/>
      <c r="EU55" s="15"/>
      <c r="EV55" s="184"/>
      <c r="EW55" s="15"/>
      <c r="EX55" s="15"/>
      <c r="EY55" s="15"/>
      <c r="EZ55" s="15"/>
      <c r="FA55" s="15"/>
      <c r="FB55" s="15"/>
      <c r="FC55" s="184"/>
      <c r="FD55" s="15"/>
      <c r="FE55" s="15"/>
      <c r="FF55" s="15"/>
      <c r="FG55" s="15"/>
      <c r="FH55" s="15"/>
      <c r="FI55" s="15"/>
      <c r="FJ55" s="184"/>
      <c r="FK55" s="15"/>
      <c r="FL55" s="15"/>
      <c r="FM55" s="15"/>
      <c r="FN55" s="15"/>
      <c r="FO55" s="15"/>
      <c r="FP55" s="15"/>
      <c r="FQ55" s="184"/>
      <c r="FR55" s="15"/>
      <c r="FS55" s="15"/>
      <c r="FT55" s="15"/>
      <c r="FU55" s="15"/>
      <c r="FV55" s="15"/>
      <c r="FW55" s="178"/>
      <c r="FX55" s="184"/>
      <c r="FY55" s="181"/>
      <c r="FZ55" s="15"/>
      <c r="GA55" s="15"/>
      <c r="GB55" s="15"/>
      <c r="GC55" s="15"/>
      <c r="GD55" s="15"/>
      <c r="GE55" s="184"/>
      <c r="GF55" s="15"/>
      <c r="GG55" s="15"/>
      <c r="GH55" s="15"/>
      <c r="GI55" s="15"/>
      <c r="GJ55" s="15"/>
      <c r="GK55" s="15"/>
      <c r="GL55" s="184"/>
      <c r="GM55" s="15"/>
      <c r="GN55" s="15"/>
      <c r="GO55" s="15"/>
      <c r="GP55" s="15"/>
      <c r="GQ55" s="15"/>
      <c r="GR55" s="15"/>
      <c r="GS55" s="184"/>
      <c r="GT55" s="15"/>
      <c r="GU55" s="15"/>
      <c r="GV55" s="15"/>
      <c r="GW55" s="15"/>
      <c r="GX55" s="15"/>
      <c r="GY55" s="15"/>
      <c r="GZ55" s="184"/>
      <c r="HA55" s="15"/>
      <c r="HB55" s="15"/>
      <c r="HC55" s="15"/>
      <c r="HD55" s="15"/>
      <c r="HE55" s="15"/>
      <c r="HF55" s="15"/>
      <c r="HG55" s="184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  <c r="MH55" s="15"/>
      <c r="MI55" s="15"/>
      <c r="MJ55" s="15"/>
      <c r="MK55" s="15"/>
      <c r="ML55" s="15"/>
      <c r="MM55" s="15"/>
      <c r="MN55" s="15"/>
      <c r="MO55" s="15"/>
      <c r="MP55" s="15"/>
      <c r="MQ55" s="15"/>
      <c r="MR55" s="15"/>
      <c r="MS55" s="15"/>
      <c r="MT55" s="15"/>
      <c r="MU55" s="15"/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  <c r="NH55" s="15"/>
      <c r="NI55" s="15"/>
      <c r="NJ55" s="15"/>
      <c r="NK55" s="15"/>
      <c r="NL55" s="15"/>
      <c r="NM55" s="15"/>
      <c r="NN55" s="15"/>
      <c r="NO55" s="15"/>
      <c r="NP55" s="15"/>
      <c r="NQ55" s="15"/>
      <c r="NR55" s="15"/>
      <c r="NS55" s="15"/>
      <c r="NT55" s="15"/>
      <c r="NU55" s="15"/>
      <c r="NV55" s="15"/>
      <c r="NW55" s="15"/>
      <c r="NX55" s="15"/>
      <c r="NY55" s="15"/>
      <c r="NZ55" s="15"/>
    </row>
    <row r="56" spans="2:390" ht="19.5" customHeight="1" x14ac:dyDescent="0.45">
      <c r="B56" s="1">
        <f>+B54</f>
        <v>2</v>
      </c>
      <c r="C56" s="1">
        <f>+C53+1</f>
        <v>4</v>
      </c>
      <c r="D56" s="1">
        <v>0</v>
      </c>
      <c r="E56" s="93" t="str">
        <f t="shared" si="43"/>
        <v>2.4.0</v>
      </c>
      <c r="F56" s="99" t="s">
        <v>15</v>
      </c>
      <c r="G56" s="99"/>
      <c r="H56" s="100"/>
      <c r="I56" s="100"/>
      <c r="J56" s="101"/>
      <c r="K56" s="101"/>
      <c r="L56" s="101"/>
      <c r="M56" s="99"/>
      <c r="N56" s="99"/>
      <c r="O56" s="95">
        <f>SUM(O57:O59)</f>
        <v>102</v>
      </c>
      <c r="P56" s="95"/>
      <c r="Q56" s="95"/>
      <c r="R56" s="168"/>
      <c r="S56" s="98"/>
      <c r="T56" s="163" t="str">
        <f t="shared" si="30"/>
        <v/>
      </c>
      <c r="U56" s="164">
        <f>+SUMPRODUCT(U57:U59,O57:O59)/O56</f>
        <v>0.76768320231318332</v>
      </c>
      <c r="V56" s="200">
        <f t="shared" si="31"/>
        <v>78.3036866359447</v>
      </c>
      <c r="W56" s="158">
        <f t="shared" si="45"/>
        <v>0</v>
      </c>
      <c r="X56" s="159">
        <f t="shared" si="46"/>
        <v>0</v>
      </c>
      <c r="Y56" s="199">
        <f t="shared" si="32"/>
        <v>0</v>
      </c>
      <c r="Z56" s="36"/>
      <c r="AA56" s="15"/>
      <c r="AB56" s="15"/>
      <c r="AC56" s="15"/>
      <c r="AD56" s="15"/>
      <c r="AE56" s="15"/>
      <c r="AF56" s="15"/>
      <c r="AG56" s="184"/>
      <c r="AH56" s="15"/>
      <c r="AI56" s="15"/>
      <c r="AJ56" s="15"/>
      <c r="AK56" s="15"/>
      <c r="AL56" s="15"/>
      <c r="AM56" s="15"/>
      <c r="AN56" s="184"/>
      <c r="AO56" s="15"/>
      <c r="AP56" s="15"/>
      <c r="AQ56" s="15"/>
      <c r="AR56" s="15"/>
      <c r="AS56" s="15"/>
      <c r="AT56" s="15"/>
      <c r="AU56" s="184"/>
      <c r="AV56" s="15"/>
      <c r="AW56" s="15"/>
      <c r="AX56" s="15"/>
      <c r="AY56" s="15"/>
      <c r="AZ56" s="15"/>
      <c r="BA56" s="15"/>
      <c r="BB56" s="184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84"/>
      <c r="CE56" s="15"/>
      <c r="CF56" s="15"/>
      <c r="CG56" s="15"/>
      <c r="CH56" s="15"/>
      <c r="CI56" s="15"/>
      <c r="CJ56" s="15"/>
      <c r="CK56" s="184"/>
      <c r="CL56" s="15"/>
      <c r="CM56" s="15"/>
      <c r="CN56" s="15"/>
      <c r="CO56" s="15"/>
      <c r="CP56" s="15"/>
      <c r="CQ56" s="15"/>
      <c r="CR56" s="184"/>
      <c r="CS56" s="15"/>
      <c r="CT56" s="15"/>
      <c r="CU56" s="15"/>
      <c r="CV56" s="15"/>
      <c r="CW56" s="15"/>
      <c r="CX56" s="15"/>
      <c r="CY56" s="184"/>
      <c r="CZ56" s="15"/>
      <c r="DA56" s="15"/>
      <c r="DB56" s="15"/>
      <c r="DC56" s="15"/>
      <c r="DD56" s="15"/>
      <c r="DE56" s="15"/>
      <c r="DF56" s="184"/>
      <c r="DG56" s="15"/>
      <c r="DH56" s="15"/>
      <c r="DI56" s="15"/>
      <c r="DJ56" s="15"/>
      <c r="DK56" s="15"/>
      <c r="DL56" s="15"/>
      <c r="DM56" s="184"/>
      <c r="DN56" s="15"/>
      <c r="DO56" s="15"/>
      <c r="DP56" s="15"/>
      <c r="DQ56" s="15"/>
      <c r="DR56" s="15"/>
      <c r="DS56" s="15"/>
      <c r="DT56" s="184"/>
      <c r="DU56" s="15"/>
      <c r="DV56" s="15"/>
      <c r="DW56" s="15"/>
      <c r="DX56" s="15"/>
      <c r="DY56" s="15"/>
      <c r="DZ56" s="15"/>
      <c r="EA56" s="184"/>
      <c r="EB56" s="15"/>
      <c r="EC56" s="15"/>
      <c r="ED56" s="15"/>
      <c r="EE56" s="15"/>
      <c r="EF56" s="15"/>
      <c r="EG56" s="15"/>
      <c r="EH56" s="184"/>
      <c r="EI56" s="15"/>
      <c r="EJ56" s="15"/>
      <c r="EK56" s="15"/>
      <c r="EL56" s="15"/>
      <c r="EM56" s="15"/>
      <c r="EN56" s="15"/>
      <c r="EO56" s="184"/>
      <c r="EP56" s="15"/>
      <c r="EQ56" s="15"/>
      <c r="ER56" s="15"/>
      <c r="ES56" s="15"/>
      <c r="ET56" s="15"/>
      <c r="EU56" s="15"/>
      <c r="EV56" s="184"/>
      <c r="EW56" s="15"/>
      <c r="EX56" s="15"/>
      <c r="EY56" s="15"/>
      <c r="EZ56" s="15"/>
      <c r="FA56" s="15"/>
      <c r="FB56" s="15"/>
      <c r="FC56" s="184"/>
      <c r="FD56" s="15"/>
      <c r="FE56" s="15"/>
      <c r="FF56" s="15"/>
      <c r="FG56" s="15"/>
      <c r="FH56" s="15"/>
      <c r="FI56" s="15"/>
      <c r="FJ56" s="184"/>
      <c r="FK56" s="15"/>
      <c r="FL56" s="15"/>
      <c r="FM56" s="15"/>
      <c r="FN56" s="15"/>
      <c r="FO56" s="15"/>
      <c r="FP56" s="15"/>
      <c r="FQ56" s="184"/>
      <c r="FR56" s="15"/>
      <c r="FS56" s="15"/>
      <c r="FT56" s="15"/>
      <c r="FU56" s="15"/>
      <c r="FV56" s="15"/>
      <c r="FW56" s="178"/>
      <c r="FX56" s="184"/>
      <c r="FY56" s="181"/>
      <c r="FZ56" s="15"/>
      <c r="GA56" s="15"/>
      <c r="GB56" s="15"/>
      <c r="GC56" s="15"/>
      <c r="GD56" s="15"/>
      <c r="GE56" s="184"/>
      <c r="GF56" s="15"/>
      <c r="GG56" s="15"/>
      <c r="GH56" s="15"/>
      <c r="GI56" s="15"/>
      <c r="GJ56" s="15"/>
      <c r="GK56" s="15"/>
      <c r="GL56" s="184"/>
      <c r="GM56" s="15"/>
      <c r="GN56" s="15"/>
      <c r="GO56" s="15"/>
      <c r="GP56" s="15"/>
      <c r="GQ56" s="15"/>
      <c r="GR56" s="15"/>
      <c r="GS56" s="184"/>
      <c r="GT56" s="15"/>
      <c r="GU56" s="15"/>
      <c r="GV56" s="15"/>
      <c r="GW56" s="15"/>
      <c r="GX56" s="15"/>
      <c r="GY56" s="15"/>
      <c r="GZ56" s="184"/>
      <c r="HA56" s="15"/>
      <c r="HB56" s="15"/>
      <c r="HC56" s="15"/>
      <c r="HD56" s="15"/>
      <c r="HE56" s="15"/>
      <c r="HF56" s="15"/>
      <c r="HG56" s="184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/>
      <c r="LI56" s="15"/>
      <c r="LJ56" s="15"/>
      <c r="LK56" s="15"/>
      <c r="LL56" s="15"/>
      <c r="LM56" s="15"/>
      <c r="LN56" s="15"/>
      <c r="LO56" s="15"/>
      <c r="LP56" s="15"/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  <c r="MG56" s="15"/>
      <c r="MH56" s="15"/>
      <c r="MI56" s="15"/>
      <c r="MJ56" s="15"/>
      <c r="MK56" s="15"/>
      <c r="ML56" s="15"/>
      <c r="MM56" s="15"/>
      <c r="MN56" s="15"/>
      <c r="MO56" s="15"/>
      <c r="MP56" s="15"/>
      <c r="MQ56" s="15"/>
      <c r="MR56" s="15"/>
      <c r="MS56" s="15"/>
      <c r="MT56" s="15"/>
      <c r="MU56" s="15"/>
      <c r="MV56" s="15"/>
      <c r="MW56" s="15"/>
      <c r="MX56" s="15"/>
      <c r="MY56" s="15"/>
      <c r="MZ56" s="15"/>
      <c r="NA56" s="15"/>
      <c r="NB56" s="15"/>
      <c r="NC56" s="15"/>
      <c r="ND56" s="15"/>
      <c r="NE56" s="15"/>
      <c r="NF56" s="15"/>
      <c r="NG56" s="15"/>
      <c r="NH56" s="15"/>
      <c r="NI56" s="15"/>
      <c r="NJ56" s="15"/>
      <c r="NK56" s="15"/>
      <c r="NL56" s="15"/>
      <c r="NM56" s="15"/>
      <c r="NN56" s="15"/>
      <c r="NO56" s="15"/>
      <c r="NP56" s="15"/>
      <c r="NQ56" s="15"/>
      <c r="NR56" s="15"/>
      <c r="NS56" s="15"/>
      <c r="NT56" s="15"/>
      <c r="NU56" s="15"/>
      <c r="NV56" s="15"/>
      <c r="NW56" s="15"/>
      <c r="NX56" s="15"/>
      <c r="NY56" s="15"/>
      <c r="NZ56" s="15"/>
    </row>
    <row r="57" spans="2:390" ht="19.5" customHeight="1" x14ac:dyDescent="0.45">
      <c r="B57" s="1">
        <f t="shared" ref="B57:C59" si="47">+B56</f>
        <v>2</v>
      </c>
      <c r="C57" s="1">
        <f t="shared" si="47"/>
        <v>4</v>
      </c>
      <c r="D57" s="1">
        <f t="shared" ref="D57:D62" si="48">+D56+1</f>
        <v>1</v>
      </c>
      <c r="E57" s="59" t="str">
        <f t="shared" si="43"/>
        <v>2.4.1</v>
      </c>
      <c r="F57" s="23" t="s">
        <v>16</v>
      </c>
      <c r="G57" s="191">
        <v>2</v>
      </c>
      <c r="H57" s="52" t="s">
        <v>117</v>
      </c>
      <c r="I57" s="52" t="s">
        <v>158</v>
      </c>
      <c r="J57" s="52">
        <v>200</v>
      </c>
      <c r="K57" s="52">
        <v>191</v>
      </c>
      <c r="L57" s="52">
        <f>+J57-K57</f>
        <v>9</v>
      </c>
      <c r="M57" s="52">
        <v>5</v>
      </c>
      <c r="N57" s="52">
        <v>3</v>
      </c>
      <c r="O57" s="51">
        <f>+N57*M57</f>
        <v>15</v>
      </c>
      <c r="P57" s="51">
        <f t="shared" ref="P57:P62" si="49">+SUM(AA57:NZ57)</f>
        <v>15</v>
      </c>
      <c r="Q57" s="51">
        <f t="shared" ref="Q57:Q62" si="50">+O57-P57</f>
        <v>0</v>
      </c>
      <c r="R57" s="19">
        <v>45992</v>
      </c>
      <c r="S57" s="20">
        <v>3</v>
      </c>
      <c r="T57" s="21">
        <f t="shared" si="30"/>
        <v>45994</v>
      </c>
      <c r="U57" s="22">
        <f>+K57/J57</f>
        <v>0.95499999999999996</v>
      </c>
      <c r="V57" s="199">
        <f t="shared" si="31"/>
        <v>14.324999999999999</v>
      </c>
      <c r="W57" s="158">
        <f t="shared" si="45"/>
        <v>0</v>
      </c>
      <c r="X57" s="159">
        <f t="shared" si="46"/>
        <v>1</v>
      </c>
      <c r="Y57" s="199">
        <f t="shared" si="32"/>
        <v>15</v>
      </c>
      <c r="Z57" s="36"/>
      <c r="AA57" s="15"/>
      <c r="AB57" s="15"/>
      <c r="AC57" s="15"/>
      <c r="AD57" s="15"/>
      <c r="AE57" s="15"/>
      <c r="AF57" s="15"/>
      <c r="AG57" s="184"/>
      <c r="AH57" s="15">
        <v>5</v>
      </c>
      <c r="AI57" s="15">
        <v>5</v>
      </c>
      <c r="AJ57" s="15">
        <v>5</v>
      </c>
      <c r="AK57" s="15"/>
      <c r="AL57" s="15"/>
      <c r="AM57" s="15"/>
      <c r="AN57" s="184"/>
      <c r="AO57" s="15"/>
      <c r="AP57" s="15"/>
      <c r="AQ57" s="15"/>
      <c r="AR57" s="15"/>
      <c r="AS57" s="15"/>
      <c r="AT57" s="15"/>
      <c r="AU57" s="184"/>
      <c r="AV57" s="15"/>
      <c r="AW57" s="15"/>
      <c r="AX57" s="15"/>
      <c r="AY57" s="15"/>
      <c r="AZ57" s="15"/>
      <c r="BA57" s="15"/>
      <c r="BB57" s="184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84"/>
      <c r="CE57" s="15"/>
      <c r="CF57" s="15"/>
      <c r="CG57" s="15"/>
      <c r="CH57" s="15"/>
      <c r="CI57" s="15"/>
      <c r="CJ57" s="15"/>
      <c r="CK57" s="184"/>
      <c r="CL57" s="15"/>
      <c r="CM57" s="15"/>
      <c r="CN57" s="15"/>
      <c r="CO57" s="15"/>
      <c r="CP57" s="15"/>
      <c r="CQ57" s="15"/>
      <c r="CR57" s="184"/>
      <c r="CS57" s="15"/>
      <c r="CT57" s="15"/>
      <c r="CU57" s="15"/>
      <c r="CV57" s="15"/>
      <c r="CW57" s="15"/>
      <c r="CX57" s="15"/>
      <c r="CY57" s="184"/>
      <c r="CZ57" s="15"/>
      <c r="DA57" s="15"/>
      <c r="DB57" s="15"/>
      <c r="DC57" s="15"/>
      <c r="DD57" s="15"/>
      <c r="DE57" s="15"/>
      <c r="DF57" s="184"/>
      <c r="DG57" s="15"/>
      <c r="DH57" s="15"/>
      <c r="DI57" s="15"/>
      <c r="DJ57" s="15"/>
      <c r="DK57" s="15"/>
      <c r="DL57" s="15"/>
      <c r="DM57" s="184"/>
      <c r="DN57" s="15"/>
      <c r="DO57" s="15"/>
      <c r="DP57" s="15"/>
      <c r="DQ57" s="15"/>
      <c r="DR57" s="15"/>
      <c r="DS57" s="15"/>
      <c r="DT57" s="184"/>
      <c r="DU57" s="15"/>
      <c r="DV57" s="15"/>
      <c r="DW57" s="15"/>
      <c r="DX57" s="15"/>
      <c r="DY57" s="15"/>
      <c r="DZ57" s="15"/>
      <c r="EA57" s="184"/>
      <c r="EB57" s="15"/>
      <c r="EC57" s="15"/>
      <c r="ED57" s="15"/>
      <c r="EE57" s="15"/>
      <c r="EF57" s="15"/>
      <c r="EG57" s="15"/>
      <c r="EH57" s="184"/>
      <c r="EI57" s="15"/>
      <c r="EJ57" s="15"/>
      <c r="EK57" s="15"/>
      <c r="EL57" s="15"/>
      <c r="EM57" s="15"/>
      <c r="EN57" s="15"/>
      <c r="EO57" s="184"/>
      <c r="EP57" s="15"/>
      <c r="EQ57" s="15"/>
      <c r="ER57" s="15"/>
      <c r="ES57" s="15"/>
      <c r="ET57" s="15"/>
      <c r="EU57" s="15"/>
      <c r="EV57" s="184"/>
      <c r="EW57" s="15"/>
      <c r="EX57" s="15"/>
      <c r="EY57" s="15"/>
      <c r="EZ57" s="15"/>
      <c r="FA57" s="15"/>
      <c r="FB57" s="15"/>
      <c r="FC57" s="184"/>
      <c r="FD57" s="15"/>
      <c r="FE57" s="15"/>
      <c r="FF57" s="15"/>
      <c r="FG57" s="15"/>
      <c r="FH57" s="15"/>
      <c r="FI57" s="15"/>
      <c r="FJ57" s="184"/>
      <c r="FK57" s="15"/>
      <c r="FL57" s="15"/>
      <c r="FM57" s="15"/>
      <c r="FN57" s="15"/>
      <c r="FO57" s="15"/>
      <c r="FP57" s="15"/>
      <c r="FQ57" s="184"/>
      <c r="FR57" s="15"/>
      <c r="FS57" s="15"/>
      <c r="FT57" s="15"/>
      <c r="FU57" s="15"/>
      <c r="FV57" s="15"/>
      <c r="FW57" s="178"/>
      <c r="FX57" s="184"/>
      <c r="FY57" s="181"/>
      <c r="FZ57" s="15"/>
      <c r="GA57" s="15"/>
      <c r="GB57" s="15"/>
      <c r="GC57" s="15"/>
      <c r="GD57" s="15"/>
      <c r="GE57" s="184"/>
      <c r="GF57" s="15"/>
      <c r="GG57" s="15"/>
      <c r="GH57" s="15"/>
      <c r="GI57" s="15"/>
      <c r="GJ57" s="15"/>
      <c r="GK57" s="15"/>
      <c r="GL57" s="184"/>
      <c r="GM57" s="15"/>
      <c r="GN57" s="15"/>
      <c r="GO57" s="15"/>
      <c r="GP57" s="15"/>
      <c r="GQ57" s="15"/>
      <c r="GR57" s="15"/>
      <c r="GS57" s="184"/>
      <c r="GT57" s="15"/>
      <c r="GU57" s="15"/>
      <c r="GV57" s="15"/>
      <c r="GW57" s="15"/>
      <c r="GX57" s="15"/>
      <c r="GY57" s="15"/>
      <c r="GZ57" s="184"/>
      <c r="HA57" s="15"/>
      <c r="HB57" s="15"/>
      <c r="HC57" s="15"/>
      <c r="HD57" s="15"/>
      <c r="HE57" s="15"/>
      <c r="HF57" s="15"/>
      <c r="HG57" s="184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  <c r="MH57" s="15"/>
      <c r="MI57" s="15"/>
      <c r="MJ57" s="15"/>
      <c r="MK57" s="15"/>
      <c r="ML57" s="15"/>
      <c r="MM57" s="15"/>
      <c r="MN57" s="15"/>
      <c r="MO57" s="15"/>
      <c r="MP57" s="15"/>
      <c r="MQ57" s="15"/>
      <c r="MR57" s="15"/>
      <c r="MS57" s="15"/>
      <c r="MT57" s="15"/>
      <c r="MU57" s="15"/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  <c r="NH57" s="15"/>
      <c r="NI57" s="15"/>
      <c r="NJ57" s="15"/>
      <c r="NK57" s="15"/>
      <c r="NL57" s="15"/>
      <c r="NM57" s="15"/>
      <c r="NN57" s="15"/>
      <c r="NO57" s="15"/>
      <c r="NP57" s="15"/>
      <c r="NQ57" s="15"/>
      <c r="NR57" s="15"/>
      <c r="NS57" s="15"/>
      <c r="NT57" s="15"/>
      <c r="NU57" s="15"/>
      <c r="NV57" s="15"/>
      <c r="NW57" s="15"/>
      <c r="NX57" s="15"/>
      <c r="NY57" s="15"/>
      <c r="NZ57" s="15"/>
    </row>
    <row r="58" spans="2:390" ht="19.5" customHeight="1" x14ac:dyDescent="0.45">
      <c r="B58" s="1">
        <f t="shared" si="47"/>
        <v>2</v>
      </c>
      <c r="C58" s="1">
        <f t="shared" si="47"/>
        <v>4</v>
      </c>
      <c r="D58" s="1">
        <f t="shared" si="48"/>
        <v>2</v>
      </c>
      <c r="E58" s="59" t="str">
        <f t="shared" si="43"/>
        <v>2.4.2</v>
      </c>
      <c r="F58" s="23" t="s">
        <v>17</v>
      </c>
      <c r="G58" s="191">
        <v>2</v>
      </c>
      <c r="H58" s="52" t="s">
        <v>117</v>
      </c>
      <c r="I58" s="52" t="s">
        <v>158</v>
      </c>
      <c r="J58" s="52">
        <v>24</v>
      </c>
      <c r="K58" s="52">
        <v>23</v>
      </c>
      <c r="L58" s="52">
        <f>+J58-K58</f>
        <v>1</v>
      </c>
      <c r="M58" s="52">
        <v>5</v>
      </c>
      <c r="N58" s="52">
        <v>3</v>
      </c>
      <c r="O58" s="51">
        <f>+N58*M58</f>
        <v>15</v>
      </c>
      <c r="P58" s="51">
        <f t="shared" si="49"/>
        <v>15</v>
      </c>
      <c r="Q58" s="51">
        <f t="shared" si="50"/>
        <v>0</v>
      </c>
      <c r="R58" s="19">
        <v>45995</v>
      </c>
      <c r="S58" s="20">
        <v>2</v>
      </c>
      <c r="T58" s="21">
        <f t="shared" si="30"/>
        <v>45996</v>
      </c>
      <c r="U58" s="22">
        <f>+K58/J58</f>
        <v>0.95833333333333337</v>
      </c>
      <c r="V58" s="199">
        <f t="shared" si="31"/>
        <v>14.375</v>
      </c>
      <c r="W58" s="158">
        <f t="shared" si="45"/>
        <v>0</v>
      </c>
      <c r="X58" s="159">
        <f t="shared" si="46"/>
        <v>1</v>
      </c>
      <c r="Y58" s="199">
        <f t="shared" si="32"/>
        <v>15</v>
      </c>
      <c r="Z58" s="36"/>
      <c r="AA58" s="15"/>
      <c r="AB58" s="15"/>
      <c r="AC58" s="15"/>
      <c r="AD58" s="15"/>
      <c r="AE58" s="15"/>
      <c r="AF58" s="15"/>
      <c r="AG58" s="184"/>
      <c r="AH58" s="15"/>
      <c r="AI58" s="15"/>
      <c r="AJ58" s="15"/>
      <c r="AK58" s="15">
        <v>5</v>
      </c>
      <c r="AL58" s="15">
        <v>5</v>
      </c>
      <c r="AM58" s="15">
        <v>5</v>
      </c>
      <c r="AN58" s="184"/>
      <c r="AO58" s="15"/>
      <c r="AP58" s="15"/>
      <c r="AQ58" s="15"/>
      <c r="AR58" s="15"/>
      <c r="AS58" s="15"/>
      <c r="AT58" s="15"/>
      <c r="AU58" s="184"/>
      <c r="AV58" s="15"/>
      <c r="AW58" s="15"/>
      <c r="AX58" s="15"/>
      <c r="AY58" s="15"/>
      <c r="AZ58" s="15"/>
      <c r="BA58" s="15"/>
      <c r="BB58" s="184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84"/>
      <c r="CE58" s="15"/>
      <c r="CF58" s="15"/>
      <c r="CG58" s="15"/>
      <c r="CH58" s="15"/>
      <c r="CI58" s="15"/>
      <c r="CJ58" s="15"/>
      <c r="CK58" s="184"/>
      <c r="CL58" s="15"/>
      <c r="CM58" s="15"/>
      <c r="CN58" s="15"/>
      <c r="CO58" s="15"/>
      <c r="CP58" s="15"/>
      <c r="CQ58" s="15"/>
      <c r="CR58" s="184"/>
      <c r="CS58" s="15"/>
      <c r="CT58" s="15"/>
      <c r="CU58" s="15"/>
      <c r="CV58" s="15"/>
      <c r="CW58" s="15"/>
      <c r="CX58" s="15"/>
      <c r="CY58" s="184"/>
      <c r="CZ58" s="15"/>
      <c r="DA58" s="15"/>
      <c r="DB58" s="15"/>
      <c r="DC58" s="15"/>
      <c r="DD58" s="15"/>
      <c r="DE58" s="15"/>
      <c r="DF58" s="184"/>
      <c r="DG58" s="15"/>
      <c r="DH58" s="15"/>
      <c r="DI58" s="15"/>
      <c r="DJ58" s="15"/>
      <c r="DK58" s="15"/>
      <c r="DL58" s="15"/>
      <c r="DM58" s="184"/>
      <c r="DN58" s="15"/>
      <c r="DO58" s="15"/>
      <c r="DP58" s="15"/>
      <c r="DQ58" s="15"/>
      <c r="DR58" s="15"/>
      <c r="DS58" s="15"/>
      <c r="DT58" s="184"/>
      <c r="DU58" s="15"/>
      <c r="DV58" s="15"/>
      <c r="DW58" s="15"/>
      <c r="DX58" s="15"/>
      <c r="DY58" s="15"/>
      <c r="DZ58" s="15"/>
      <c r="EA58" s="184"/>
      <c r="EB58" s="15"/>
      <c r="EC58" s="15"/>
      <c r="ED58" s="15"/>
      <c r="EE58" s="15"/>
      <c r="EF58" s="15"/>
      <c r="EG58" s="15"/>
      <c r="EH58" s="184"/>
      <c r="EI58" s="15"/>
      <c r="EJ58" s="15"/>
      <c r="EK58" s="15"/>
      <c r="EL58" s="15"/>
      <c r="EM58" s="15"/>
      <c r="EN58" s="15"/>
      <c r="EO58" s="184"/>
      <c r="EP58" s="15"/>
      <c r="EQ58" s="15"/>
      <c r="ER58" s="15"/>
      <c r="ES58" s="15"/>
      <c r="ET58" s="15"/>
      <c r="EU58" s="15"/>
      <c r="EV58" s="184"/>
      <c r="EW58" s="15"/>
      <c r="EX58" s="15"/>
      <c r="EY58" s="15"/>
      <c r="EZ58" s="15"/>
      <c r="FA58" s="15"/>
      <c r="FB58" s="15"/>
      <c r="FC58" s="184"/>
      <c r="FD58" s="15"/>
      <c r="FE58" s="15"/>
      <c r="FF58" s="15"/>
      <c r="FG58" s="15"/>
      <c r="FH58" s="15"/>
      <c r="FI58" s="15"/>
      <c r="FJ58" s="184"/>
      <c r="FK58" s="15"/>
      <c r="FL58" s="15"/>
      <c r="FM58" s="15"/>
      <c r="FN58" s="15"/>
      <c r="FO58" s="15"/>
      <c r="FP58" s="15"/>
      <c r="FQ58" s="184"/>
      <c r="FR58" s="15"/>
      <c r="FS58" s="15"/>
      <c r="FT58" s="15"/>
      <c r="FU58" s="15"/>
      <c r="FV58" s="15"/>
      <c r="FW58" s="178"/>
      <c r="FX58" s="184"/>
      <c r="FY58" s="181"/>
      <c r="FZ58" s="15"/>
      <c r="GA58" s="15"/>
      <c r="GB58" s="15"/>
      <c r="GC58" s="15"/>
      <c r="GD58" s="15"/>
      <c r="GE58" s="184"/>
      <c r="GF58" s="15"/>
      <c r="GG58" s="15"/>
      <c r="GH58" s="15"/>
      <c r="GI58" s="15"/>
      <c r="GJ58" s="15"/>
      <c r="GK58" s="15"/>
      <c r="GL58" s="184"/>
      <c r="GM58" s="15"/>
      <c r="GN58" s="15"/>
      <c r="GO58" s="15"/>
      <c r="GP58" s="15"/>
      <c r="GQ58" s="15"/>
      <c r="GR58" s="15"/>
      <c r="GS58" s="184"/>
      <c r="GT58" s="15"/>
      <c r="GU58" s="15"/>
      <c r="GV58" s="15"/>
      <c r="GW58" s="15"/>
      <c r="GX58" s="15"/>
      <c r="GY58" s="15"/>
      <c r="GZ58" s="184"/>
      <c r="HA58" s="15"/>
      <c r="HB58" s="15"/>
      <c r="HC58" s="15"/>
      <c r="HD58" s="15"/>
      <c r="HE58" s="15"/>
      <c r="HF58" s="15"/>
      <c r="HG58" s="184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15"/>
      <c r="NU58" s="15"/>
      <c r="NV58" s="15"/>
      <c r="NW58" s="15"/>
      <c r="NX58" s="15"/>
      <c r="NY58" s="15"/>
      <c r="NZ58" s="15"/>
    </row>
    <row r="59" spans="2:390" ht="19.5" customHeight="1" x14ac:dyDescent="0.45">
      <c r="B59" s="1">
        <f t="shared" si="47"/>
        <v>2</v>
      </c>
      <c r="C59" s="1">
        <f t="shared" si="47"/>
        <v>4</v>
      </c>
      <c r="D59" s="1">
        <f t="shared" si="48"/>
        <v>3</v>
      </c>
      <c r="E59" s="29" t="str">
        <f t="shared" si="43"/>
        <v>2.4.3</v>
      </c>
      <c r="F59" s="75" t="s">
        <v>18</v>
      </c>
      <c r="G59" s="130"/>
      <c r="H59" s="131"/>
      <c r="I59" s="131"/>
      <c r="J59" s="132"/>
      <c r="K59" s="132"/>
      <c r="L59" s="132"/>
      <c r="M59" s="133"/>
      <c r="N59" s="134"/>
      <c r="O59" s="76">
        <f>+SUM(O60:O62)</f>
        <v>72</v>
      </c>
      <c r="P59" s="76">
        <f>+SUM(P60:P62)</f>
        <v>69</v>
      </c>
      <c r="Q59" s="51">
        <f t="shared" si="50"/>
        <v>3</v>
      </c>
      <c r="R59" s="19"/>
      <c r="S59" s="20"/>
      <c r="T59" s="21" t="str">
        <f t="shared" si="30"/>
        <v/>
      </c>
      <c r="U59" s="161">
        <f>+SUMPRODUCT(U60:U62,O60:O62)/O59</f>
        <v>0.68894009216589858</v>
      </c>
      <c r="V59" s="203">
        <f t="shared" si="31"/>
        <v>49.603686635944698</v>
      </c>
      <c r="W59" s="158">
        <f t="shared" si="45"/>
        <v>0</v>
      </c>
      <c r="X59" s="159">
        <f t="shared" si="46"/>
        <v>0</v>
      </c>
      <c r="Y59" s="199">
        <f t="shared" si="32"/>
        <v>0</v>
      </c>
      <c r="Z59" s="36"/>
      <c r="AA59" s="15"/>
      <c r="AB59" s="15"/>
      <c r="AC59" s="15"/>
      <c r="AD59" s="15"/>
      <c r="AE59" s="15"/>
      <c r="AF59" s="15"/>
      <c r="AG59" s="184"/>
      <c r="AH59" s="15"/>
      <c r="AI59" s="15"/>
      <c r="AJ59" s="15"/>
      <c r="AK59" s="15"/>
      <c r="AL59" s="15"/>
      <c r="AM59" s="15"/>
      <c r="AN59" s="184"/>
      <c r="AO59" s="15"/>
      <c r="AP59" s="15"/>
      <c r="AQ59" s="15"/>
      <c r="AR59" s="15"/>
      <c r="AS59" s="15"/>
      <c r="AT59" s="15"/>
      <c r="AU59" s="184"/>
      <c r="AV59" s="15"/>
      <c r="AW59" s="15"/>
      <c r="AX59" s="15"/>
      <c r="AY59" s="15"/>
      <c r="AZ59" s="15"/>
      <c r="BA59" s="15"/>
      <c r="BB59" s="184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84"/>
      <c r="CE59" s="15"/>
      <c r="CF59" s="15"/>
      <c r="CG59" s="15"/>
      <c r="CH59" s="15"/>
      <c r="CI59" s="15"/>
      <c r="CJ59" s="15"/>
      <c r="CK59" s="184"/>
      <c r="CL59" s="15"/>
      <c r="CM59" s="15"/>
      <c r="CN59" s="15"/>
      <c r="CO59" s="15"/>
      <c r="CP59" s="15"/>
      <c r="CQ59" s="15"/>
      <c r="CR59" s="184"/>
      <c r="CS59" s="15"/>
      <c r="CT59" s="15"/>
      <c r="CU59" s="15"/>
      <c r="CV59" s="15"/>
      <c r="CW59" s="15"/>
      <c r="CX59" s="15"/>
      <c r="CY59" s="184"/>
      <c r="CZ59" s="15"/>
      <c r="DA59" s="15"/>
      <c r="DB59" s="15"/>
      <c r="DC59" s="15"/>
      <c r="DD59" s="15"/>
      <c r="DE59" s="15"/>
      <c r="DF59" s="184"/>
      <c r="DG59" s="15"/>
      <c r="DH59" s="15"/>
      <c r="DI59" s="15"/>
      <c r="DJ59" s="15"/>
      <c r="DK59" s="15"/>
      <c r="DL59" s="15"/>
      <c r="DM59" s="184"/>
      <c r="DN59" s="15"/>
      <c r="DO59" s="15"/>
      <c r="DP59" s="15"/>
      <c r="DQ59" s="15"/>
      <c r="DR59" s="15"/>
      <c r="DS59" s="15"/>
      <c r="DT59" s="184"/>
      <c r="DU59" s="15"/>
      <c r="DV59" s="15"/>
      <c r="DW59" s="15"/>
      <c r="DX59" s="15"/>
      <c r="DY59" s="15"/>
      <c r="DZ59" s="15"/>
      <c r="EA59" s="184"/>
      <c r="EB59" s="15"/>
      <c r="EC59" s="15"/>
      <c r="ED59" s="15"/>
      <c r="EE59" s="15"/>
      <c r="EF59" s="15"/>
      <c r="EG59" s="15"/>
      <c r="EH59" s="184"/>
      <c r="EI59" s="15"/>
      <c r="EJ59" s="15"/>
      <c r="EK59" s="15"/>
      <c r="EL59" s="15"/>
      <c r="EM59" s="15"/>
      <c r="EN59" s="15"/>
      <c r="EO59" s="184"/>
      <c r="EP59" s="15"/>
      <c r="EQ59" s="15"/>
      <c r="ER59" s="15"/>
      <c r="ES59" s="15"/>
      <c r="ET59" s="15"/>
      <c r="EU59" s="15"/>
      <c r="EV59" s="184"/>
      <c r="EW59" s="15"/>
      <c r="EX59" s="15"/>
      <c r="EY59" s="15"/>
      <c r="EZ59" s="15"/>
      <c r="FA59" s="15"/>
      <c r="FB59" s="15"/>
      <c r="FC59" s="184"/>
      <c r="FD59" s="15"/>
      <c r="FE59" s="15"/>
      <c r="FF59" s="15"/>
      <c r="FG59" s="15"/>
      <c r="FH59" s="15"/>
      <c r="FI59" s="15"/>
      <c r="FJ59" s="184"/>
      <c r="FK59" s="15"/>
      <c r="FL59" s="15"/>
      <c r="FM59" s="15"/>
      <c r="FN59" s="15"/>
      <c r="FO59" s="15"/>
      <c r="FP59" s="15"/>
      <c r="FQ59" s="184"/>
      <c r="FR59" s="15"/>
      <c r="FS59" s="15"/>
      <c r="FT59" s="15"/>
      <c r="FU59" s="15"/>
      <c r="FV59" s="15"/>
      <c r="FW59" s="178"/>
      <c r="FX59" s="184"/>
      <c r="FY59" s="181"/>
      <c r="FZ59" s="15"/>
      <c r="GA59" s="15"/>
      <c r="GB59" s="15"/>
      <c r="GC59" s="15"/>
      <c r="GD59" s="15"/>
      <c r="GE59" s="184"/>
      <c r="GF59" s="15"/>
      <c r="GG59" s="15"/>
      <c r="GH59" s="15"/>
      <c r="GI59" s="15"/>
      <c r="GJ59" s="15"/>
      <c r="GK59" s="15"/>
      <c r="GL59" s="184"/>
      <c r="GM59" s="15"/>
      <c r="GN59" s="15"/>
      <c r="GO59" s="15"/>
      <c r="GP59" s="15"/>
      <c r="GQ59" s="15"/>
      <c r="GR59" s="15"/>
      <c r="GS59" s="184"/>
      <c r="GT59" s="15"/>
      <c r="GU59" s="15"/>
      <c r="GV59" s="15"/>
      <c r="GW59" s="15"/>
      <c r="GX59" s="15"/>
      <c r="GY59" s="15"/>
      <c r="GZ59" s="184"/>
      <c r="HA59" s="15"/>
      <c r="HB59" s="15"/>
      <c r="HC59" s="15"/>
      <c r="HD59" s="15"/>
      <c r="HE59" s="15"/>
      <c r="HF59" s="15"/>
      <c r="HG59" s="184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  <c r="MG59" s="15"/>
      <c r="MH59" s="15"/>
      <c r="MI59" s="15"/>
      <c r="MJ59" s="15"/>
      <c r="MK59" s="15"/>
      <c r="ML59" s="15"/>
      <c r="MM59" s="15"/>
      <c r="MN59" s="15"/>
      <c r="MO59" s="15"/>
      <c r="MP59" s="15"/>
      <c r="MQ59" s="15"/>
      <c r="MR59" s="15"/>
      <c r="MS59" s="15"/>
      <c r="MT59" s="15"/>
      <c r="MU59" s="15"/>
      <c r="MV59" s="15"/>
      <c r="MW59" s="15"/>
      <c r="MX59" s="15"/>
      <c r="MY59" s="15"/>
      <c r="MZ59" s="15"/>
      <c r="NA59" s="15"/>
      <c r="NB59" s="15"/>
      <c r="NC59" s="15"/>
      <c r="ND59" s="15"/>
      <c r="NE59" s="15"/>
      <c r="NF59" s="15"/>
      <c r="NG59" s="15"/>
      <c r="NH59" s="15"/>
      <c r="NI59" s="15"/>
      <c r="NJ59" s="15"/>
      <c r="NK59" s="15"/>
      <c r="NL59" s="15"/>
      <c r="NM59" s="15"/>
      <c r="NN59" s="15"/>
      <c r="NO59" s="15"/>
      <c r="NP59" s="15"/>
      <c r="NQ59" s="15"/>
      <c r="NR59" s="15"/>
      <c r="NS59" s="15"/>
      <c r="NT59" s="15"/>
      <c r="NU59" s="15"/>
      <c r="NV59" s="15"/>
      <c r="NW59" s="15"/>
      <c r="NX59" s="15"/>
      <c r="NY59" s="15"/>
      <c r="NZ59" s="15"/>
    </row>
    <row r="60" spans="2:390" ht="19.5" customHeight="1" x14ac:dyDescent="0.45">
      <c r="B60" s="1">
        <f t="shared" ref="B60:C62" si="51">+B59</f>
        <v>2</v>
      </c>
      <c r="C60" s="1">
        <f t="shared" si="51"/>
        <v>4</v>
      </c>
      <c r="D60" s="1">
        <f t="shared" si="48"/>
        <v>4</v>
      </c>
      <c r="E60" s="192" t="s">
        <v>128</v>
      </c>
      <c r="F60" s="193" t="s">
        <v>148</v>
      </c>
      <c r="G60" s="23"/>
      <c r="H60" s="52" t="s">
        <v>117</v>
      </c>
      <c r="I60" s="126"/>
      <c r="J60" s="126"/>
      <c r="K60" s="127"/>
      <c r="L60" s="127"/>
      <c r="M60" s="128"/>
      <c r="N60" s="128"/>
      <c r="O60" s="129"/>
      <c r="P60" s="51">
        <f t="shared" si="49"/>
        <v>0</v>
      </c>
      <c r="Q60" s="51">
        <f t="shared" si="50"/>
        <v>0</v>
      </c>
      <c r="R60" s="187"/>
      <c r="S60" s="64"/>
      <c r="T60" s="155" t="str">
        <f t="shared" si="30"/>
        <v/>
      </c>
      <c r="U60" s="22"/>
      <c r="V60" s="199">
        <f t="shared" si="31"/>
        <v>0</v>
      </c>
      <c r="W60" s="158"/>
      <c r="X60" s="159"/>
      <c r="Y60" s="199">
        <f t="shared" si="32"/>
        <v>0</v>
      </c>
      <c r="Z60" s="36"/>
      <c r="AA60" s="15"/>
      <c r="AB60" s="15"/>
      <c r="AC60" s="15"/>
      <c r="AD60" s="15"/>
      <c r="AE60" s="15"/>
      <c r="AF60" s="15"/>
      <c r="AG60" s="184"/>
      <c r="AH60" s="15"/>
      <c r="AI60" s="15"/>
      <c r="AJ60" s="15"/>
      <c r="AK60" s="15"/>
      <c r="AL60" s="15"/>
      <c r="AM60" s="15"/>
      <c r="AN60" s="184"/>
      <c r="AO60" s="15"/>
      <c r="AP60" s="15"/>
      <c r="AQ60" s="15"/>
      <c r="AR60" s="15"/>
      <c r="AS60" s="15"/>
      <c r="AT60" s="15"/>
      <c r="AU60" s="184"/>
      <c r="AV60" s="15"/>
      <c r="AW60" s="15"/>
      <c r="AX60" s="15"/>
      <c r="AY60" s="15"/>
      <c r="AZ60" s="15"/>
      <c r="BA60" s="15"/>
      <c r="BB60" s="184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84"/>
      <c r="CE60" s="15"/>
      <c r="CF60" s="15"/>
      <c r="CG60" s="15"/>
      <c r="CH60" s="15"/>
      <c r="CI60" s="15"/>
      <c r="CJ60" s="15"/>
      <c r="CK60" s="184"/>
      <c r="CL60" s="15"/>
      <c r="CM60" s="15"/>
      <c r="CN60" s="15"/>
      <c r="CO60" s="15"/>
      <c r="CP60" s="15"/>
      <c r="CQ60" s="15"/>
      <c r="CR60" s="184"/>
      <c r="CS60" s="15"/>
      <c r="CT60" s="15"/>
      <c r="CU60" s="15"/>
      <c r="CV60" s="15"/>
      <c r="CW60" s="15"/>
      <c r="CX60" s="15"/>
      <c r="CY60" s="184"/>
      <c r="CZ60" s="15"/>
      <c r="DA60" s="15"/>
      <c r="DB60" s="15"/>
      <c r="DC60" s="15"/>
      <c r="DD60" s="15"/>
      <c r="DE60" s="15"/>
      <c r="DF60" s="184"/>
      <c r="DG60" s="15"/>
      <c r="DH60" s="15"/>
      <c r="DI60" s="15"/>
      <c r="DJ60" s="15"/>
      <c r="DK60" s="15"/>
      <c r="DL60" s="15"/>
      <c r="DM60" s="184"/>
      <c r="DN60" s="15"/>
      <c r="DO60" s="15"/>
      <c r="DP60" s="15"/>
      <c r="DQ60" s="15"/>
      <c r="DR60" s="15"/>
      <c r="DS60" s="15"/>
      <c r="DT60" s="184"/>
      <c r="DU60" s="15"/>
      <c r="DV60" s="15"/>
      <c r="DW60" s="15"/>
      <c r="DX60" s="15"/>
      <c r="DY60" s="15"/>
      <c r="DZ60" s="15"/>
      <c r="EA60" s="184"/>
      <c r="EB60" s="15"/>
      <c r="EC60" s="15"/>
      <c r="ED60" s="15"/>
      <c r="EE60" s="15"/>
      <c r="EF60" s="15"/>
      <c r="EG60" s="15"/>
      <c r="EH60" s="184"/>
      <c r="EI60" s="15"/>
      <c r="EJ60" s="15"/>
      <c r="EK60" s="15"/>
      <c r="EL60" s="15"/>
      <c r="EM60" s="15"/>
      <c r="EN60" s="15"/>
      <c r="EO60" s="184"/>
      <c r="EP60" s="15"/>
      <c r="EQ60" s="15"/>
      <c r="ER60" s="15"/>
      <c r="ES60" s="15"/>
      <c r="ET60" s="15"/>
      <c r="EU60" s="15"/>
      <c r="EV60" s="184"/>
      <c r="EW60" s="15"/>
      <c r="EX60" s="15"/>
      <c r="EY60" s="15"/>
      <c r="EZ60" s="15"/>
      <c r="FA60" s="15"/>
      <c r="FB60" s="15"/>
      <c r="FC60" s="184"/>
      <c r="FD60" s="15"/>
      <c r="FE60" s="15"/>
      <c r="FF60" s="15"/>
      <c r="FG60" s="15"/>
      <c r="FH60" s="15"/>
      <c r="FI60" s="15"/>
      <c r="FJ60" s="184"/>
      <c r="FK60" s="15"/>
      <c r="FL60" s="15"/>
      <c r="FM60" s="15"/>
      <c r="FN60" s="15"/>
      <c r="FO60" s="15"/>
      <c r="FP60" s="15"/>
      <c r="FQ60" s="184"/>
      <c r="FR60" s="15"/>
      <c r="FS60" s="15"/>
      <c r="FT60" s="15"/>
      <c r="FU60" s="15"/>
      <c r="FV60" s="15"/>
      <c r="FW60" s="178"/>
      <c r="FX60" s="184"/>
      <c r="FY60" s="181"/>
      <c r="FZ60" s="15"/>
      <c r="GA60" s="15"/>
      <c r="GB60" s="15"/>
      <c r="GC60" s="15"/>
      <c r="GD60" s="15"/>
      <c r="GE60" s="184"/>
      <c r="GF60" s="15"/>
      <c r="GG60" s="15"/>
      <c r="GH60" s="15"/>
      <c r="GI60" s="15"/>
      <c r="GJ60" s="15"/>
      <c r="GK60" s="15"/>
      <c r="GL60" s="184"/>
      <c r="GM60" s="15"/>
      <c r="GN60" s="15"/>
      <c r="GO60" s="15"/>
      <c r="GP60" s="15"/>
      <c r="GQ60" s="15"/>
      <c r="GR60" s="15"/>
      <c r="GS60" s="184"/>
      <c r="GT60" s="15"/>
      <c r="GU60" s="15"/>
      <c r="GV60" s="15"/>
      <c r="GW60" s="15"/>
      <c r="GX60" s="15"/>
      <c r="GY60" s="15"/>
      <c r="GZ60" s="184"/>
      <c r="HA60" s="15"/>
      <c r="HB60" s="15"/>
      <c r="HC60" s="15"/>
      <c r="HD60" s="15"/>
      <c r="HE60" s="15"/>
      <c r="HF60" s="15"/>
      <c r="HG60" s="184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  <c r="MG60" s="15"/>
      <c r="MH60" s="15"/>
      <c r="MI60" s="15"/>
      <c r="MJ60" s="15"/>
      <c r="MK60" s="15"/>
      <c r="ML60" s="15"/>
      <c r="MM60" s="15"/>
      <c r="MN60" s="15"/>
      <c r="MO60" s="15"/>
      <c r="MP60" s="15"/>
      <c r="MQ60" s="15"/>
      <c r="MR60" s="15"/>
      <c r="MS60" s="15"/>
      <c r="MT60" s="15"/>
      <c r="MU60" s="15"/>
      <c r="MV60" s="15"/>
      <c r="MW60" s="15"/>
      <c r="MX60" s="15"/>
      <c r="MY60" s="15"/>
      <c r="MZ60" s="15"/>
      <c r="NA60" s="15"/>
      <c r="NB60" s="15"/>
      <c r="NC60" s="15"/>
      <c r="ND60" s="15"/>
      <c r="NE60" s="15"/>
      <c r="NF60" s="15"/>
      <c r="NG60" s="15"/>
      <c r="NH60" s="15"/>
      <c r="NI60" s="15"/>
      <c r="NJ60" s="15"/>
      <c r="NK60" s="15"/>
      <c r="NL60" s="15"/>
      <c r="NM60" s="15"/>
      <c r="NN60" s="15"/>
      <c r="NO60" s="15"/>
      <c r="NP60" s="15"/>
      <c r="NQ60" s="15"/>
      <c r="NR60" s="15"/>
      <c r="NS60" s="15"/>
      <c r="NT60" s="15"/>
      <c r="NU60" s="15"/>
      <c r="NV60" s="15"/>
      <c r="NW60" s="15"/>
      <c r="NX60" s="15"/>
      <c r="NY60" s="15"/>
      <c r="NZ60" s="15"/>
    </row>
    <row r="61" spans="2:390" ht="19.5" customHeight="1" x14ac:dyDescent="0.45">
      <c r="B61" s="1">
        <f t="shared" si="51"/>
        <v>2</v>
      </c>
      <c r="C61" s="1">
        <f t="shared" si="51"/>
        <v>4</v>
      </c>
      <c r="D61" s="1">
        <f t="shared" si="48"/>
        <v>5</v>
      </c>
      <c r="E61" s="59" t="s">
        <v>129</v>
      </c>
      <c r="F61" s="23" t="s">
        <v>19</v>
      </c>
      <c r="G61" s="191">
        <v>2.2999999999999998</v>
      </c>
      <c r="H61" s="52" t="s">
        <v>117</v>
      </c>
      <c r="I61" s="52" t="s">
        <v>157</v>
      </c>
      <c r="J61" s="52">
        <v>28</v>
      </c>
      <c r="K61" s="52">
        <v>16</v>
      </c>
      <c r="L61" s="52">
        <f t="shared" ref="L61:L67" si="52">+J61-K61</f>
        <v>12</v>
      </c>
      <c r="M61" s="52">
        <v>3</v>
      </c>
      <c r="N61" s="52">
        <v>12</v>
      </c>
      <c r="O61" s="51">
        <f>+N61*M61</f>
        <v>36</v>
      </c>
      <c r="P61" s="51">
        <f t="shared" si="49"/>
        <v>33</v>
      </c>
      <c r="Q61" s="51">
        <f t="shared" si="50"/>
        <v>3</v>
      </c>
      <c r="R61" s="19">
        <v>45999</v>
      </c>
      <c r="S61" s="20">
        <v>10</v>
      </c>
      <c r="T61" s="21">
        <f t="shared" si="30"/>
        <v>46010</v>
      </c>
      <c r="U61" s="22">
        <f>+K61/J61</f>
        <v>0.5714285714285714</v>
      </c>
      <c r="V61" s="199">
        <f t="shared" si="31"/>
        <v>20.571428571428569</v>
      </c>
      <c r="W61" s="158">
        <f t="shared" ref="W61:W69" si="53">SUMIFS($AA61:$NZ61, $AA$8:$NZ$8, $W$12)/$O61</f>
        <v>0</v>
      </c>
      <c r="X61" s="159">
        <f t="shared" ref="X61:X69" si="54">SUMIF($AA$9:$NZ$9, "&lt;=" &amp; $W$11,$AA61:$NZ61)/$O61</f>
        <v>0.91666666666666663</v>
      </c>
      <c r="Y61" s="199">
        <f t="shared" si="32"/>
        <v>33</v>
      </c>
      <c r="Z61" s="36"/>
      <c r="AA61" s="15"/>
      <c r="AB61" s="15"/>
      <c r="AC61" s="15"/>
      <c r="AD61" s="15"/>
      <c r="AE61" s="15"/>
      <c r="AF61" s="15"/>
      <c r="AG61" s="184"/>
      <c r="AH61" s="15"/>
      <c r="AI61" s="15"/>
      <c r="AJ61" s="15"/>
      <c r="AK61" s="15"/>
      <c r="AL61" s="15"/>
      <c r="AM61" s="15"/>
      <c r="AN61" s="184"/>
      <c r="AO61" s="15">
        <v>3</v>
      </c>
      <c r="AP61" s="15">
        <v>3</v>
      </c>
      <c r="AQ61" s="15">
        <v>3</v>
      </c>
      <c r="AR61" s="15">
        <v>3</v>
      </c>
      <c r="AS61" s="15">
        <v>3</v>
      </c>
      <c r="AT61" s="15">
        <v>3</v>
      </c>
      <c r="AU61" s="184"/>
      <c r="AV61" s="15">
        <v>3</v>
      </c>
      <c r="AW61" s="15">
        <v>3</v>
      </c>
      <c r="AX61" s="15">
        <v>3</v>
      </c>
      <c r="AY61" s="15">
        <v>3</v>
      </c>
      <c r="AZ61" s="15">
        <v>3</v>
      </c>
      <c r="BA61" s="15">
        <v>0</v>
      </c>
      <c r="BB61" s="184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84"/>
      <c r="CE61" s="15"/>
      <c r="CF61" s="15"/>
      <c r="CG61" s="15"/>
      <c r="CH61" s="15"/>
      <c r="CI61" s="15"/>
      <c r="CJ61" s="15"/>
      <c r="CK61" s="184"/>
      <c r="CL61" s="15"/>
      <c r="CM61" s="15"/>
      <c r="CN61" s="15"/>
      <c r="CO61" s="15"/>
      <c r="CP61" s="15"/>
      <c r="CQ61" s="15"/>
      <c r="CR61" s="184"/>
      <c r="CS61" s="15"/>
      <c r="CT61" s="15"/>
      <c r="CU61" s="15"/>
      <c r="CV61" s="15"/>
      <c r="CW61" s="15"/>
      <c r="CX61" s="15"/>
      <c r="CY61" s="184"/>
      <c r="CZ61" s="15"/>
      <c r="DA61" s="15"/>
      <c r="DB61" s="15"/>
      <c r="DC61" s="15"/>
      <c r="DD61" s="15"/>
      <c r="DE61" s="15"/>
      <c r="DF61" s="184"/>
      <c r="DG61" s="15"/>
      <c r="DH61" s="15"/>
      <c r="DI61" s="15"/>
      <c r="DJ61" s="15"/>
      <c r="DK61" s="15"/>
      <c r="DL61" s="15"/>
      <c r="DM61" s="184"/>
      <c r="DN61" s="15"/>
      <c r="DO61" s="15"/>
      <c r="DP61" s="15"/>
      <c r="DQ61" s="15"/>
      <c r="DR61" s="15"/>
      <c r="DS61" s="15"/>
      <c r="DT61" s="184"/>
      <c r="DU61" s="15"/>
      <c r="DV61" s="15"/>
      <c r="DW61" s="15"/>
      <c r="DX61" s="15"/>
      <c r="DY61" s="15"/>
      <c r="DZ61" s="15"/>
      <c r="EA61" s="184"/>
      <c r="EB61" s="15"/>
      <c r="EC61" s="15"/>
      <c r="ED61" s="15"/>
      <c r="EE61" s="15"/>
      <c r="EF61" s="15"/>
      <c r="EG61" s="15"/>
      <c r="EH61" s="184"/>
      <c r="EI61" s="15"/>
      <c r="EJ61" s="15"/>
      <c r="EK61" s="15"/>
      <c r="EL61" s="15"/>
      <c r="EM61" s="15"/>
      <c r="EN61" s="15"/>
      <c r="EO61" s="184"/>
      <c r="EP61" s="15"/>
      <c r="EQ61" s="15"/>
      <c r="ER61" s="15"/>
      <c r="ES61" s="15"/>
      <c r="ET61" s="15"/>
      <c r="EU61" s="15"/>
      <c r="EV61" s="184"/>
      <c r="EW61" s="15"/>
      <c r="EX61" s="15"/>
      <c r="EY61" s="15"/>
      <c r="EZ61" s="15"/>
      <c r="FA61" s="15"/>
      <c r="FB61" s="15"/>
      <c r="FC61" s="184"/>
      <c r="FD61" s="15"/>
      <c r="FE61" s="15"/>
      <c r="FF61" s="15"/>
      <c r="FG61" s="15"/>
      <c r="FH61" s="15"/>
      <c r="FI61" s="15"/>
      <c r="FJ61" s="184"/>
      <c r="FK61" s="15"/>
      <c r="FL61" s="15"/>
      <c r="FM61" s="15"/>
      <c r="FN61" s="15"/>
      <c r="FO61" s="15"/>
      <c r="FP61" s="15"/>
      <c r="FQ61" s="184"/>
      <c r="FR61" s="15"/>
      <c r="FS61" s="15"/>
      <c r="FT61" s="15"/>
      <c r="FU61" s="15"/>
      <c r="FV61" s="15"/>
      <c r="FW61" s="178"/>
      <c r="FX61" s="184"/>
      <c r="FY61" s="181"/>
      <c r="FZ61" s="15"/>
      <c r="GA61" s="15"/>
      <c r="GB61" s="15"/>
      <c r="GC61" s="15"/>
      <c r="GD61" s="15"/>
      <c r="GE61" s="184"/>
      <c r="GF61" s="15"/>
      <c r="GG61" s="15"/>
      <c r="GH61" s="15"/>
      <c r="GI61" s="15"/>
      <c r="GJ61" s="15"/>
      <c r="GK61" s="15"/>
      <c r="GL61" s="184"/>
      <c r="GM61" s="15"/>
      <c r="GN61" s="15"/>
      <c r="GO61" s="15"/>
      <c r="GP61" s="15"/>
      <c r="GQ61" s="15"/>
      <c r="GR61" s="15"/>
      <c r="GS61" s="184"/>
      <c r="GT61" s="15"/>
      <c r="GU61" s="15"/>
      <c r="GV61" s="15"/>
      <c r="GW61" s="15"/>
      <c r="GX61" s="15"/>
      <c r="GY61" s="15"/>
      <c r="GZ61" s="184"/>
      <c r="HA61" s="15"/>
      <c r="HB61" s="15"/>
      <c r="HC61" s="15"/>
      <c r="HD61" s="15"/>
      <c r="HE61" s="15"/>
      <c r="HF61" s="15"/>
      <c r="HG61" s="184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</row>
    <row r="62" spans="2:390" ht="19.5" customHeight="1" x14ac:dyDescent="0.45">
      <c r="B62" s="1">
        <f t="shared" si="51"/>
        <v>2</v>
      </c>
      <c r="C62" s="1">
        <f t="shared" si="51"/>
        <v>4</v>
      </c>
      <c r="D62" s="1">
        <f t="shared" si="48"/>
        <v>6</v>
      </c>
      <c r="E62" s="59" t="s">
        <v>130</v>
      </c>
      <c r="F62" s="23" t="s">
        <v>20</v>
      </c>
      <c r="G62" s="191">
        <v>2.2999999999999998</v>
      </c>
      <c r="H62" s="52" t="s">
        <v>117</v>
      </c>
      <c r="I62" s="52" t="s">
        <v>157</v>
      </c>
      <c r="J62" s="52">
        <v>31</v>
      </c>
      <c r="K62" s="52">
        <v>25</v>
      </c>
      <c r="L62" s="52">
        <f t="shared" si="52"/>
        <v>6</v>
      </c>
      <c r="M62" s="52">
        <v>3</v>
      </c>
      <c r="N62" s="52">
        <v>12</v>
      </c>
      <c r="O62" s="51">
        <f>+N62*M62</f>
        <v>36</v>
      </c>
      <c r="P62" s="51">
        <f t="shared" si="49"/>
        <v>36</v>
      </c>
      <c r="Q62" s="51">
        <f t="shared" si="50"/>
        <v>0</v>
      </c>
      <c r="R62" s="19">
        <v>46034</v>
      </c>
      <c r="S62" s="20">
        <v>10</v>
      </c>
      <c r="T62" s="21">
        <f t="shared" si="30"/>
        <v>46045</v>
      </c>
      <c r="U62" s="22">
        <f>+K62/J62</f>
        <v>0.80645161290322576</v>
      </c>
      <c r="V62" s="199">
        <f t="shared" si="31"/>
        <v>29.032258064516128</v>
      </c>
      <c r="W62" s="158">
        <f t="shared" si="53"/>
        <v>0</v>
      </c>
      <c r="X62" s="159">
        <f t="shared" si="54"/>
        <v>0</v>
      </c>
      <c r="Y62" s="199">
        <f t="shared" si="32"/>
        <v>0</v>
      </c>
      <c r="Z62" s="36"/>
      <c r="AA62" s="15"/>
      <c r="AB62" s="15"/>
      <c r="AC62" s="15"/>
      <c r="AD62" s="15"/>
      <c r="AE62" s="15"/>
      <c r="AF62" s="15"/>
      <c r="AG62" s="184"/>
      <c r="AH62" s="15"/>
      <c r="AI62" s="15"/>
      <c r="AJ62" s="15"/>
      <c r="AK62" s="15"/>
      <c r="AL62" s="15"/>
      <c r="AM62" s="15"/>
      <c r="AN62" s="184"/>
      <c r="AO62" s="15"/>
      <c r="AP62" s="15"/>
      <c r="AQ62" s="15"/>
      <c r="AR62" s="15"/>
      <c r="AS62" s="15"/>
      <c r="AT62" s="15"/>
      <c r="AU62" s="184"/>
      <c r="AV62" s="15"/>
      <c r="AW62" s="15"/>
      <c r="AX62" s="15"/>
      <c r="AY62" s="15"/>
      <c r="AZ62" s="15"/>
      <c r="BA62" s="15"/>
      <c r="BB62" s="184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>
        <v>3</v>
      </c>
      <c r="BY62" s="15">
        <v>3</v>
      </c>
      <c r="BZ62" s="15">
        <v>3</v>
      </c>
      <c r="CA62" s="15">
        <v>3</v>
      </c>
      <c r="CB62" s="15">
        <v>3</v>
      </c>
      <c r="CC62" s="15">
        <v>3</v>
      </c>
      <c r="CD62" s="184"/>
      <c r="CE62" s="15">
        <v>3</v>
      </c>
      <c r="CF62" s="15">
        <v>3</v>
      </c>
      <c r="CG62" s="15">
        <v>3</v>
      </c>
      <c r="CH62" s="15">
        <v>3</v>
      </c>
      <c r="CI62" s="15">
        <v>3</v>
      </c>
      <c r="CJ62" s="15">
        <v>3</v>
      </c>
      <c r="CK62" s="184"/>
      <c r="CL62" s="15"/>
      <c r="CM62" s="15"/>
      <c r="CN62" s="15"/>
      <c r="CO62" s="15"/>
      <c r="CP62" s="15"/>
      <c r="CQ62" s="15"/>
      <c r="CR62" s="184"/>
      <c r="CS62" s="15"/>
      <c r="CT62" s="15"/>
      <c r="CU62" s="15"/>
      <c r="CV62" s="15"/>
      <c r="CW62" s="15"/>
      <c r="CX62" s="15"/>
      <c r="CY62" s="184"/>
      <c r="CZ62" s="15"/>
      <c r="DA62" s="15"/>
      <c r="DB62" s="15"/>
      <c r="DC62" s="15"/>
      <c r="DD62" s="15"/>
      <c r="DE62" s="15"/>
      <c r="DF62" s="184"/>
      <c r="DG62" s="15"/>
      <c r="DH62" s="15"/>
      <c r="DI62" s="15"/>
      <c r="DJ62" s="15"/>
      <c r="DK62" s="15"/>
      <c r="DL62" s="15"/>
      <c r="DM62" s="184"/>
      <c r="DN62" s="15"/>
      <c r="DO62" s="15"/>
      <c r="DP62" s="15"/>
      <c r="DQ62" s="15"/>
      <c r="DR62" s="15"/>
      <c r="DS62" s="15"/>
      <c r="DT62" s="184"/>
      <c r="DU62" s="15"/>
      <c r="DV62" s="15"/>
      <c r="DW62" s="15"/>
      <c r="DX62" s="15"/>
      <c r="DY62" s="15"/>
      <c r="DZ62" s="15"/>
      <c r="EA62" s="184"/>
      <c r="EB62" s="15"/>
      <c r="EC62" s="15"/>
      <c r="ED62" s="15"/>
      <c r="EE62" s="15"/>
      <c r="EF62" s="15"/>
      <c r="EG62" s="15"/>
      <c r="EH62" s="184"/>
      <c r="EI62" s="15"/>
      <c r="EJ62" s="15"/>
      <c r="EK62" s="15"/>
      <c r="EL62" s="15"/>
      <c r="EM62" s="15"/>
      <c r="EN62" s="15"/>
      <c r="EO62" s="184"/>
      <c r="EP62" s="15"/>
      <c r="EQ62" s="15"/>
      <c r="ER62" s="15"/>
      <c r="ES62" s="15"/>
      <c r="ET62" s="15"/>
      <c r="EU62" s="15"/>
      <c r="EV62" s="184"/>
      <c r="EW62" s="15"/>
      <c r="EX62" s="15"/>
      <c r="EY62" s="15"/>
      <c r="EZ62" s="15"/>
      <c r="FA62" s="15"/>
      <c r="FB62" s="15"/>
      <c r="FC62" s="184"/>
      <c r="FD62" s="15"/>
      <c r="FE62" s="15"/>
      <c r="FF62" s="15"/>
      <c r="FG62" s="15"/>
      <c r="FH62" s="15"/>
      <c r="FI62" s="15"/>
      <c r="FJ62" s="184"/>
      <c r="FK62" s="15"/>
      <c r="FL62" s="15"/>
      <c r="FM62" s="15"/>
      <c r="FN62" s="15"/>
      <c r="FO62" s="15"/>
      <c r="FP62" s="15"/>
      <c r="FQ62" s="184"/>
      <c r="FR62" s="15"/>
      <c r="FS62" s="15"/>
      <c r="FT62" s="15"/>
      <c r="FU62" s="15"/>
      <c r="FV62" s="15"/>
      <c r="FW62" s="178"/>
      <c r="FX62" s="184"/>
      <c r="FY62" s="181"/>
      <c r="FZ62" s="15"/>
      <c r="GA62" s="15"/>
      <c r="GB62" s="15"/>
      <c r="GC62" s="15"/>
      <c r="GD62" s="15"/>
      <c r="GE62" s="184"/>
      <c r="GF62" s="15"/>
      <c r="GG62" s="15"/>
      <c r="GH62" s="15"/>
      <c r="GI62" s="15"/>
      <c r="GJ62" s="15"/>
      <c r="GK62" s="15"/>
      <c r="GL62" s="184"/>
      <c r="GM62" s="15"/>
      <c r="GN62" s="15"/>
      <c r="GO62" s="15"/>
      <c r="GP62" s="15"/>
      <c r="GQ62" s="15"/>
      <c r="GR62" s="15"/>
      <c r="GS62" s="184"/>
      <c r="GT62" s="15"/>
      <c r="GU62" s="15"/>
      <c r="GV62" s="15"/>
      <c r="GW62" s="15"/>
      <c r="GX62" s="15"/>
      <c r="GY62" s="15"/>
      <c r="GZ62" s="184"/>
      <c r="HA62" s="15"/>
      <c r="HB62" s="15"/>
      <c r="HC62" s="15"/>
      <c r="HD62" s="15"/>
      <c r="HE62" s="15"/>
      <c r="HF62" s="15"/>
      <c r="HG62" s="184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  <c r="MH62" s="15"/>
      <c r="MI62" s="15"/>
      <c r="MJ62" s="15"/>
      <c r="MK62" s="15"/>
      <c r="ML62" s="15"/>
      <c r="MM62" s="15"/>
      <c r="MN62" s="15"/>
      <c r="MO62" s="15"/>
      <c r="MP62" s="15"/>
      <c r="MQ62" s="15"/>
      <c r="MR62" s="15"/>
      <c r="MS62" s="15"/>
      <c r="MT62" s="15"/>
      <c r="MU62" s="15"/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  <c r="NH62" s="15"/>
      <c r="NI62" s="15"/>
      <c r="NJ62" s="15"/>
      <c r="NK62" s="15"/>
      <c r="NL62" s="15"/>
      <c r="NM62" s="15"/>
      <c r="NN62" s="15"/>
      <c r="NO62" s="15"/>
      <c r="NP62" s="15"/>
      <c r="NQ62" s="15"/>
      <c r="NR62" s="15"/>
      <c r="NS62" s="15"/>
      <c r="NT62" s="15"/>
      <c r="NU62" s="15"/>
      <c r="NV62" s="15"/>
      <c r="NW62" s="15"/>
      <c r="NX62" s="15"/>
      <c r="NY62" s="15"/>
      <c r="NZ62" s="15"/>
    </row>
    <row r="63" spans="2:390" ht="19.5" customHeight="1" x14ac:dyDescent="0.45">
      <c r="B63" s="1">
        <f t="shared" ref="B63:B78" si="55">+B62</f>
        <v>2</v>
      </c>
      <c r="C63" s="1">
        <f>+C62+1</f>
        <v>5</v>
      </c>
      <c r="D63" s="1">
        <v>0</v>
      </c>
      <c r="E63" s="93" t="str">
        <f t="shared" ref="E63:E87" si="56">B63&amp;"."&amp;C63&amp;"."&amp;D63</f>
        <v>2.5.0</v>
      </c>
      <c r="F63" s="94" t="s">
        <v>136</v>
      </c>
      <c r="G63" s="94"/>
      <c r="H63" s="97" t="s">
        <v>117</v>
      </c>
      <c r="I63" s="97" t="s">
        <v>157</v>
      </c>
      <c r="J63" s="66">
        <v>2</v>
      </c>
      <c r="K63" s="66">
        <v>2</v>
      </c>
      <c r="L63" s="97">
        <f t="shared" si="52"/>
        <v>0</v>
      </c>
      <c r="M63" s="95">
        <v>4</v>
      </c>
      <c r="N63" s="95">
        <v>4</v>
      </c>
      <c r="O63" s="95">
        <f>+N63*M63</f>
        <v>16</v>
      </c>
      <c r="P63" s="95"/>
      <c r="Q63" s="95"/>
      <c r="R63" s="168">
        <v>45988</v>
      </c>
      <c r="S63" s="98">
        <v>2</v>
      </c>
      <c r="T63" s="163">
        <f t="shared" si="30"/>
        <v>45989</v>
      </c>
      <c r="U63" s="164">
        <f>+K63/J63</f>
        <v>1</v>
      </c>
      <c r="V63" s="200">
        <f t="shared" si="31"/>
        <v>16</v>
      </c>
      <c r="W63" s="158">
        <f t="shared" si="53"/>
        <v>0</v>
      </c>
      <c r="X63" s="159">
        <f t="shared" si="54"/>
        <v>0.75</v>
      </c>
      <c r="Y63" s="199">
        <f t="shared" si="32"/>
        <v>12</v>
      </c>
      <c r="Z63" s="36"/>
      <c r="AA63" s="15"/>
      <c r="AB63" s="15"/>
      <c r="AC63" s="15"/>
      <c r="AD63" s="15">
        <v>4</v>
      </c>
      <c r="AE63" s="15">
        <v>4</v>
      </c>
      <c r="AF63" s="15">
        <v>4</v>
      </c>
      <c r="AG63" s="184"/>
      <c r="AH63" s="15"/>
      <c r="AI63" s="15"/>
      <c r="AJ63" s="15"/>
      <c r="AK63" s="15"/>
      <c r="AL63" s="15"/>
      <c r="AM63" s="15"/>
      <c r="AN63" s="184"/>
      <c r="AO63" s="15"/>
      <c r="AP63" s="15"/>
      <c r="AQ63" s="15"/>
      <c r="AR63" s="15"/>
      <c r="AS63" s="15"/>
      <c r="AT63" s="15"/>
      <c r="AU63" s="184"/>
      <c r="AV63" s="15"/>
      <c r="AW63" s="15"/>
      <c r="AX63" s="15"/>
      <c r="AY63" s="15"/>
      <c r="AZ63" s="15"/>
      <c r="BA63" s="15"/>
      <c r="BB63" s="184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84"/>
      <c r="CE63" s="15"/>
      <c r="CF63" s="15"/>
      <c r="CG63" s="15"/>
      <c r="CH63" s="15"/>
      <c r="CI63" s="15"/>
      <c r="CJ63" s="15"/>
      <c r="CK63" s="184"/>
      <c r="CL63" s="15"/>
      <c r="CM63" s="15"/>
      <c r="CN63" s="15"/>
      <c r="CO63" s="15"/>
      <c r="CP63" s="15"/>
      <c r="CQ63" s="15"/>
      <c r="CR63" s="184"/>
      <c r="CS63" s="15"/>
      <c r="CT63" s="15"/>
      <c r="CU63" s="15"/>
      <c r="CV63" s="15"/>
      <c r="CW63" s="15"/>
      <c r="CX63" s="15"/>
      <c r="CY63" s="184"/>
      <c r="CZ63" s="15"/>
      <c r="DA63" s="15"/>
      <c r="DB63" s="15"/>
      <c r="DC63" s="15"/>
      <c r="DD63" s="15"/>
      <c r="DE63" s="15"/>
      <c r="DF63" s="184"/>
      <c r="DG63" s="15"/>
      <c r="DH63" s="15"/>
      <c r="DI63" s="15"/>
      <c r="DJ63" s="15"/>
      <c r="DK63" s="15"/>
      <c r="DL63" s="15"/>
      <c r="DM63" s="184"/>
      <c r="DN63" s="15"/>
      <c r="DO63" s="15"/>
      <c r="DP63" s="15"/>
      <c r="DQ63" s="15"/>
      <c r="DR63" s="15"/>
      <c r="DS63" s="15"/>
      <c r="DT63" s="184"/>
      <c r="DU63" s="15"/>
      <c r="DV63" s="15"/>
      <c r="DW63" s="15"/>
      <c r="DX63" s="15"/>
      <c r="DY63" s="15"/>
      <c r="DZ63" s="15"/>
      <c r="EA63" s="184"/>
      <c r="EB63" s="15"/>
      <c r="EC63" s="15"/>
      <c r="ED63" s="15"/>
      <c r="EE63" s="15"/>
      <c r="EF63" s="15"/>
      <c r="EG63" s="15"/>
      <c r="EH63" s="184"/>
      <c r="EI63" s="15"/>
      <c r="EJ63" s="15"/>
      <c r="EK63" s="15"/>
      <c r="EL63" s="15"/>
      <c r="EM63" s="15"/>
      <c r="EN63" s="15"/>
      <c r="EO63" s="184"/>
      <c r="EP63" s="15"/>
      <c r="EQ63" s="15"/>
      <c r="ER63" s="15"/>
      <c r="ES63" s="15"/>
      <c r="ET63" s="15"/>
      <c r="EU63" s="15"/>
      <c r="EV63" s="184"/>
      <c r="EW63" s="15"/>
      <c r="EX63" s="15"/>
      <c r="EY63" s="15"/>
      <c r="EZ63" s="15"/>
      <c r="FA63" s="15"/>
      <c r="FB63" s="15"/>
      <c r="FC63" s="184"/>
      <c r="FD63" s="15"/>
      <c r="FE63" s="15"/>
      <c r="FF63" s="15"/>
      <c r="FG63" s="15"/>
      <c r="FH63" s="15"/>
      <c r="FI63" s="15"/>
      <c r="FJ63" s="184"/>
      <c r="FK63" s="15"/>
      <c r="FL63" s="15"/>
      <c r="FM63" s="15"/>
      <c r="FN63" s="15"/>
      <c r="FO63" s="15"/>
      <c r="FP63" s="15"/>
      <c r="FQ63" s="184"/>
      <c r="FR63" s="15"/>
      <c r="FS63" s="15"/>
      <c r="FT63" s="15"/>
      <c r="FU63" s="15"/>
      <c r="FV63" s="15"/>
      <c r="FW63" s="178"/>
      <c r="FX63" s="184"/>
      <c r="FY63" s="181"/>
      <c r="FZ63" s="15"/>
      <c r="GA63" s="15"/>
      <c r="GB63" s="15"/>
      <c r="GC63" s="15"/>
      <c r="GD63" s="15"/>
      <c r="GE63" s="184"/>
      <c r="GF63" s="15"/>
      <c r="GG63" s="15"/>
      <c r="GH63" s="15"/>
      <c r="GI63" s="15"/>
      <c r="GJ63" s="15"/>
      <c r="GK63" s="15"/>
      <c r="GL63" s="184"/>
      <c r="GM63" s="15"/>
      <c r="GN63" s="15"/>
      <c r="GO63" s="15"/>
      <c r="GP63" s="15"/>
      <c r="GQ63" s="15"/>
      <c r="GR63" s="15"/>
      <c r="GS63" s="184"/>
      <c r="GT63" s="15"/>
      <c r="GU63" s="15"/>
      <c r="GV63" s="15"/>
      <c r="GW63" s="15"/>
      <c r="GX63" s="15"/>
      <c r="GY63" s="15"/>
      <c r="GZ63" s="184"/>
      <c r="HA63" s="15"/>
      <c r="HB63" s="15"/>
      <c r="HC63" s="15"/>
      <c r="HD63" s="15"/>
      <c r="HE63" s="15"/>
      <c r="HF63" s="15"/>
      <c r="HG63" s="184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</row>
    <row r="64" spans="2:390" ht="19.5" customHeight="1" x14ac:dyDescent="0.45">
      <c r="B64" s="1">
        <f t="shared" si="55"/>
        <v>2</v>
      </c>
      <c r="C64" s="1">
        <f>+C63+1</f>
        <v>6</v>
      </c>
      <c r="D64" s="1">
        <v>0</v>
      </c>
      <c r="E64" s="93" t="str">
        <f t="shared" si="56"/>
        <v>2.6.0</v>
      </c>
      <c r="F64" s="94" t="s">
        <v>30</v>
      </c>
      <c r="G64" s="94"/>
      <c r="H64" s="95"/>
      <c r="I64" s="95"/>
      <c r="J64" s="96"/>
      <c r="K64" s="96"/>
      <c r="L64" s="96"/>
      <c r="M64" s="94"/>
      <c r="N64" s="94"/>
      <c r="O64" s="95">
        <f>SUM(O65:O67)</f>
        <v>132</v>
      </c>
      <c r="P64" s="95"/>
      <c r="Q64" s="95"/>
      <c r="R64" s="168"/>
      <c r="S64" s="98"/>
      <c r="T64" s="163" t="str">
        <f t="shared" si="30"/>
        <v/>
      </c>
      <c r="U64" s="164">
        <f>+SUMPRODUCT(U65:U67,O65:O67)/O64</f>
        <v>0</v>
      </c>
      <c r="V64" s="200">
        <f t="shared" si="31"/>
        <v>0</v>
      </c>
      <c r="W64" s="158">
        <f t="shared" si="53"/>
        <v>0</v>
      </c>
      <c r="X64" s="159">
        <f t="shared" si="54"/>
        <v>0</v>
      </c>
      <c r="Y64" s="199">
        <f t="shared" si="32"/>
        <v>0</v>
      </c>
      <c r="Z64" s="36"/>
      <c r="AA64" s="15"/>
      <c r="AB64" s="15"/>
      <c r="AC64" s="15"/>
      <c r="AD64" s="15"/>
      <c r="AE64" s="15"/>
      <c r="AF64" s="15"/>
      <c r="AG64" s="184"/>
      <c r="AH64" s="15"/>
      <c r="AI64" s="15"/>
      <c r="AJ64" s="15"/>
      <c r="AK64" s="15"/>
      <c r="AL64" s="15"/>
      <c r="AM64" s="15"/>
      <c r="AN64" s="184"/>
      <c r="AO64" s="15"/>
      <c r="AP64" s="15"/>
      <c r="AQ64" s="15"/>
      <c r="AR64" s="15"/>
      <c r="AS64" s="15"/>
      <c r="AT64" s="15"/>
      <c r="AU64" s="184"/>
      <c r="AV64" s="15"/>
      <c r="AW64" s="15"/>
      <c r="AX64" s="15"/>
      <c r="AY64" s="15"/>
      <c r="AZ64" s="15"/>
      <c r="BA64" s="15"/>
      <c r="BB64" s="184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84"/>
      <c r="CE64" s="15"/>
      <c r="CF64" s="15"/>
      <c r="CG64" s="15"/>
      <c r="CH64" s="15"/>
      <c r="CI64" s="15"/>
      <c r="CJ64" s="15"/>
      <c r="CK64" s="184"/>
      <c r="CL64" s="15"/>
      <c r="CM64" s="15"/>
      <c r="CN64" s="15"/>
      <c r="CO64" s="15"/>
      <c r="CP64" s="15"/>
      <c r="CQ64" s="15"/>
      <c r="CR64" s="184"/>
      <c r="CS64" s="15"/>
      <c r="CT64" s="15"/>
      <c r="CU64" s="15"/>
      <c r="CV64" s="15"/>
      <c r="CW64" s="15"/>
      <c r="CX64" s="15"/>
      <c r="CY64" s="184"/>
      <c r="CZ64" s="15"/>
      <c r="DA64" s="15"/>
      <c r="DB64" s="15"/>
      <c r="DC64" s="15"/>
      <c r="DD64" s="15"/>
      <c r="DE64" s="15"/>
      <c r="DF64" s="184"/>
      <c r="DG64" s="15"/>
      <c r="DH64" s="15"/>
      <c r="DI64" s="15"/>
      <c r="DJ64" s="15"/>
      <c r="DK64" s="15"/>
      <c r="DL64" s="15"/>
      <c r="DM64" s="184"/>
      <c r="DN64" s="15"/>
      <c r="DO64" s="15"/>
      <c r="DP64" s="15"/>
      <c r="DQ64" s="15"/>
      <c r="DR64" s="15"/>
      <c r="DS64" s="15"/>
      <c r="DT64" s="184"/>
      <c r="DU64" s="15"/>
      <c r="DV64" s="15"/>
      <c r="DW64" s="15"/>
      <c r="DX64" s="15"/>
      <c r="DY64" s="15"/>
      <c r="DZ64" s="15"/>
      <c r="EA64" s="184"/>
      <c r="EB64" s="15"/>
      <c r="EC64" s="15"/>
      <c r="ED64" s="15"/>
      <c r="EE64" s="15"/>
      <c r="EF64" s="15"/>
      <c r="EG64" s="15"/>
      <c r="EH64" s="184"/>
      <c r="EI64" s="15"/>
      <c r="EJ64" s="15"/>
      <c r="EK64" s="15"/>
      <c r="EL64" s="15"/>
      <c r="EM64" s="15"/>
      <c r="EN64" s="15"/>
      <c r="EO64" s="184"/>
      <c r="EP64" s="15"/>
      <c r="EQ64" s="15"/>
      <c r="ER64" s="15"/>
      <c r="ES64" s="15"/>
      <c r="ET64" s="15"/>
      <c r="EU64" s="15"/>
      <c r="EV64" s="184"/>
      <c r="EW64" s="15"/>
      <c r="EX64" s="15"/>
      <c r="EY64" s="15"/>
      <c r="EZ64" s="15"/>
      <c r="FA64" s="15"/>
      <c r="FB64" s="15"/>
      <c r="FC64" s="184"/>
      <c r="FD64" s="15"/>
      <c r="FE64" s="15"/>
      <c r="FF64" s="15"/>
      <c r="FG64" s="15"/>
      <c r="FH64" s="15"/>
      <c r="FI64" s="15"/>
      <c r="FJ64" s="184"/>
      <c r="FK64" s="15"/>
      <c r="FL64" s="15"/>
      <c r="FM64" s="15"/>
      <c r="FN64" s="15"/>
      <c r="FO64" s="15"/>
      <c r="FP64" s="15"/>
      <c r="FQ64" s="184"/>
      <c r="FR64" s="15"/>
      <c r="FS64" s="15"/>
      <c r="FT64" s="15"/>
      <c r="FU64" s="15"/>
      <c r="FV64" s="15"/>
      <c r="FW64" s="178"/>
      <c r="FX64" s="184"/>
      <c r="FY64" s="181"/>
      <c r="FZ64" s="15"/>
      <c r="GA64" s="15"/>
      <c r="GB64" s="15"/>
      <c r="GC64" s="15"/>
      <c r="GD64" s="15"/>
      <c r="GE64" s="184"/>
      <c r="GF64" s="15"/>
      <c r="GG64" s="15"/>
      <c r="GH64" s="15"/>
      <c r="GI64" s="15"/>
      <c r="GJ64" s="15"/>
      <c r="GK64" s="15"/>
      <c r="GL64" s="184"/>
      <c r="GM64" s="15"/>
      <c r="GN64" s="15"/>
      <c r="GO64" s="15"/>
      <c r="GP64" s="15"/>
      <c r="GQ64" s="15"/>
      <c r="GR64" s="15"/>
      <c r="GS64" s="184"/>
      <c r="GT64" s="15"/>
      <c r="GU64" s="15"/>
      <c r="GV64" s="15"/>
      <c r="GW64" s="15"/>
      <c r="GX64" s="15"/>
      <c r="GY64" s="15"/>
      <c r="GZ64" s="184"/>
      <c r="HA64" s="15"/>
      <c r="HB64" s="15"/>
      <c r="HC64" s="15"/>
      <c r="HD64" s="15"/>
      <c r="HE64" s="15"/>
      <c r="HF64" s="15"/>
      <c r="HG64" s="184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  <c r="MH64" s="15"/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  <c r="NJ64" s="15"/>
      <c r="NK64" s="15"/>
      <c r="NL64" s="15"/>
      <c r="NM64" s="15"/>
      <c r="NN64" s="15"/>
      <c r="NO64" s="15"/>
      <c r="NP64" s="15"/>
      <c r="NQ64" s="15"/>
      <c r="NR64" s="15"/>
      <c r="NS64" s="15"/>
      <c r="NT64" s="15"/>
      <c r="NU64" s="15"/>
      <c r="NV64" s="15"/>
      <c r="NW64" s="15"/>
      <c r="NX64" s="15"/>
      <c r="NY64" s="15"/>
      <c r="NZ64" s="15"/>
    </row>
    <row r="65" spans="2:390" ht="19.5" customHeight="1" x14ac:dyDescent="0.45">
      <c r="B65" s="1">
        <f t="shared" si="55"/>
        <v>2</v>
      </c>
      <c r="C65" s="1">
        <f>+C64</f>
        <v>6</v>
      </c>
      <c r="D65" s="1">
        <f>+D64+1</f>
        <v>1</v>
      </c>
      <c r="E65" s="59" t="str">
        <f t="shared" si="56"/>
        <v>2.6.1</v>
      </c>
      <c r="F65" s="23" t="s">
        <v>31</v>
      </c>
      <c r="G65" s="191" t="s">
        <v>145</v>
      </c>
      <c r="H65" s="52" t="s">
        <v>117</v>
      </c>
      <c r="I65" s="52" t="s">
        <v>158</v>
      </c>
      <c r="J65" s="52">
        <v>40</v>
      </c>
      <c r="K65" s="52">
        <v>0</v>
      </c>
      <c r="L65" s="52">
        <f t="shared" si="52"/>
        <v>40</v>
      </c>
      <c r="M65" s="52">
        <v>5</v>
      </c>
      <c r="N65" s="52">
        <v>12</v>
      </c>
      <c r="O65" s="51">
        <f>+N65*M65</f>
        <v>60</v>
      </c>
      <c r="P65" s="51">
        <f>+SUM(AA65:NZ65)</f>
        <v>60</v>
      </c>
      <c r="Q65" s="51">
        <f>+O65-P65</f>
        <v>0</v>
      </c>
      <c r="R65" s="19">
        <v>46069</v>
      </c>
      <c r="S65" s="20">
        <v>10</v>
      </c>
      <c r="T65" s="21">
        <f t="shared" si="30"/>
        <v>46080</v>
      </c>
      <c r="U65" s="22">
        <f>+K65/J65</f>
        <v>0</v>
      </c>
      <c r="V65" s="199">
        <f t="shared" si="31"/>
        <v>0</v>
      </c>
      <c r="W65" s="158">
        <f t="shared" si="53"/>
        <v>0</v>
      </c>
      <c r="X65" s="159">
        <f t="shared" si="54"/>
        <v>0</v>
      </c>
      <c r="Y65" s="199">
        <f t="shared" si="32"/>
        <v>0</v>
      </c>
      <c r="Z65" s="36"/>
      <c r="AA65" s="15"/>
      <c r="AB65" s="15"/>
      <c r="AC65" s="15"/>
      <c r="AD65" s="15"/>
      <c r="AE65" s="15"/>
      <c r="AF65" s="15"/>
      <c r="AG65" s="184"/>
      <c r="AH65" s="15"/>
      <c r="AI65" s="15"/>
      <c r="AJ65" s="15"/>
      <c r="AK65" s="15"/>
      <c r="AL65" s="15"/>
      <c r="AM65" s="15"/>
      <c r="AN65" s="184"/>
      <c r="AO65" s="15"/>
      <c r="AP65" s="15"/>
      <c r="AQ65" s="15"/>
      <c r="AR65" s="15"/>
      <c r="AS65" s="15"/>
      <c r="AT65" s="15"/>
      <c r="AU65" s="184"/>
      <c r="AV65" s="15"/>
      <c r="AW65" s="15"/>
      <c r="AX65" s="15"/>
      <c r="AY65" s="15"/>
      <c r="AZ65" s="15"/>
      <c r="BA65" s="15"/>
      <c r="BB65" s="184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84"/>
      <c r="CE65" s="15"/>
      <c r="CF65" s="15"/>
      <c r="CG65" s="15"/>
      <c r="CH65" s="15"/>
      <c r="CI65" s="15"/>
      <c r="CJ65" s="15"/>
      <c r="CK65" s="184"/>
      <c r="CL65" s="15"/>
      <c r="CM65" s="15"/>
      <c r="CN65" s="15"/>
      <c r="CO65" s="15"/>
      <c r="CP65" s="15"/>
      <c r="CQ65" s="15"/>
      <c r="CR65" s="184"/>
      <c r="CS65" s="15"/>
      <c r="CT65" s="15"/>
      <c r="CU65" s="15"/>
      <c r="CV65" s="15"/>
      <c r="CW65" s="15"/>
      <c r="CX65" s="15"/>
      <c r="CY65" s="184"/>
      <c r="CZ65" s="15"/>
      <c r="DA65" s="15"/>
      <c r="DB65" s="15"/>
      <c r="DC65" s="15"/>
      <c r="DD65" s="15"/>
      <c r="DE65" s="15"/>
      <c r="DF65" s="184"/>
      <c r="DG65" s="15">
        <v>5</v>
      </c>
      <c r="DH65" s="15">
        <v>5</v>
      </c>
      <c r="DI65" s="15">
        <v>5</v>
      </c>
      <c r="DJ65" s="15">
        <v>5</v>
      </c>
      <c r="DK65" s="15">
        <v>5</v>
      </c>
      <c r="DL65" s="15">
        <v>5</v>
      </c>
      <c r="DM65" s="184"/>
      <c r="DN65" s="15">
        <v>5</v>
      </c>
      <c r="DO65" s="15">
        <v>5</v>
      </c>
      <c r="DP65" s="15">
        <v>5</v>
      </c>
      <c r="DQ65" s="15">
        <v>5</v>
      </c>
      <c r="DR65" s="15">
        <v>5</v>
      </c>
      <c r="DS65" s="15">
        <v>5</v>
      </c>
      <c r="DT65" s="184"/>
      <c r="DU65" s="15"/>
      <c r="DV65" s="15"/>
      <c r="DW65" s="15"/>
      <c r="DX65" s="15"/>
      <c r="DY65" s="15"/>
      <c r="DZ65" s="15"/>
      <c r="EA65" s="184"/>
      <c r="EB65" s="15"/>
      <c r="EC65" s="15"/>
      <c r="ED65" s="15"/>
      <c r="EE65" s="15"/>
      <c r="EF65" s="15"/>
      <c r="EG65" s="15"/>
      <c r="EH65" s="184"/>
      <c r="EI65" s="15"/>
      <c r="EJ65" s="15"/>
      <c r="EK65" s="15"/>
      <c r="EL65" s="15"/>
      <c r="EM65" s="15"/>
      <c r="EN65" s="15"/>
      <c r="EO65" s="184"/>
      <c r="EP65" s="15"/>
      <c r="EQ65" s="15"/>
      <c r="ER65" s="15"/>
      <c r="ES65" s="15"/>
      <c r="ET65" s="15"/>
      <c r="EU65" s="15"/>
      <c r="EV65" s="184"/>
      <c r="EW65" s="15"/>
      <c r="EX65" s="15"/>
      <c r="EY65" s="15"/>
      <c r="EZ65" s="15"/>
      <c r="FA65" s="15"/>
      <c r="FB65" s="15"/>
      <c r="FC65" s="184"/>
      <c r="FD65" s="15"/>
      <c r="FE65" s="15"/>
      <c r="FF65" s="15"/>
      <c r="FG65" s="15"/>
      <c r="FH65" s="15"/>
      <c r="FI65" s="15"/>
      <c r="FJ65" s="184"/>
      <c r="FK65" s="15"/>
      <c r="FL65" s="15"/>
      <c r="FM65" s="15"/>
      <c r="FN65" s="15"/>
      <c r="FO65" s="15"/>
      <c r="FP65" s="15"/>
      <c r="FQ65" s="184"/>
      <c r="FR65" s="15"/>
      <c r="FS65" s="15"/>
      <c r="FT65" s="15"/>
      <c r="FU65" s="15"/>
      <c r="FV65" s="15"/>
      <c r="FW65" s="178"/>
      <c r="FX65" s="184"/>
      <c r="FY65" s="181"/>
      <c r="FZ65" s="15"/>
      <c r="GA65" s="15"/>
      <c r="GB65" s="15"/>
      <c r="GC65" s="15"/>
      <c r="GD65" s="15"/>
      <c r="GE65" s="184"/>
      <c r="GF65" s="15"/>
      <c r="GG65" s="15"/>
      <c r="GH65" s="15"/>
      <c r="GI65" s="15"/>
      <c r="GJ65" s="15"/>
      <c r="GK65" s="15"/>
      <c r="GL65" s="184"/>
      <c r="GM65" s="15"/>
      <c r="GN65" s="15"/>
      <c r="GO65" s="15"/>
      <c r="GP65" s="15"/>
      <c r="GQ65" s="15"/>
      <c r="GR65" s="15"/>
      <c r="GS65" s="184"/>
      <c r="GT65" s="15"/>
      <c r="GU65" s="15"/>
      <c r="GV65" s="15"/>
      <c r="GW65" s="15"/>
      <c r="GX65" s="15"/>
      <c r="GY65" s="15"/>
      <c r="GZ65" s="184"/>
      <c r="HA65" s="15"/>
      <c r="HB65" s="15"/>
      <c r="HC65" s="15"/>
      <c r="HD65" s="15"/>
      <c r="HE65" s="15"/>
      <c r="HF65" s="15"/>
      <c r="HG65" s="184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  <c r="MG65" s="15"/>
      <c r="MH65" s="15"/>
      <c r="MI65" s="15"/>
      <c r="MJ65" s="15"/>
      <c r="MK65" s="15"/>
      <c r="ML65" s="15"/>
      <c r="MM65" s="15"/>
      <c r="MN65" s="15"/>
      <c r="MO65" s="15"/>
      <c r="MP65" s="15"/>
      <c r="MQ65" s="15"/>
      <c r="MR65" s="15"/>
      <c r="MS65" s="15"/>
      <c r="MT65" s="15"/>
      <c r="MU65" s="15"/>
      <c r="MV65" s="15"/>
      <c r="MW65" s="15"/>
      <c r="MX65" s="15"/>
      <c r="MY65" s="15"/>
      <c r="MZ65" s="15"/>
      <c r="NA65" s="15"/>
      <c r="NB65" s="15"/>
      <c r="NC65" s="15"/>
      <c r="ND65" s="15"/>
      <c r="NE65" s="15"/>
      <c r="NF65" s="15"/>
      <c r="NG65" s="15"/>
      <c r="NH65" s="15"/>
      <c r="NI65" s="15"/>
      <c r="NJ65" s="15"/>
      <c r="NK65" s="15"/>
      <c r="NL65" s="15"/>
      <c r="NM65" s="15"/>
      <c r="NN65" s="15"/>
      <c r="NO65" s="15"/>
      <c r="NP65" s="15"/>
      <c r="NQ65" s="15"/>
      <c r="NR65" s="15"/>
      <c r="NS65" s="15"/>
      <c r="NT65" s="15"/>
      <c r="NU65" s="15"/>
      <c r="NV65" s="15"/>
      <c r="NW65" s="15"/>
      <c r="NX65" s="15"/>
      <c r="NY65" s="15"/>
      <c r="NZ65" s="15"/>
    </row>
    <row r="66" spans="2:390" ht="19.5" customHeight="1" x14ac:dyDescent="0.45">
      <c r="B66" s="1">
        <f t="shared" si="55"/>
        <v>2</v>
      </c>
      <c r="C66" s="1">
        <f>+C65</f>
        <v>6</v>
      </c>
      <c r="D66" s="1">
        <f>+D65+1</f>
        <v>2</v>
      </c>
      <c r="E66" s="59" t="str">
        <f t="shared" si="56"/>
        <v>2.6.2</v>
      </c>
      <c r="F66" s="23" t="s">
        <v>83</v>
      </c>
      <c r="G66" s="191" t="s">
        <v>145</v>
      </c>
      <c r="H66" s="52" t="s">
        <v>117</v>
      </c>
      <c r="I66" s="52" t="s">
        <v>158</v>
      </c>
      <c r="J66" s="52">
        <v>105</v>
      </c>
      <c r="K66" s="52">
        <v>0</v>
      </c>
      <c r="L66" s="52">
        <f t="shared" si="52"/>
        <v>105</v>
      </c>
      <c r="M66" s="52">
        <v>4</v>
      </c>
      <c r="N66" s="52">
        <v>12</v>
      </c>
      <c r="O66" s="51">
        <f>+N66*M66</f>
        <v>48</v>
      </c>
      <c r="P66" s="51">
        <f>+SUM(AA66:NZ66)</f>
        <v>48</v>
      </c>
      <c r="Q66" s="51">
        <f>+O66-P66</f>
        <v>0</v>
      </c>
      <c r="R66" s="19">
        <v>46083</v>
      </c>
      <c r="S66" s="20">
        <v>10</v>
      </c>
      <c r="T66" s="21">
        <f t="shared" si="30"/>
        <v>46094</v>
      </c>
      <c r="U66" s="22">
        <f>+K66/J66</f>
        <v>0</v>
      </c>
      <c r="V66" s="199">
        <f t="shared" si="31"/>
        <v>0</v>
      </c>
      <c r="W66" s="158">
        <f t="shared" si="53"/>
        <v>0</v>
      </c>
      <c r="X66" s="159">
        <f t="shared" si="54"/>
        <v>0</v>
      </c>
      <c r="Y66" s="199">
        <f t="shared" si="32"/>
        <v>0</v>
      </c>
      <c r="Z66" s="36"/>
      <c r="AA66" s="15"/>
      <c r="AB66" s="15"/>
      <c r="AC66" s="15"/>
      <c r="AD66" s="15"/>
      <c r="AE66" s="15"/>
      <c r="AF66" s="15"/>
      <c r="AG66" s="184"/>
      <c r="AH66" s="15"/>
      <c r="AI66" s="15"/>
      <c r="AJ66" s="15"/>
      <c r="AK66" s="15"/>
      <c r="AL66" s="15"/>
      <c r="AM66" s="15"/>
      <c r="AN66" s="184"/>
      <c r="AO66" s="15"/>
      <c r="AP66" s="15"/>
      <c r="AQ66" s="15"/>
      <c r="AR66" s="15"/>
      <c r="AS66" s="15"/>
      <c r="AT66" s="15"/>
      <c r="AU66" s="184"/>
      <c r="AV66" s="15"/>
      <c r="AW66" s="15"/>
      <c r="AX66" s="15"/>
      <c r="AY66" s="15"/>
      <c r="AZ66" s="15"/>
      <c r="BA66" s="15"/>
      <c r="BB66" s="184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84"/>
      <c r="CE66" s="15"/>
      <c r="CF66" s="15"/>
      <c r="CG66" s="15"/>
      <c r="CH66" s="15"/>
      <c r="CI66" s="15"/>
      <c r="CJ66" s="15"/>
      <c r="CK66" s="184"/>
      <c r="CL66" s="15"/>
      <c r="CM66" s="15"/>
      <c r="CN66" s="15"/>
      <c r="CO66" s="15"/>
      <c r="CP66" s="15"/>
      <c r="CQ66" s="15"/>
      <c r="CR66" s="184"/>
      <c r="CS66" s="15"/>
      <c r="CT66" s="15"/>
      <c r="CU66" s="15"/>
      <c r="CV66" s="15"/>
      <c r="CW66" s="15"/>
      <c r="CX66" s="15"/>
      <c r="CY66" s="184"/>
      <c r="CZ66" s="15"/>
      <c r="DA66" s="15"/>
      <c r="DB66" s="15"/>
      <c r="DC66" s="15"/>
      <c r="DD66" s="15"/>
      <c r="DE66" s="15"/>
      <c r="DF66" s="184"/>
      <c r="DG66" s="15"/>
      <c r="DH66" s="15"/>
      <c r="DI66" s="15"/>
      <c r="DJ66" s="15"/>
      <c r="DK66" s="15"/>
      <c r="DL66" s="15"/>
      <c r="DM66" s="184"/>
      <c r="DN66" s="15"/>
      <c r="DO66" s="15"/>
      <c r="DP66" s="15"/>
      <c r="DQ66" s="15"/>
      <c r="DR66" s="15"/>
      <c r="DS66" s="15"/>
      <c r="DT66" s="184"/>
      <c r="DU66" s="15">
        <v>4</v>
      </c>
      <c r="DV66" s="15">
        <v>4</v>
      </c>
      <c r="DW66" s="15">
        <v>4</v>
      </c>
      <c r="DX66" s="15">
        <v>4</v>
      </c>
      <c r="DY66" s="15">
        <v>4</v>
      </c>
      <c r="DZ66" s="15">
        <v>4</v>
      </c>
      <c r="EA66" s="184"/>
      <c r="EB66" s="15">
        <v>4</v>
      </c>
      <c r="EC66" s="15">
        <v>4</v>
      </c>
      <c r="ED66" s="15">
        <v>4</v>
      </c>
      <c r="EE66" s="15">
        <v>4</v>
      </c>
      <c r="EF66" s="15">
        <v>4</v>
      </c>
      <c r="EG66" s="15">
        <v>4</v>
      </c>
      <c r="EH66" s="184"/>
      <c r="EI66" s="15"/>
      <c r="EJ66" s="15"/>
      <c r="EK66" s="15"/>
      <c r="EL66" s="15"/>
      <c r="EM66" s="15"/>
      <c r="EN66" s="15"/>
      <c r="EO66" s="184"/>
      <c r="EP66" s="15"/>
      <c r="EQ66" s="15"/>
      <c r="ER66" s="15"/>
      <c r="ES66" s="15"/>
      <c r="ET66" s="15"/>
      <c r="EU66" s="15"/>
      <c r="EV66" s="184"/>
      <c r="EW66" s="15"/>
      <c r="EX66" s="15"/>
      <c r="EY66" s="15"/>
      <c r="EZ66" s="15"/>
      <c r="FA66" s="15"/>
      <c r="FB66" s="15"/>
      <c r="FC66" s="184"/>
      <c r="FD66" s="15"/>
      <c r="FE66" s="15"/>
      <c r="FF66" s="15"/>
      <c r="FG66" s="15"/>
      <c r="FH66" s="15"/>
      <c r="FI66" s="15"/>
      <c r="FJ66" s="184"/>
      <c r="FK66" s="15"/>
      <c r="FL66" s="15"/>
      <c r="FM66" s="15"/>
      <c r="FN66" s="15"/>
      <c r="FO66" s="15"/>
      <c r="FP66" s="15"/>
      <c r="FQ66" s="184"/>
      <c r="FR66" s="15"/>
      <c r="FS66" s="15"/>
      <c r="FT66" s="15"/>
      <c r="FU66" s="15"/>
      <c r="FV66" s="15"/>
      <c r="FW66" s="178"/>
      <c r="FX66" s="184"/>
      <c r="FY66" s="181"/>
      <c r="FZ66" s="15"/>
      <c r="GA66" s="15"/>
      <c r="GB66" s="15"/>
      <c r="GC66" s="15"/>
      <c r="GD66" s="15"/>
      <c r="GE66" s="184"/>
      <c r="GF66" s="15"/>
      <c r="GG66" s="15"/>
      <c r="GH66" s="15"/>
      <c r="GI66" s="15"/>
      <c r="GJ66" s="15"/>
      <c r="GK66" s="15"/>
      <c r="GL66" s="184"/>
      <c r="GM66" s="15"/>
      <c r="GN66" s="15"/>
      <c r="GO66" s="15"/>
      <c r="GP66" s="15"/>
      <c r="GQ66" s="15"/>
      <c r="GR66" s="15"/>
      <c r="GS66" s="184"/>
      <c r="GT66" s="15"/>
      <c r="GU66" s="15"/>
      <c r="GV66" s="15"/>
      <c r="GW66" s="15"/>
      <c r="GX66" s="15"/>
      <c r="GY66" s="15"/>
      <c r="GZ66" s="184"/>
      <c r="HA66" s="15"/>
      <c r="HB66" s="15"/>
      <c r="HC66" s="15"/>
      <c r="HD66" s="15"/>
      <c r="HE66" s="15"/>
      <c r="HF66" s="15"/>
      <c r="HG66" s="184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/>
      <c r="LI66" s="15"/>
      <c r="LJ66" s="15"/>
      <c r="LK66" s="15"/>
      <c r="LL66" s="15"/>
      <c r="LM66" s="15"/>
      <c r="LN66" s="15"/>
      <c r="LO66" s="15"/>
      <c r="LP66" s="15"/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  <c r="MG66" s="15"/>
      <c r="MH66" s="15"/>
      <c r="MI66" s="15"/>
      <c r="MJ66" s="15"/>
      <c r="MK66" s="15"/>
      <c r="ML66" s="15"/>
      <c r="MM66" s="15"/>
      <c r="MN66" s="15"/>
      <c r="MO66" s="15"/>
      <c r="MP66" s="15"/>
      <c r="MQ66" s="15"/>
      <c r="MR66" s="15"/>
      <c r="MS66" s="15"/>
      <c r="MT66" s="15"/>
      <c r="MU66" s="15"/>
      <c r="MV66" s="15"/>
      <c r="MW66" s="15"/>
      <c r="MX66" s="15"/>
      <c r="MY66" s="15"/>
      <c r="MZ66" s="15"/>
      <c r="NA66" s="15"/>
      <c r="NB66" s="15"/>
      <c r="NC66" s="15"/>
      <c r="ND66" s="15"/>
      <c r="NE66" s="15"/>
      <c r="NF66" s="15"/>
      <c r="NG66" s="15"/>
      <c r="NH66" s="15"/>
      <c r="NI66" s="15"/>
      <c r="NJ66" s="15"/>
      <c r="NK66" s="15"/>
      <c r="NL66" s="15"/>
      <c r="NM66" s="15"/>
      <c r="NN66" s="15"/>
      <c r="NO66" s="15"/>
      <c r="NP66" s="15"/>
      <c r="NQ66" s="15"/>
      <c r="NR66" s="15"/>
      <c r="NS66" s="15"/>
      <c r="NT66" s="15"/>
      <c r="NU66" s="15"/>
      <c r="NV66" s="15"/>
      <c r="NW66" s="15"/>
      <c r="NX66" s="15"/>
      <c r="NY66" s="15"/>
      <c r="NZ66" s="15"/>
    </row>
    <row r="67" spans="2:390" ht="19.5" customHeight="1" x14ac:dyDescent="0.45">
      <c r="B67" s="1">
        <f t="shared" si="55"/>
        <v>2</v>
      </c>
      <c r="C67" s="1">
        <f>+C66</f>
        <v>6</v>
      </c>
      <c r="D67" s="1">
        <f>+D66+1</f>
        <v>3</v>
      </c>
      <c r="E67" s="59" t="str">
        <f t="shared" si="56"/>
        <v>2.6.3</v>
      </c>
      <c r="F67" s="23" t="s">
        <v>63</v>
      </c>
      <c r="G67" s="191" t="s">
        <v>145</v>
      </c>
      <c r="H67" s="52" t="s">
        <v>117</v>
      </c>
      <c r="I67" s="52" t="s">
        <v>158</v>
      </c>
      <c r="J67" s="52">
        <v>143</v>
      </c>
      <c r="K67" s="52">
        <v>0</v>
      </c>
      <c r="L67" s="52">
        <f t="shared" si="52"/>
        <v>143</v>
      </c>
      <c r="M67" s="52">
        <v>4</v>
      </c>
      <c r="N67" s="52">
        <v>6</v>
      </c>
      <c r="O67" s="51">
        <f>+N67*M67</f>
        <v>24</v>
      </c>
      <c r="P67" s="51">
        <f>+SUM(AA67:NZ67)</f>
        <v>24</v>
      </c>
      <c r="Q67" s="51">
        <f>+O67-P67</f>
        <v>0</v>
      </c>
      <c r="R67" s="19">
        <f>+R66+7</f>
        <v>46090</v>
      </c>
      <c r="S67" s="20">
        <v>5</v>
      </c>
      <c r="T67" s="21">
        <f t="shared" si="30"/>
        <v>46094</v>
      </c>
      <c r="U67" s="22">
        <f>+K67/J67</f>
        <v>0</v>
      </c>
      <c r="V67" s="199">
        <f t="shared" si="31"/>
        <v>0</v>
      </c>
      <c r="W67" s="158">
        <f t="shared" si="53"/>
        <v>0</v>
      </c>
      <c r="X67" s="159">
        <f t="shared" si="54"/>
        <v>0</v>
      </c>
      <c r="Y67" s="199">
        <f t="shared" si="32"/>
        <v>0</v>
      </c>
      <c r="Z67" s="36"/>
      <c r="AA67" s="15"/>
      <c r="AB67" s="15"/>
      <c r="AC67" s="15"/>
      <c r="AD67" s="15"/>
      <c r="AE67" s="15"/>
      <c r="AF67" s="15"/>
      <c r="AG67" s="184"/>
      <c r="AH67" s="15"/>
      <c r="AI67" s="15"/>
      <c r="AJ67" s="15"/>
      <c r="AK67" s="15"/>
      <c r="AL67" s="15"/>
      <c r="AM67" s="15"/>
      <c r="AN67" s="184"/>
      <c r="AO67" s="15"/>
      <c r="AP67" s="15"/>
      <c r="AQ67" s="15"/>
      <c r="AR67" s="15"/>
      <c r="AS67" s="15"/>
      <c r="AT67" s="15"/>
      <c r="AU67" s="184"/>
      <c r="AV67" s="15"/>
      <c r="AW67" s="15"/>
      <c r="AX67" s="15"/>
      <c r="AY67" s="15"/>
      <c r="AZ67" s="15"/>
      <c r="BA67" s="15"/>
      <c r="BB67" s="184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84"/>
      <c r="CE67" s="15"/>
      <c r="CF67" s="15"/>
      <c r="CG67" s="15"/>
      <c r="CH67" s="15"/>
      <c r="CI67" s="15"/>
      <c r="CJ67" s="15"/>
      <c r="CK67" s="184"/>
      <c r="CL67" s="15"/>
      <c r="CM67" s="15"/>
      <c r="CN67" s="15"/>
      <c r="CO67" s="15"/>
      <c r="CP67" s="15"/>
      <c r="CQ67" s="15"/>
      <c r="CR67" s="184"/>
      <c r="CS67" s="15"/>
      <c r="CT67" s="15"/>
      <c r="CU67" s="15"/>
      <c r="CV67" s="15"/>
      <c r="CW67" s="15"/>
      <c r="CX67" s="15"/>
      <c r="CY67" s="184"/>
      <c r="CZ67" s="15"/>
      <c r="DA67" s="15"/>
      <c r="DB67" s="15"/>
      <c r="DC67" s="15"/>
      <c r="DD67" s="15"/>
      <c r="DE67" s="15"/>
      <c r="DF67" s="184"/>
      <c r="DG67" s="15"/>
      <c r="DH67" s="15"/>
      <c r="DI67" s="15"/>
      <c r="DJ67" s="15"/>
      <c r="DK67" s="15"/>
      <c r="DL67" s="15"/>
      <c r="DM67" s="184"/>
      <c r="DN67" s="15"/>
      <c r="DO67" s="15"/>
      <c r="DP67" s="15"/>
      <c r="DQ67" s="15"/>
      <c r="DR67" s="15"/>
      <c r="DS67" s="15"/>
      <c r="DT67" s="184"/>
      <c r="DU67" s="15"/>
      <c r="DV67" s="15"/>
      <c r="DW67" s="15"/>
      <c r="DX67" s="15"/>
      <c r="DY67" s="15"/>
      <c r="DZ67" s="15"/>
      <c r="EA67" s="184"/>
      <c r="EB67" s="15">
        <v>4</v>
      </c>
      <c r="EC67" s="15">
        <v>4</v>
      </c>
      <c r="ED67" s="15">
        <v>4</v>
      </c>
      <c r="EE67" s="15">
        <v>4</v>
      </c>
      <c r="EF67" s="15">
        <v>4</v>
      </c>
      <c r="EG67" s="15">
        <v>4</v>
      </c>
      <c r="EH67" s="184"/>
      <c r="EI67" s="15"/>
      <c r="EJ67" s="15"/>
      <c r="EK67" s="15"/>
      <c r="EL67" s="15"/>
      <c r="EM67" s="15"/>
      <c r="EN67" s="15"/>
      <c r="EO67" s="184"/>
      <c r="EP67" s="15"/>
      <c r="EQ67" s="15"/>
      <c r="ER67" s="15"/>
      <c r="ES67" s="15"/>
      <c r="ET67" s="15"/>
      <c r="EU67" s="15"/>
      <c r="EV67" s="184"/>
      <c r="EW67" s="15"/>
      <c r="EX67" s="15"/>
      <c r="EY67" s="15"/>
      <c r="EZ67" s="15"/>
      <c r="FA67" s="15"/>
      <c r="FB67" s="15"/>
      <c r="FC67" s="184"/>
      <c r="FD67" s="15"/>
      <c r="FE67" s="15"/>
      <c r="FF67" s="15"/>
      <c r="FG67" s="15"/>
      <c r="FH67" s="15"/>
      <c r="FI67" s="15"/>
      <c r="FJ67" s="184"/>
      <c r="FK67" s="15"/>
      <c r="FL67" s="15"/>
      <c r="FM67" s="15"/>
      <c r="FN67" s="15"/>
      <c r="FO67" s="15"/>
      <c r="FP67" s="15"/>
      <c r="FQ67" s="184"/>
      <c r="FR67" s="15"/>
      <c r="FS67" s="15"/>
      <c r="FT67" s="15"/>
      <c r="FU67" s="15"/>
      <c r="FV67" s="15"/>
      <c r="FW67" s="178"/>
      <c r="FX67" s="184"/>
      <c r="FY67" s="181"/>
      <c r="FZ67" s="15"/>
      <c r="GA67" s="15"/>
      <c r="GB67" s="15"/>
      <c r="GC67" s="15"/>
      <c r="GD67" s="15"/>
      <c r="GE67" s="184"/>
      <c r="GF67" s="15"/>
      <c r="GG67" s="15"/>
      <c r="GH67" s="15"/>
      <c r="GI67" s="15"/>
      <c r="GJ67" s="15"/>
      <c r="GK67" s="15"/>
      <c r="GL67" s="184"/>
      <c r="GM67" s="15"/>
      <c r="GN67" s="15"/>
      <c r="GO67" s="15"/>
      <c r="GP67" s="15"/>
      <c r="GQ67" s="15"/>
      <c r="GR67" s="15"/>
      <c r="GS67" s="184"/>
      <c r="GT67" s="15"/>
      <c r="GU67" s="15"/>
      <c r="GV67" s="15"/>
      <c r="GW67" s="15"/>
      <c r="GX67" s="15"/>
      <c r="GY67" s="15"/>
      <c r="GZ67" s="184"/>
      <c r="HA67" s="15"/>
      <c r="HB67" s="15"/>
      <c r="HC67" s="15"/>
      <c r="HD67" s="15"/>
      <c r="HE67" s="15"/>
      <c r="HF67" s="15"/>
      <c r="HG67" s="184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/>
      <c r="LI67" s="15"/>
      <c r="LJ67" s="15"/>
      <c r="LK67" s="15"/>
      <c r="LL67" s="15"/>
      <c r="LM67" s="15"/>
      <c r="LN67" s="15"/>
      <c r="LO67" s="15"/>
      <c r="LP67" s="15"/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  <c r="MG67" s="15"/>
      <c r="MH67" s="15"/>
      <c r="MI67" s="15"/>
      <c r="MJ67" s="15"/>
      <c r="MK67" s="15"/>
      <c r="ML67" s="15"/>
      <c r="MM67" s="15"/>
      <c r="MN67" s="15"/>
      <c r="MO67" s="15"/>
      <c r="MP67" s="15"/>
      <c r="MQ67" s="15"/>
      <c r="MR67" s="15"/>
      <c r="MS67" s="15"/>
      <c r="MT67" s="15"/>
      <c r="MU67" s="15"/>
      <c r="MV67" s="15"/>
      <c r="MW67" s="15"/>
      <c r="MX67" s="15"/>
      <c r="MY67" s="15"/>
      <c r="MZ67" s="15"/>
      <c r="NA67" s="15"/>
      <c r="NB67" s="15"/>
      <c r="NC67" s="15"/>
      <c r="ND67" s="15"/>
      <c r="NE67" s="15"/>
      <c r="NF67" s="15"/>
      <c r="NG67" s="15"/>
      <c r="NH67" s="15"/>
      <c r="NI67" s="15"/>
      <c r="NJ67" s="15"/>
      <c r="NK67" s="15"/>
      <c r="NL67" s="15"/>
      <c r="NM67" s="15"/>
      <c r="NN67" s="15"/>
      <c r="NO67" s="15"/>
      <c r="NP67" s="15"/>
      <c r="NQ67" s="15"/>
      <c r="NR67" s="15"/>
      <c r="NS67" s="15"/>
      <c r="NT67" s="15"/>
      <c r="NU67" s="15"/>
      <c r="NV67" s="15"/>
      <c r="NW67" s="15"/>
      <c r="NX67" s="15"/>
      <c r="NY67" s="15"/>
      <c r="NZ67" s="15"/>
    </row>
    <row r="68" spans="2:390" ht="19.5" customHeight="1" x14ac:dyDescent="0.45">
      <c r="B68" s="1">
        <f t="shared" si="55"/>
        <v>2</v>
      </c>
      <c r="C68" s="1">
        <f>+C67+1</f>
        <v>7</v>
      </c>
      <c r="D68" s="1">
        <v>0</v>
      </c>
      <c r="E68" s="93" t="str">
        <f t="shared" si="56"/>
        <v>2.7.0</v>
      </c>
      <c r="F68" s="94" t="s">
        <v>32</v>
      </c>
      <c r="G68" s="94"/>
      <c r="H68" s="97" t="s">
        <v>117</v>
      </c>
      <c r="I68" s="97" t="s">
        <v>158</v>
      </c>
      <c r="J68" s="97">
        <v>1</v>
      </c>
      <c r="K68" s="97">
        <v>0</v>
      </c>
      <c r="L68" s="97">
        <f>+J68-K68</f>
        <v>1</v>
      </c>
      <c r="M68" s="97">
        <v>2</v>
      </c>
      <c r="N68" s="97">
        <v>3</v>
      </c>
      <c r="O68" s="95">
        <f>+N68*M68</f>
        <v>6</v>
      </c>
      <c r="P68" s="95"/>
      <c r="Q68" s="95"/>
      <c r="R68" s="153"/>
      <c r="S68" s="154"/>
      <c r="T68" s="155" t="str">
        <f t="shared" si="30"/>
        <v/>
      </c>
      <c r="U68" s="164">
        <f>+K68/J68</f>
        <v>0</v>
      </c>
      <c r="V68" s="200">
        <f t="shared" si="31"/>
        <v>0</v>
      </c>
      <c r="W68" s="158">
        <f t="shared" si="53"/>
        <v>0</v>
      </c>
      <c r="X68" s="159">
        <f t="shared" si="54"/>
        <v>0</v>
      </c>
      <c r="Y68" s="199">
        <f t="shared" si="32"/>
        <v>0</v>
      </c>
      <c r="Z68" s="36"/>
      <c r="AA68" s="15"/>
      <c r="AB68" s="15"/>
      <c r="AC68" s="15"/>
      <c r="AD68" s="15"/>
      <c r="AE68" s="15"/>
      <c r="AF68" s="15"/>
      <c r="AG68" s="184"/>
      <c r="AH68" s="15"/>
      <c r="AI68" s="15"/>
      <c r="AJ68" s="15"/>
      <c r="AK68" s="15"/>
      <c r="AL68" s="15"/>
      <c r="AM68" s="15"/>
      <c r="AN68" s="184"/>
      <c r="AO68" s="15"/>
      <c r="AP68" s="15"/>
      <c r="AQ68" s="15"/>
      <c r="AR68" s="15"/>
      <c r="AS68" s="15"/>
      <c r="AT68" s="15"/>
      <c r="AU68" s="184"/>
      <c r="AV68" s="15"/>
      <c r="AW68" s="15"/>
      <c r="AX68" s="15"/>
      <c r="AY68" s="15"/>
      <c r="AZ68" s="15"/>
      <c r="BA68" s="15"/>
      <c r="BB68" s="184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84"/>
      <c r="CE68" s="15"/>
      <c r="CF68" s="15"/>
      <c r="CG68" s="15"/>
      <c r="CH68" s="15"/>
      <c r="CI68" s="15"/>
      <c r="CJ68" s="15"/>
      <c r="CK68" s="184"/>
      <c r="CL68" s="15"/>
      <c r="CM68" s="15"/>
      <c r="CN68" s="15"/>
      <c r="CO68" s="15"/>
      <c r="CP68" s="15"/>
      <c r="CQ68" s="15"/>
      <c r="CR68" s="184"/>
      <c r="CS68" s="15"/>
      <c r="CT68" s="15"/>
      <c r="CU68" s="15"/>
      <c r="CV68" s="15"/>
      <c r="CW68" s="15"/>
      <c r="CX68" s="15"/>
      <c r="CY68" s="184"/>
      <c r="CZ68" s="15"/>
      <c r="DA68" s="15"/>
      <c r="DB68" s="15"/>
      <c r="DC68" s="15"/>
      <c r="DD68" s="15"/>
      <c r="DE68" s="15"/>
      <c r="DF68" s="184"/>
      <c r="DG68" s="15"/>
      <c r="DH68" s="15"/>
      <c r="DI68" s="15"/>
      <c r="DJ68" s="15"/>
      <c r="DK68" s="15"/>
      <c r="DL68" s="15"/>
      <c r="DM68" s="184"/>
      <c r="DN68" s="15"/>
      <c r="DO68" s="15"/>
      <c r="DP68" s="15"/>
      <c r="DQ68" s="15"/>
      <c r="DR68" s="15"/>
      <c r="DS68" s="15"/>
      <c r="DT68" s="184"/>
      <c r="DU68" s="15"/>
      <c r="DV68" s="15"/>
      <c r="DW68" s="15"/>
      <c r="DX68" s="15"/>
      <c r="DY68" s="15"/>
      <c r="DZ68" s="15"/>
      <c r="EA68" s="184"/>
      <c r="EB68" s="15"/>
      <c r="EC68" s="15"/>
      <c r="ED68" s="15"/>
      <c r="EE68" s="15"/>
      <c r="EF68" s="15"/>
      <c r="EG68" s="15"/>
      <c r="EH68" s="184"/>
      <c r="EI68" s="15"/>
      <c r="EJ68" s="15"/>
      <c r="EK68" s="15"/>
      <c r="EL68" s="15"/>
      <c r="EM68" s="15"/>
      <c r="EN68" s="15"/>
      <c r="EO68" s="184"/>
      <c r="EP68" s="15"/>
      <c r="EQ68" s="15"/>
      <c r="ER68" s="15"/>
      <c r="ES68" s="15"/>
      <c r="ET68" s="15"/>
      <c r="EU68" s="15"/>
      <c r="EV68" s="184"/>
      <c r="EW68" s="15"/>
      <c r="EX68" s="15"/>
      <c r="EY68" s="15"/>
      <c r="EZ68" s="15"/>
      <c r="FA68" s="15"/>
      <c r="FB68" s="15"/>
      <c r="FC68" s="184"/>
      <c r="FD68" s="15"/>
      <c r="FE68" s="15"/>
      <c r="FF68" s="15"/>
      <c r="FG68" s="15"/>
      <c r="FH68" s="15"/>
      <c r="FI68" s="15"/>
      <c r="FJ68" s="184"/>
      <c r="FK68" s="15"/>
      <c r="FL68" s="15"/>
      <c r="FM68" s="15"/>
      <c r="FN68" s="15"/>
      <c r="FO68" s="15"/>
      <c r="FP68" s="15"/>
      <c r="FQ68" s="184"/>
      <c r="FR68" s="15"/>
      <c r="FS68" s="15"/>
      <c r="FT68" s="15"/>
      <c r="FU68" s="15"/>
      <c r="FV68" s="15"/>
      <c r="FW68" s="178"/>
      <c r="FX68" s="184"/>
      <c r="FY68" s="181"/>
      <c r="FZ68" s="15"/>
      <c r="GA68" s="15"/>
      <c r="GB68" s="15"/>
      <c r="GC68" s="15"/>
      <c r="GD68" s="15"/>
      <c r="GE68" s="184"/>
      <c r="GF68" s="15"/>
      <c r="GG68" s="15"/>
      <c r="GH68" s="15"/>
      <c r="GI68" s="15"/>
      <c r="GJ68" s="15"/>
      <c r="GK68" s="15"/>
      <c r="GL68" s="184"/>
      <c r="GM68" s="15"/>
      <c r="GN68" s="15"/>
      <c r="GO68" s="15"/>
      <c r="GP68" s="15"/>
      <c r="GQ68" s="15"/>
      <c r="GR68" s="15"/>
      <c r="GS68" s="184"/>
      <c r="GT68" s="15"/>
      <c r="GU68" s="15"/>
      <c r="GV68" s="15"/>
      <c r="GW68" s="15"/>
      <c r="GX68" s="15"/>
      <c r="GY68" s="15"/>
      <c r="GZ68" s="184"/>
      <c r="HA68" s="15"/>
      <c r="HB68" s="15"/>
      <c r="HC68" s="15"/>
      <c r="HD68" s="15"/>
      <c r="HE68" s="15"/>
      <c r="HF68" s="15"/>
      <c r="HG68" s="184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/>
      <c r="LI68" s="15"/>
      <c r="LJ68" s="15"/>
      <c r="LK68" s="15"/>
      <c r="LL68" s="15"/>
      <c r="LM68" s="15"/>
      <c r="LN68" s="15"/>
      <c r="LO68" s="15"/>
      <c r="LP68" s="15"/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  <c r="MG68" s="15"/>
      <c r="MH68" s="15"/>
      <c r="MI68" s="15"/>
      <c r="MJ68" s="15"/>
      <c r="MK68" s="15"/>
      <c r="ML68" s="15"/>
      <c r="MM68" s="15"/>
      <c r="MN68" s="15"/>
      <c r="MO68" s="15"/>
      <c r="MP68" s="15"/>
      <c r="MQ68" s="15"/>
      <c r="MR68" s="15"/>
      <c r="MS68" s="15"/>
      <c r="MT68" s="15"/>
      <c r="MU68" s="15"/>
      <c r="MV68" s="15"/>
      <c r="MW68" s="15"/>
      <c r="MX68" s="15"/>
      <c r="MY68" s="15"/>
      <c r="MZ68" s="15"/>
      <c r="NA68" s="15"/>
      <c r="NB68" s="15"/>
      <c r="NC68" s="15"/>
      <c r="ND68" s="15"/>
      <c r="NE68" s="15"/>
      <c r="NF68" s="15"/>
      <c r="NG68" s="15"/>
      <c r="NH68" s="15"/>
      <c r="NI68" s="15"/>
      <c r="NJ68" s="15"/>
      <c r="NK68" s="15"/>
      <c r="NL68" s="15"/>
      <c r="NM68" s="15"/>
      <c r="NN68" s="15"/>
      <c r="NO68" s="15"/>
      <c r="NP68" s="15"/>
      <c r="NQ68" s="15"/>
      <c r="NR68" s="15"/>
      <c r="NS68" s="15"/>
      <c r="NT68" s="15"/>
      <c r="NU68" s="15"/>
      <c r="NV68" s="15"/>
      <c r="NW68" s="15"/>
      <c r="NX68" s="15"/>
      <c r="NY68" s="15"/>
      <c r="NZ68" s="15"/>
    </row>
    <row r="69" spans="2:390" ht="19.5" customHeight="1" x14ac:dyDescent="0.45">
      <c r="B69" s="1">
        <f t="shared" si="55"/>
        <v>2</v>
      </c>
      <c r="C69" s="1">
        <f>+C68+1</f>
        <v>8</v>
      </c>
      <c r="D69" s="1">
        <v>0</v>
      </c>
      <c r="E69" s="93" t="str">
        <f t="shared" si="56"/>
        <v>2.8.0</v>
      </c>
      <c r="F69" s="99" t="s">
        <v>92</v>
      </c>
      <c r="G69" s="99"/>
      <c r="H69" s="100"/>
      <c r="I69" s="100"/>
      <c r="J69" s="101"/>
      <c r="K69" s="101"/>
      <c r="L69" s="101"/>
      <c r="M69" s="99"/>
      <c r="N69" s="99"/>
      <c r="O69" s="95">
        <f>SUM(O71:O73)</f>
        <v>10</v>
      </c>
      <c r="P69" s="95"/>
      <c r="Q69" s="95"/>
      <c r="R69" s="168"/>
      <c r="S69" s="98"/>
      <c r="T69" s="163" t="str">
        <f t="shared" si="30"/>
        <v/>
      </c>
      <c r="U69" s="164">
        <f>+SUMPRODUCT(U70:U73,O70:O73)/O69</f>
        <v>0</v>
      </c>
      <c r="V69" s="200">
        <f t="shared" si="31"/>
        <v>0</v>
      </c>
      <c r="W69" s="158">
        <f t="shared" si="53"/>
        <v>0</v>
      </c>
      <c r="X69" s="159">
        <f t="shared" si="54"/>
        <v>0</v>
      </c>
      <c r="Y69" s="199">
        <f t="shared" si="32"/>
        <v>0</v>
      </c>
      <c r="Z69" s="36"/>
      <c r="AA69" s="15"/>
      <c r="AB69" s="15"/>
      <c r="AC69" s="15"/>
      <c r="AD69" s="15"/>
      <c r="AE69" s="15"/>
      <c r="AF69" s="15"/>
      <c r="AG69" s="184"/>
      <c r="AH69" s="15"/>
      <c r="AI69" s="15"/>
      <c r="AJ69" s="15"/>
      <c r="AK69" s="15"/>
      <c r="AL69" s="15"/>
      <c r="AM69" s="15"/>
      <c r="AN69" s="184"/>
      <c r="AO69" s="15"/>
      <c r="AP69" s="15"/>
      <c r="AQ69" s="15"/>
      <c r="AR69" s="15"/>
      <c r="AS69" s="15"/>
      <c r="AT69" s="15"/>
      <c r="AU69" s="184"/>
      <c r="AV69" s="15"/>
      <c r="AW69" s="15"/>
      <c r="AX69" s="15"/>
      <c r="AY69" s="15"/>
      <c r="AZ69" s="15"/>
      <c r="BA69" s="15"/>
      <c r="BB69" s="184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84"/>
      <c r="CE69" s="15"/>
      <c r="CF69" s="15"/>
      <c r="CG69" s="15"/>
      <c r="CH69" s="15"/>
      <c r="CI69" s="15"/>
      <c r="CJ69" s="15"/>
      <c r="CK69" s="184"/>
      <c r="CL69" s="15"/>
      <c r="CM69" s="15"/>
      <c r="CN69" s="15"/>
      <c r="CO69" s="15"/>
      <c r="CP69" s="15"/>
      <c r="CQ69" s="15"/>
      <c r="CR69" s="184"/>
      <c r="CS69" s="15"/>
      <c r="CT69" s="15"/>
      <c r="CU69" s="15"/>
      <c r="CV69" s="15"/>
      <c r="CW69" s="15"/>
      <c r="CX69" s="15"/>
      <c r="CY69" s="184"/>
      <c r="CZ69" s="15"/>
      <c r="DA69" s="15"/>
      <c r="DB69" s="15"/>
      <c r="DC69" s="15"/>
      <c r="DD69" s="15"/>
      <c r="DE69" s="15"/>
      <c r="DF69" s="184"/>
      <c r="DG69" s="15"/>
      <c r="DH69" s="15"/>
      <c r="DI69" s="15"/>
      <c r="DJ69" s="15"/>
      <c r="DK69" s="15"/>
      <c r="DL69" s="15"/>
      <c r="DM69" s="184"/>
      <c r="DN69" s="15"/>
      <c r="DO69" s="15"/>
      <c r="DP69" s="15"/>
      <c r="DQ69" s="15"/>
      <c r="DR69" s="15"/>
      <c r="DS69" s="15"/>
      <c r="DT69" s="184"/>
      <c r="DU69" s="15"/>
      <c r="DV69" s="15"/>
      <c r="DW69" s="15"/>
      <c r="DX69" s="15"/>
      <c r="DY69" s="15"/>
      <c r="DZ69" s="15"/>
      <c r="EA69" s="184"/>
      <c r="EB69" s="15"/>
      <c r="EC69" s="15"/>
      <c r="ED69" s="15"/>
      <c r="EE69" s="15"/>
      <c r="EF69" s="15"/>
      <c r="EG69" s="15"/>
      <c r="EH69" s="184"/>
      <c r="EI69" s="15"/>
      <c r="EJ69" s="15"/>
      <c r="EK69" s="15"/>
      <c r="EL69" s="15"/>
      <c r="EM69" s="15"/>
      <c r="EN69" s="15"/>
      <c r="EO69" s="184"/>
      <c r="EP69" s="15"/>
      <c r="EQ69" s="15"/>
      <c r="ER69" s="15"/>
      <c r="ES69" s="15"/>
      <c r="ET69" s="15"/>
      <c r="EU69" s="15"/>
      <c r="EV69" s="184"/>
      <c r="EW69" s="15"/>
      <c r="EX69" s="15"/>
      <c r="EY69" s="15"/>
      <c r="EZ69" s="15"/>
      <c r="FA69" s="15"/>
      <c r="FB69" s="15"/>
      <c r="FC69" s="184"/>
      <c r="FD69" s="15"/>
      <c r="FE69" s="15"/>
      <c r="FF69" s="15"/>
      <c r="FG69" s="15"/>
      <c r="FH69" s="15"/>
      <c r="FI69" s="15"/>
      <c r="FJ69" s="184"/>
      <c r="FK69" s="15"/>
      <c r="FL69" s="15"/>
      <c r="FM69" s="15"/>
      <c r="FN69" s="15"/>
      <c r="FO69" s="15"/>
      <c r="FP69" s="15"/>
      <c r="FQ69" s="184"/>
      <c r="FR69" s="15"/>
      <c r="FS69" s="15"/>
      <c r="FT69" s="15"/>
      <c r="FU69" s="15"/>
      <c r="FV69" s="15"/>
      <c r="FW69" s="178"/>
      <c r="FX69" s="184"/>
      <c r="FY69" s="181"/>
      <c r="FZ69" s="15"/>
      <c r="GA69" s="15"/>
      <c r="GB69" s="15"/>
      <c r="GC69" s="15"/>
      <c r="GD69" s="15"/>
      <c r="GE69" s="184"/>
      <c r="GF69" s="15"/>
      <c r="GG69" s="15"/>
      <c r="GH69" s="15"/>
      <c r="GI69" s="15"/>
      <c r="GJ69" s="15"/>
      <c r="GK69" s="15"/>
      <c r="GL69" s="184"/>
      <c r="GM69" s="15"/>
      <c r="GN69" s="15"/>
      <c r="GO69" s="15"/>
      <c r="GP69" s="15"/>
      <c r="GQ69" s="15"/>
      <c r="GR69" s="15"/>
      <c r="GS69" s="184"/>
      <c r="GT69" s="15"/>
      <c r="GU69" s="15"/>
      <c r="GV69" s="15"/>
      <c r="GW69" s="15"/>
      <c r="GX69" s="15"/>
      <c r="GY69" s="15"/>
      <c r="GZ69" s="184"/>
      <c r="HA69" s="15"/>
      <c r="HB69" s="15"/>
      <c r="HC69" s="15"/>
      <c r="HD69" s="15"/>
      <c r="HE69" s="15"/>
      <c r="HF69" s="15"/>
      <c r="HG69" s="184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  <c r="MH69" s="15"/>
      <c r="MI69" s="15"/>
      <c r="MJ69" s="15"/>
      <c r="MK69" s="15"/>
      <c r="ML69" s="15"/>
      <c r="MM69" s="15"/>
      <c r="MN69" s="15"/>
      <c r="MO69" s="15"/>
      <c r="MP69" s="15"/>
      <c r="MQ69" s="15"/>
      <c r="MR69" s="15"/>
      <c r="MS69" s="15"/>
      <c r="MT69" s="15"/>
      <c r="MU69" s="15"/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  <c r="NH69" s="15"/>
      <c r="NI69" s="15"/>
      <c r="NJ69" s="15"/>
      <c r="NK69" s="15"/>
      <c r="NL69" s="15"/>
      <c r="NM69" s="15"/>
      <c r="NN69" s="15"/>
      <c r="NO69" s="15"/>
      <c r="NP69" s="15"/>
      <c r="NQ69" s="15"/>
      <c r="NR69" s="15"/>
      <c r="NS69" s="15"/>
      <c r="NT69" s="15"/>
      <c r="NU69" s="15"/>
      <c r="NV69" s="15"/>
      <c r="NW69" s="15"/>
      <c r="NX69" s="15"/>
      <c r="NY69" s="15"/>
      <c r="NZ69" s="15"/>
    </row>
    <row r="70" spans="2:390" ht="19.5" customHeight="1" x14ac:dyDescent="0.45">
      <c r="B70" s="1">
        <f t="shared" si="55"/>
        <v>2</v>
      </c>
      <c r="C70" s="1">
        <f>+C69</f>
        <v>8</v>
      </c>
      <c r="D70" s="1">
        <f>+D69+1</f>
        <v>1</v>
      </c>
      <c r="E70" s="59" t="str">
        <f t="shared" si="56"/>
        <v>2.8.1</v>
      </c>
      <c r="F70" s="23" t="s">
        <v>88</v>
      </c>
      <c r="G70" s="23"/>
      <c r="H70" s="52" t="s">
        <v>117</v>
      </c>
      <c r="I70" s="118"/>
      <c r="J70" s="118"/>
      <c r="K70" s="119"/>
      <c r="L70" s="119"/>
      <c r="M70" s="120"/>
      <c r="N70" s="120"/>
      <c r="O70" s="121"/>
      <c r="P70" s="121"/>
      <c r="Q70" s="121"/>
      <c r="R70" s="187"/>
      <c r="S70" s="64"/>
      <c r="T70" s="155" t="str">
        <f t="shared" si="30"/>
        <v/>
      </c>
      <c r="U70" s="22"/>
      <c r="V70" s="199">
        <f t="shared" si="31"/>
        <v>0</v>
      </c>
      <c r="W70" s="158"/>
      <c r="X70" s="159"/>
      <c r="Y70" s="199"/>
      <c r="Z70" s="36"/>
      <c r="AA70" s="15"/>
      <c r="AB70" s="15"/>
      <c r="AC70" s="15"/>
      <c r="AD70" s="15"/>
      <c r="AE70" s="15"/>
      <c r="AF70" s="15"/>
      <c r="AG70" s="184"/>
      <c r="AH70" s="15"/>
      <c r="AI70" s="15"/>
      <c r="AJ70" s="15"/>
      <c r="AK70" s="15"/>
      <c r="AL70" s="15"/>
      <c r="AM70" s="15"/>
      <c r="AN70" s="184"/>
      <c r="AO70" s="15"/>
      <c r="AP70" s="15"/>
      <c r="AQ70" s="15"/>
      <c r="AR70" s="15"/>
      <c r="AS70" s="15"/>
      <c r="AT70" s="15"/>
      <c r="AU70" s="184"/>
      <c r="AV70" s="15"/>
      <c r="AW70" s="15"/>
      <c r="AX70" s="15"/>
      <c r="AY70" s="15"/>
      <c r="AZ70" s="15"/>
      <c r="BA70" s="15"/>
      <c r="BB70" s="184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84"/>
      <c r="CE70" s="15"/>
      <c r="CF70" s="15"/>
      <c r="CG70" s="15"/>
      <c r="CH70" s="15"/>
      <c r="CI70" s="15"/>
      <c r="CJ70" s="15"/>
      <c r="CK70" s="184"/>
      <c r="CL70" s="15"/>
      <c r="CM70" s="15"/>
      <c r="CN70" s="15"/>
      <c r="CO70" s="15"/>
      <c r="CP70" s="15"/>
      <c r="CQ70" s="15"/>
      <c r="CR70" s="184"/>
      <c r="CS70" s="15"/>
      <c r="CT70" s="15"/>
      <c r="CU70" s="15"/>
      <c r="CV70" s="15"/>
      <c r="CW70" s="15"/>
      <c r="CX70" s="15"/>
      <c r="CY70" s="184"/>
      <c r="CZ70" s="15"/>
      <c r="DA70" s="15"/>
      <c r="DB70" s="15"/>
      <c r="DC70" s="15"/>
      <c r="DD70" s="15"/>
      <c r="DE70" s="15"/>
      <c r="DF70" s="184"/>
      <c r="DG70" s="15"/>
      <c r="DH70" s="15"/>
      <c r="DI70" s="15"/>
      <c r="DJ70" s="15"/>
      <c r="DK70" s="15"/>
      <c r="DL70" s="15"/>
      <c r="DM70" s="184"/>
      <c r="DN70" s="15"/>
      <c r="DO70" s="15"/>
      <c r="DP70" s="15"/>
      <c r="DQ70" s="15"/>
      <c r="DR70" s="15"/>
      <c r="DS70" s="15"/>
      <c r="DT70" s="184"/>
      <c r="DU70" s="15"/>
      <c r="DV70" s="15"/>
      <c r="DW70" s="15"/>
      <c r="DX70" s="15"/>
      <c r="DY70" s="15"/>
      <c r="DZ70" s="15"/>
      <c r="EA70" s="184"/>
      <c r="EB70" s="15"/>
      <c r="EC70" s="15"/>
      <c r="ED70" s="15"/>
      <c r="EE70" s="15"/>
      <c r="EF70" s="15"/>
      <c r="EG70" s="15"/>
      <c r="EH70" s="184"/>
      <c r="EI70" s="15"/>
      <c r="EJ70" s="15"/>
      <c r="EK70" s="15"/>
      <c r="EL70" s="15"/>
      <c r="EM70" s="15"/>
      <c r="EN70" s="15"/>
      <c r="EO70" s="184"/>
      <c r="EP70" s="15"/>
      <c r="EQ70" s="15"/>
      <c r="ER70" s="15"/>
      <c r="ES70" s="15"/>
      <c r="ET70" s="15"/>
      <c r="EU70" s="15"/>
      <c r="EV70" s="184"/>
      <c r="EW70" s="15"/>
      <c r="EX70" s="15"/>
      <c r="EY70" s="15"/>
      <c r="EZ70" s="15"/>
      <c r="FA70" s="15"/>
      <c r="FB70" s="15"/>
      <c r="FC70" s="184"/>
      <c r="FD70" s="15"/>
      <c r="FE70" s="15"/>
      <c r="FF70" s="15"/>
      <c r="FG70" s="15"/>
      <c r="FH70" s="15"/>
      <c r="FI70" s="15"/>
      <c r="FJ70" s="184"/>
      <c r="FK70" s="15"/>
      <c r="FL70" s="15"/>
      <c r="FM70" s="15"/>
      <c r="FN70" s="15"/>
      <c r="FO70" s="15"/>
      <c r="FP70" s="15"/>
      <c r="FQ70" s="184"/>
      <c r="FR70" s="15"/>
      <c r="FS70" s="15"/>
      <c r="FT70" s="15"/>
      <c r="FU70" s="15"/>
      <c r="FV70" s="15"/>
      <c r="FW70" s="178"/>
      <c r="FX70" s="184"/>
      <c r="FY70" s="181"/>
      <c r="FZ70" s="15"/>
      <c r="GA70" s="15"/>
      <c r="GB70" s="15"/>
      <c r="GC70" s="15"/>
      <c r="GD70" s="15"/>
      <c r="GE70" s="184"/>
      <c r="GF70" s="15"/>
      <c r="GG70" s="15"/>
      <c r="GH70" s="15"/>
      <c r="GI70" s="15"/>
      <c r="GJ70" s="15"/>
      <c r="GK70" s="15"/>
      <c r="GL70" s="184"/>
      <c r="GM70" s="15"/>
      <c r="GN70" s="15"/>
      <c r="GO70" s="15"/>
      <c r="GP70" s="15"/>
      <c r="GQ70" s="15"/>
      <c r="GR70" s="15"/>
      <c r="GS70" s="184"/>
      <c r="GT70" s="15"/>
      <c r="GU70" s="15"/>
      <c r="GV70" s="15"/>
      <c r="GW70" s="15"/>
      <c r="GX70" s="15"/>
      <c r="GY70" s="15"/>
      <c r="GZ70" s="184"/>
      <c r="HA70" s="15"/>
      <c r="HB70" s="15"/>
      <c r="HC70" s="15"/>
      <c r="HD70" s="15"/>
      <c r="HE70" s="15"/>
      <c r="HF70" s="15"/>
      <c r="HG70" s="184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/>
      <c r="LI70" s="15"/>
      <c r="LJ70" s="15"/>
      <c r="LK70" s="15"/>
      <c r="LL70" s="15"/>
      <c r="LM70" s="15"/>
      <c r="LN70" s="15"/>
      <c r="LO70" s="15"/>
      <c r="LP70" s="15"/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  <c r="MG70" s="15"/>
      <c r="MH70" s="15"/>
      <c r="MI70" s="15"/>
      <c r="MJ70" s="15"/>
      <c r="MK70" s="15"/>
      <c r="ML70" s="15"/>
      <c r="MM70" s="15"/>
      <c r="MN70" s="15"/>
      <c r="MO70" s="15"/>
      <c r="MP70" s="15"/>
      <c r="MQ70" s="15"/>
      <c r="MR70" s="15"/>
      <c r="MS70" s="15"/>
      <c r="MT70" s="15"/>
      <c r="MU70" s="15"/>
      <c r="MV70" s="15"/>
      <c r="MW70" s="15"/>
      <c r="MX70" s="15"/>
      <c r="MY70" s="15"/>
      <c r="MZ70" s="15"/>
      <c r="NA70" s="15"/>
      <c r="NB70" s="15"/>
      <c r="NC70" s="15"/>
      <c r="ND70" s="15"/>
      <c r="NE70" s="15"/>
      <c r="NF70" s="15"/>
      <c r="NG70" s="15"/>
      <c r="NH70" s="15"/>
      <c r="NI70" s="15"/>
      <c r="NJ70" s="15"/>
      <c r="NK70" s="15"/>
      <c r="NL70" s="15"/>
      <c r="NM70" s="15"/>
      <c r="NN70" s="15"/>
      <c r="NO70" s="15"/>
      <c r="NP70" s="15"/>
      <c r="NQ70" s="15"/>
      <c r="NR70" s="15"/>
      <c r="NS70" s="15"/>
      <c r="NT70" s="15"/>
      <c r="NU70" s="15"/>
      <c r="NV70" s="15"/>
      <c r="NW70" s="15"/>
      <c r="NX70" s="15"/>
      <c r="NY70" s="15"/>
      <c r="NZ70" s="15"/>
    </row>
    <row r="71" spans="2:390" ht="19.5" customHeight="1" x14ac:dyDescent="0.45">
      <c r="B71" s="1">
        <f t="shared" si="55"/>
        <v>2</v>
      </c>
      <c r="C71" s="1">
        <f>+C70</f>
        <v>8</v>
      </c>
      <c r="D71" s="1">
        <f>+D70+1</f>
        <v>2</v>
      </c>
      <c r="E71" s="59" t="str">
        <f t="shared" si="56"/>
        <v>2.8.2</v>
      </c>
      <c r="F71" s="23" t="s">
        <v>89</v>
      </c>
      <c r="G71" s="23"/>
      <c r="H71" s="73" t="s">
        <v>119</v>
      </c>
      <c r="I71" s="195"/>
      <c r="J71" s="122"/>
      <c r="K71" s="123"/>
      <c r="L71" s="123"/>
      <c r="M71" s="124"/>
      <c r="N71" s="124"/>
      <c r="O71" s="125"/>
      <c r="P71" s="125"/>
      <c r="Q71" s="125"/>
      <c r="R71" s="187"/>
      <c r="S71" s="64"/>
      <c r="T71" s="155" t="str">
        <f t="shared" si="30"/>
        <v/>
      </c>
      <c r="U71" s="22"/>
      <c r="V71" s="199">
        <f t="shared" si="31"/>
        <v>0</v>
      </c>
      <c r="W71" s="158"/>
      <c r="X71" s="159"/>
      <c r="Y71" s="199"/>
      <c r="Z71" s="36"/>
      <c r="AA71" s="15"/>
      <c r="AB71" s="15"/>
      <c r="AC71" s="15"/>
      <c r="AD71" s="15"/>
      <c r="AE71" s="15"/>
      <c r="AF71" s="15"/>
      <c r="AG71" s="184"/>
      <c r="AH71" s="15"/>
      <c r="AI71" s="15"/>
      <c r="AJ71" s="15"/>
      <c r="AK71" s="15"/>
      <c r="AL71" s="15"/>
      <c r="AM71" s="15"/>
      <c r="AN71" s="184"/>
      <c r="AO71" s="15"/>
      <c r="AP71" s="15"/>
      <c r="AQ71" s="15"/>
      <c r="AR71" s="15"/>
      <c r="AS71" s="15"/>
      <c r="AT71" s="15"/>
      <c r="AU71" s="184"/>
      <c r="AV71" s="15"/>
      <c r="AW71" s="15"/>
      <c r="AX71" s="15"/>
      <c r="AY71" s="15"/>
      <c r="AZ71" s="15"/>
      <c r="BA71" s="15"/>
      <c r="BB71" s="184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84"/>
      <c r="CE71" s="15"/>
      <c r="CF71" s="15"/>
      <c r="CG71" s="15"/>
      <c r="CH71" s="15"/>
      <c r="CI71" s="15"/>
      <c r="CJ71" s="15"/>
      <c r="CK71" s="184"/>
      <c r="CL71" s="15"/>
      <c r="CM71" s="15"/>
      <c r="CN71" s="15"/>
      <c r="CO71" s="15"/>
      <c r="CP71" s="15"/>
      <c r="CQ71" s="15"/>
      <c r="CR71" s="184"/>
      <c r="CS71" s="15"/>
      <c r="CT71" s="15"/>
      <c r="CU71" s="15"/>
      <c r="CV71" s="15"/>
      <c r="CW71" s="15"/>
      <c r="CX71" s="15"/>
      <c r="CY71" s="184"/>
      <c r="CZ71" s="15"/>
      <c r="DA71" s="15"/>
      <c r="DB71" s="15"/>
      <c r="DC71" s="15"/>
      <c r="DD71" s="15"/>
      <c r="DE71" s="15"/>
      <c r="DF71" s="184"/>
      <c r="DG71" s="15"/>
      <c r="DH71" s="15"/>
      <c r="DI71" s="15"/>
      <c r="DJ71" s="15"/>
      <c r="DK71" s="15"/>
      <c r="DL71" s="15"/>
      <c r="DM71" s="184"/>
      <c r="DN71" s="15"/>
      <c r="DO71" s="15"/>
      <c r="DP71" s="15"/>
      <c r="DQ71" s="15"/>
      <c r="DR71" s="15"/>
      <c r="DS71" s="15"/>
      <c r="DT71" s="184"/>
      <c r="DU71" s="15"/>
      <c r="DV71" s="15"/>
      <c r="DW71" s="15"/>
      <c r="DX71" s="15"/>
      <c r="DY71" s="15"/>
      <c r="DZ71" s="15"/>
      <c r="EA71" s="184"/>
      <c r="EB71" s="15"/>
      <c r="EC71" s="15"/>
      <c r="ED71" s="15"/>
      <c r="EE71" s="15"/>
      <c r="EF71" s="15"/>
      <c r="EG71" s="15"/>
      <c r="EH71" s="184"/>
      <c r="EI71" s="15"/>
      <c r="EJ71" s="15"/>
      <c r="EK71" s="15"/>
      <c r="EL71" s="15"/>
      <c r="EM71" s="15"/>
      <c r="EN71" s="15"/>
      <c r="EO71" s="184"/>
      <c r="EP71" s="15"/>
      <c r="EQ71" s="15"/>
      <c r="ER71" s="15"/>
      <c r="ES71" s="15"/>
      <c r="ET71" s="15"/>
      <c r="EU71" s="15"/>
      <c r="EV71" s="184"/>
      <c r="EW71" s="15"/>
      <c r="EX71" s="15"/>
      <c r="EY71" s="15"/>
      <c r="EZ71" s="15"/>
      <c r="FA71" s="15"/>
      <c r="FB71" s="15"/>
      <c r="FC71" s="184"/>
      <c r="FD71" s="15"/>
      <c r="FE71" s="15"/>
      <c r="FF71" s="15"/>
      <c r="FG71" s="15"/>
      <c r="FH71" s="15"/>
      <c r="FI71" s="15"/>
      <c r="FJ71" s="184"/>
      <c r="FK71" s="15"/>
      <c r="FL71" s="15"/>
      <c r="FM71" s="15"/>
      <c r="FN71" s="15"/>
      <c r="FO71" s="15"/>
      <c r="FP71" s="15"/>
      <c r="FQ71" s="184"/>
      <c r="FR71" s="15"/>
      <c r="FS71" s="15"/>
      <c r="FT71" s="15"/>
      <c r="FU71" s="15"/>
      <c r="FV71" s="15"/>
      <c r="FW71" s="178"/>
      <c r="FX71" s="184"/>
      <c r="FY71" s="181"/>
      <c r="FZ71" s="15"/>
      <c r="GA71" s="15"/>
      <c r="GB71" s="15"/>
      <c r="GC71" s="15"/>
      <c r="GD71" s="15"/>
      <c r="GE71" s="184"/>
      <c r="GF71" s="15"/>
      <c r="GG71" s="15"/>
      <c r="GH71" s="15"/>
      <c r="GI71" s="15"/>
      <c r="GJ71" s="15"/>
      <c r="GK71" s="15"/>
      <c r="GL71" s="184"/>
      <c r="GM71" s="15"/>
      <c r="GN71" s="15"/>
      <c r="GO71" s="15"/>
      <c r="GP71" s="15"/>
      <c r="GQ71" s="15"/>
      <c r="GR71" s="15"/>
      <c r="GS71" s="184"/>
      <c r="GT71" s="15"/>
      <c r="GU71" s="15"/>
      <c r="GV71" s="15"/>
      <c r="GW71" s="15"/>
      <c r="GX71" s="15"/>
      <c r="GY71" s="15"/>
      <c r="GZ71" s="184"/>
      <c r="HA71" s="15"/>
      <c r="HB71" s="15"/>
      <c r="HC71" s="15"/>
      <c r="HD71" s="15"/>
      <c r="HE71" s="15"/>
      <c r="HF71" s="15"/>
      <c r="HG71" s="184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/>
      <c r="LI71" s="15"/>
      <c r="LJ71" s="15"/>
      <c r="LK71" s="15"/>
      <c r="LL71" s="15"/>
      <c r="LM71" s="15"/>
      <c r="LN71" s="15"/>
      <c r="LO71" s="15"/>
      <c r="LP71" s="15"/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  <c r="MG71" s="15"/>
      <c r="MH71" s="15"/>
      <c r="MI71" s="15"/>
      <c r="MJ71" s="15"/>
      <c r="MK71" s="15"/>
      <c r="ML71" s="15"/>
      <c r="MM71" s="15"/>
      <c r="MN71" s="15"/>
      <c r="MO71" s="15"/>
      <c r="MP71" s="15"/>
      <c r="MQ71" s="15"/>
      <c r="MR71" s="15"/>
      <c r="MS71" s="15"/>
      <c r="MT71" s="15"/>
      <c r="MU71" s="15"/>
      <c r="MV71" s="15"/>
      <c r="MW71" s="15"/>
      <c r="MX71" s="15"/>
      <c r="MY71" s="15"/>
      <c r="MZ71" s="15"/>
      <c r="NA71" s="15"/>
      <c r="NB71" s="15"/>
      <c r="NC71" s="15"/>
      <c r="ND71" s="15"/>
      <c r="NE71" s="15"/>
      <c r="NF71" s="15"/>
      <c r="NG71" s="15"/>
      <c r="NH71" s="15"/>
      <c r="NI71" s="15"/>
      <c r="NJ71" s="15"/>
      <c r="NK71" s="15"/>
      <c r="NL71" s="15"/>
      <c r="NM71" s="15"/>
      <c r="NN71" s="15"/>
      <c r="NO71" s="15"/>
      <c r="NP71" s="15"/>
      <c r="NQ71" s="15"/>
      <c r="NR71" s="15"/>
      <c r="NS71" s="15"/>
      <c r="NT71" s="15"/>
      <c r="NU71" s="15"/>
      <c r="NV71" s="15"/>
      <c r="NW71" s="15"/>
      <c r="NX71" s="15"/>
      <c r="NY71" s="15"/>
      <c r="NZ71" s="15"/>
    </row>
    <row r="72" spans="2:390" ht="19.5" customHeight="1" x14ac:dyDescent="0.45">
      <c r="B72" s="1">
        <f t="shared" si="55"/>
        <v>2</v>
      </c>
      <c r="C72" s="1">
        <f>+C71</f>
        <v>8</v>
      </c>
      <c r="D72" s="1">
        <f>+D71+1</f>
        <v>3</v>
      </c>
      <c r="E72" s="59" t="str">
        <f t="shared" si="56"/>
        <v>2.8.3</v>
      </c>
      <c r="F72" s="23" t="s">
        <v>90</v>
      </c>
      <c r="G72" s="23"/>
      <c r="H72" s="52" t="s">
        <v>117</v>
      </c>
      <c r="I72" s="52"/>
      <c r="J72" s="61">
        <v>2</v>
      </c>
      <c r="K72" s="61">
        <v>0</v>
      </c>
      <c r="L72" s="52">
        <f>+J72-K72</f>
        <v>2</v>
      </c>
      <c r="M72" s="52"/>
      <c r="N72" s="52"/>
      <c r="O72" s="51">
        <f>+N72*M72</f>
        <v>0</v>
      </c>
      <c r="P72" s="51"/>
      <c r="Q72" s="51"/>
      <c r="R72" s="187"/>
      <c r="S72" s="64"/>
      <c r="T72" s="155" t="str">
        <f t="shared" si="30"/>
        <v/>
      </c>
      <c r="U72" s="22">
        <f>+K72/J72</f>
        <v>0</v>
      </c>
      <c r="V72" s="199">
        <f t="shared" si="31"/>
        <v>0</v>
      </c>
      <c r="W72" s="158"/>
      <c r="X72" s="159"/>
      <c r="Y72" s="199"/>
      <c r="Z72" s="36"/>
      <c r="AA72" s="15"/>
      <c r="AB72" s="15"/>
      <c r="AC72" s="15"/>
      <c r="AD72" s="15"/>
      <c r="AE72" s="15"/>
      <c r="AF72" s="15"/>
      <c r="AG72" s="184"/>
      <c r="AH72" s="15"/>
      <c r="AI72" s="15"/>
      <c r="AJ72" s="15"/>
      <c r="AK72" s="15"/>
      <c r="AL72" s="15"/>
      <c r="AM72" s="15"/>
      <c r="AN72" s="184"/>
      <c r="AO72" s="15"/>
      <c r="AP72" s="15"/>
      <c r="AQ72" s="15"/>
      <c r="AR72" s="15"/>
      <c r="AS72" s="15"/>
      <c r="AT72" s="15"/>
      <c r="AU72" s="184"/>
      <c r="AV72" s="15"/>
      <c r="AW72" s="15"/>
      <c r="AX72" s="15"/>
      <c r="AY72" s="15"/>
      <c r="AZ72" s="15"/>
      <c r="BA72" s="15"/>
      <c r="BB72" s="184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84"/>
      <c r="CE72" s="15"/>
      <c r="CF72" s="15"/>
      <c r="CG72" s="15"/>
      <c r="CH72" s="15"/>
      <c r="CI72" s="15"/>
      <c r="CJ72" s="15"/>
      <c r="CK72" s="184"/>
      <c r="CL72" s="15"/>
      <c r="CM72" s="15"/>
      <c r="CN72" s="15"/>
      <c r="CO72" s="15"/>
      <c r="CP72" s="15"/>
      <c r="CQ72" s="15"/>
      <c r="CR72" s="184"/>
      <c r="CS72" s="15"/>
      <c r="CT72" s="15"/>
      <c r="CU72" s="15"/>
      <c r="CV72" s="15"/>
      <c r="CW72" s="15"/>
      <c r="CX72" s="15"/>
      <c r="CY72" s="184"/>
      <c r="CZ72" s="15"/>
      <c r="DA72" s="15"/>
      <c r="DB72" s="15"/>
      <c r="DC72" s="15"/>
      <c r="DD72" s="15"/>
      <c r="DE72" s="15"/>
      <c r="DF72" s="184"/>
      <c r="DG72" s="15"/>
      <c r="DH72" s="15"/>
      <c r="DI72" s="15"/>
      <c r="DJ72" s="15"/>
      <c r="DK72" s="15"/>
      <c r="DL72" s="15"/>
      <c r="DM72" s="184"/>
      <c r="DN72" s="15"/>
      <c r="DO72" s="15"/>
      <c r="DP72" s="15"/>
      <c r="DQ72" s="15"/>
      <c r="DR72" s="15"/>
      <c r="DS72" s="15"/>
      <c r="DT72" s="184"/>
      <c r="DU72" s="15"/>
      <c r="DV72" s="15"/>
      <c r="DW72" s="15"/>
      <c r="DX72" s="15"/>
      <c r="DY72" s="15"/>
      <c r="DZ72" s="15"/>
      <c r="EA72" s="184"/>
      <c r="EB72" s="15"/>
      <c r="EC72" s="15"/>
      <c r="ED72" s="15"/>
      <c r="EE72" s="15"/>
      <c r="EF72" s="15"/>
      <c r="EG72" s="15"/>
      <c r="EH72" s="184"/>
      <c r="EI72" s="15"/>
      <c r="EJ72" s="15"/>
      <c r="EK72" s="15"/>
      <c r="EL72" s="15"/>
      <c r="EM72" s="15"/>
      <c r="EN72" s="15"/>
      <c r="EO72" s="184"/>
      <c r="EP72" s="15"/>
      <c r="EQ72" s="15"/>
      <c r="ER72" s="15"/>
      <c r="ES72" s="15"/>
      <c r="ET72" s="15"/>
      <c r="EU72" s="15"/>
      <c r="EV72" s="184"/>
      <c r="EW72" s="15"/>
      <c r="EX72" s="15"/>
      <c r="EY72" s="15"/>
      <c r="EZ72" s="15"/>
      <c r="FA72" s="15"/>
      <c r="FB72" s="15"/>
      <c r="FC72" s="184"/>
      <c r="FD72" s="15"/>
      <c r="FE72" s="15"/>
      <c r="FF72" s="15"/>
      <c r="FG72" s="15"/>
      <c r="FH72" s="15"/>
      <c r="FI72" s="15"/>
      <c r="FJ72" s="184"/>
      <c r="FK72" s="15"/>
      <c r="FL72" s="15"/>
      <c r="FM72" s="15"/>
      <c r="FN72" s="15"/>
      <c r="FO72" s="15"/>
      <c r="FP72" s="15"/>
      <c r="FQ72" s="184"/>
      <c r="FR72" s="15"/>
      <c r="FS72" s="15"/>
      <c r="FT72" s="15"/>
      <c r="FU72" s="15"/>
      <c r="FV72" s="15"/>
      <c r="FW72" s="178"/>
      <c r="FX72" s="184"/>
      <c r="FY72" s="181"/>
      <c r="FZ72" s="15"/>
      <c r="GA72" s="15"/>
      <c r="GB72" s="15"/>
      <c r="GC72" s="15"/>
      <c r="GD72" s="15"/>
      <c r="GE72" s="184"/>
      <c r="GF72" s="15"/>
      <c r="GG72" s="15"/>
      <c r="GH72" s="15"/>
      <c r="GI72" s="15"/>
      <c r="GJ72" s="15"/>
      <c r="GK72" s="15"/>
      <c r="GL72" s="184"/>
      <c r="GM72" s="15"/>
      <c r="GN72" s="15"/>
      <c r="GO72" s="15"/>
      <c r="GP72" s="15"/>
      <c r="GQ72" s="15"/>
      <c r="GR72" s="15"/>
      <c r="GS72" s="184"/>
      <c r="GT72" s="15"/>
      <c r="GU72" s="15"/>
      <c r="GV72" s="15"/>
      <c r="GW72" s="15"/>
      <c r="GX72" s="15"/>
      <c r="GY72" s="15"/>
      <c r="GZ72" s="184"/>
      <c r="HA72" s="15"/>
      <c r="HB72" s="15"/>
      <c r="HC72" s="15"/>
      <c r="HD72" s="15"/>
      <c r="HE72" s="15"/>
      <c r="HF72" s="15"/>
      <c r="HG72" s="184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/>
      <c r="LI72" s="15"/>
      <c r="LJ72" s="15"/>
      <c r="LK72" s="15"/>
      <c r="LL72" s="15"/>
      <c r="LM72" s="15"/>
      <c r="LN72" s="15"/>
      <c r="LO72" s="15"/>
      <c r="LP72" s="15"/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  <c r="MG72" s="15"/>
      <c r="MH72" s="15"/>
      <c r="MI72" s="15"/>
      <c r="MJ72" s="15"/>
      <c r="MK72" s="15"/>
      <c r="ML72" s="15"/>
      <c r="MM72" s="15"/>
      <c r="MN72" s="15"/>
      <c r="MO72" s="15"/>
      <c r="MP72" s="15"/>
      <c r="MQ72" s="15"/>
      <c r="MR72" s="15"/>
      <c r="MS72" s="15"/>
      <c r="MT72" s="15"/>
      <c r="MU72" s="15"/>
      <c r="MV72" s="15"/>
      <c r="MW72" s="15"/>
      <c r="MX72" s="15"/>
      <c r="MY72" s="15"/>
      <c r="MZ72" s="15"/>
      <c r="NA72" s="15"/>
      <c r="NB72" s="15"/>
      <c r="NC72" s="15"/>
      <c r="ND72" s="15"/>
      <c r="NE72" s="15"/>
      <c r="NF72" s="15"/>
      <c r="NG72" s="15"/>
      <c r="NH72" s="15"/>
      <c r="NI72" s="15"/>
      <c r="NJ72" s="15"/>
      <c r="NK72" s="15"/>
      <c r="NL72" s="15"/>
      <c r="NM72" s="15"/>
      <c r="NN72" s="15"/>
      <c r="NO72" s="15"/>
      <c r="NP72" s="15"/>
      <c r="NQ72" s="15"/>
      <c r="NR72" s="15"/>
      <c r="NS72" s="15"/>
      <c r="NT72" s="15"/>
      <c r="NU72" s="15"/>
      <c r="NV72" s="15"/>
      <c r="NW72" s="15"/>
      <c r="NX72" s="15"/>
      <c r="NY72" s="15"/>
      <c r="NZ72" s="15"/>
    </row>
    <row r="73" spans="2:390" ht="19.5" customHeight="1" x14ac:dyDescent="0.45">
      <c r="B73" s="1">
        <f t="shared" si="55"/>
        <v>2</v>
      </c>
      <c r="C73" s="1">
        <f>+C72</f>
        <v>8</v>
      </c>
      <c r="D73" s="1">
        <f>+D72+1</f>
        <v>4</v>
      </c>
      <c r="E73" s="59" t="str">
        <f t="shared" si="56"/>
        <v>2.8.4</v>
      </c>
      <c r="F73" s="23" t="s">
        <v>91</v>
      </c>
      <c r="G73" s="191">
        <v>1</v>
      </c>
      <c r="H73" s="52" t="s">
        <v>117</v>
      </c>
      <c r="I73" s="52" t="s">
        <v>157</v>
      </c>
      <c r="J73" s="61">
        <v>2</v>
      </c>
      <c r="K73" s="61">
        <v>0</v>
      </c>
      <c r="L73" s="52">
        <f>+J73-K73</f>
        <v>2</v>
      </c>
      <c r="M73" s="52">
        <v>2</v>
      </c>
      <c r="N73" s="52">
        <v>5</v>
      </c>
      <c r="O73" s="51">
        <f>+N73*M73</f>
        <v>10</v>
      </c>
      <c r="P73" s="51">
        <f>+SUM(AA73:NZ73)</f>
        <v>12</v>
      </c>
      <c r="Q73" s="51">
        <f>+O73-P73</f>
        <v>-2</v>
      </c>
      <c r="R73" s="19">
        <v>46069</v>
      </c>
      <c r="S73" s="20">
        <v>5</v>
      </c>
      <c r="T73" s="21">
        <f t="shared" si="30"/>
        <v>46073</v>
      </c>
      <c r="U73" s="22">
        <f>+K73/J73</f>
        <v>0</v>
      </c>
      <c r="V73" s="199">
        <f t="shared" si="31"/>
        <v>0</v>
      </c>
      <c r="W73" s="158">
        <f>SUMIFS($AA73:$NZ73, $AA$8:$NZ$8, $W$12)/$O73</f>
        <v>0</v>
      </c>
      <c r="X73" s="159">
        <f>SUMIF($AA$9:$NZ$9, "&lt;=" &amp; $W$11,$AA73:$NZ73)/$O73</f>
        <v>0</v>
      </c>
      <c r="Y73" s="199">
        <f t="shared" si="32"/>
        <v>0</v>
      </c>
      <c r="Z73" s="36"/>
      <c r="AA73" s="15"/>
      <c r="AB73" s="15"/>
      <c r="AC73" s="15"/>
      <c r="AD73" s="15"/>
      <c r="AE73" s="15"/>
      <c r="AF73" s="15"/>
      <c r="AG73" s="184"/>
      <c r="AH73" s="15"/>
      <c r="AI73" s="15"/>
      <c r="AJ73" s="15"/>
      <c r="AK73" s="15"/>
      <c r="AL73" s="15"/>
      <c r="AM73" s="15"/>
      <c r="AN73" s="184"/>
      <c r="AO73" s="15"/>
      <c r="AP73" s="15"/>
      <c r="AQ73" s="15"/>
      <c r="AR73" s="15"/>
      <c r="AS73" s="15"/>
      <c r="AT73" s="15"/>
      <c r="AU73" s="184"/>
      <c r="AV73" s="15"/>
      <c r="AW73" s="15"/>
      <c r="AX73" s="15"/>
      <c r="AY73" s="15"/>
      <c r="AZ73" s="15"/>
      <c r="BA73" s="15"/>
      <c r="BB73" s="184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84"/>
      <c r="CE73" s="15"/>
      <c r="CF73" s="15"/>
      <c r="CG73" s="15"/>
      <c r="CH73" s="15"/>
      <c r="CI73" s="15"/>
      <c r="CJ73" s="15"/>
      <c r="CK73" s="184"/>
      <c r="CL73" s="15"/>
      <c r="CM73" s="15"/>
      <c r="CN73" s="15"/>
      <c r="CO73" s="15"/>
      <c r="CP73" s="15"/>
      <c r="CQ73" s="15"/>
      <c r="CR73" s="184"/>
      <c r="CS73" s="15"/>
      <c r="CT73" s="15"/>
      <c r="CU73" s="15"/>
      <c r="CV73" s="15"/>
      <c r="CW73" s="15"/>
      <c r="CX73" s="15"/>
      <c r="CY73" s="184"/>
      <c r="CZ73" s="15"/>
      <c r="DA73" s="15"/>
      <c r="DB73" s="15"/>
      <c r="DC73" s="15"/>
      <c r="DD73" s="15"/>
      <c r="DE73" s="15"/>
      <c r="DF73" s="184"/>
      <c r="DG73" s="15">
        <v>2</v>
      </c>
      <c r="DH73" s="15">
        <v>2</v>
      </c>
      <c r="DI73" s="15">
        <v>2</v>
      </c>
      <c r="DJ73" s="15">
        <v>2</v>
      </c>
      <c r="DK73" s="15">
        <v>2</v>
      </c>
      <c r="DL73" s="15">
        <v>2</v>
      </c>
      <c r="DM73" s="184"/>
      <c r="DN73" s="15"/>
      <c r="DO73" s="15"/>
      <c r="DP73" s="15"/>
      <c r="DQ73" s="15"/>
      <c r="DR73" s="15"/>
      <c r="DS73" s="15"/>
      <c r="DT73" s="184"/>
      <c r="DU73" s="15"/>
      <c r="DV73" s="15"/>
      <c r="DW73" s="15"/>
      <c r="DX73" s="15"/>
      <c r="DY73" s="15"/>
      <c r="DZ73" s="15"/>
      <c r="EA73" s="184"/>
      <c r="EB73" s="15"/>
      <c r="EC73" s="15"/>
      <c r="ED73" s="15"/>
      <c r="EE73" s="15"/>
      <c r="EF73" s="15"/>
      <c r="EG73" s="15"/>
      <c r="EH73" s="184"/>
      <c r="EI73" s="15"/>
      <c r="EJ73" s="15"/>
      <c r="EK73" s="15"/>
      <c r="EL73" s="15"/>
      <c r="EM73" s="15"/>
      <c r="EN73" s="15"/>
      <c r="EO73" s="184"/>
      <c r="EP73" s="15"/>
      <c r="EQ73" s="15"/>
      <c r="ER73" s="15"/>
      <c r="ES73" s="15"/>
      <c r="ET73" s="15"/>
      <c r="EU73" s="15"/>
      <c r="EV73" s="184"/>
      <c r="EW73" s="15"/>
      <c r="EX73" s="15"/>
      <c r="EY73" s="15"/>
      <c r="EZ73" s="15"/>
      <c r="FA73" s="15"/>
      <c r="FB73" s="15"/>
      <c r="FC73" s="184"/>
      <c r="FD73" s="15"/>
      <c r="FE73" s="15"/>
      <c r="FF73" s="15"/>
      <c r="FG73" s="15"/>
      <c r="FH73" s="15"/>
      <c r="FI73" s="15"/>
      <c r="FJ73" s="184"/>
      <c r="FK73" s="15"/>
      <c r="FL73" s="15"/>
      <c r="FM73" s="15"/>
      <c r="FN73" s="15"/>
      <c r="FO73" s="15"/>
      <c r="FP73" s="15"/>
      <c r="FQ73" s="184"/>
      <c r="FR73" s="15"/>
      <c r="FS73" s="15"/>
      <c r="FT73" s="15"/>
      <c r="FU73" s="15"/>
      <c r="FV73" s="15"/>
      <c r="FW73" s="178"/>
      <c r="FX73" s="184"/>
      <c r="FY73" s="181"/>
      <c r="FZ73" s="15"/>
      <c r="GA73" s="15"/>
      <c r="GB73" s="15"/>
      <c r="GC73" s="15"/>
      <c r="GD73" s="15"/>
      <c r="GE73" s="184"/>
      <c r="GF73" s="15"/>
      <c r="GG73" s="15"/>
      <c r="GH73" s="15"/>
      <c r="GI73" s="15"/>
      <c r="GJ73" s="15"/>
      <c r="GK73" s="15"/>
      <c r="GL73" s="184"/>
      <c r="GM73" s="15"/>
      <c r="GN73" s="15"/>
      <c r="GO73" s="15"/>
      <c r="GP73" s="15"/>
      <c r="GQ73" s="15"/>
      <c r="GR73" s="15"/>
      <c r="GS73" s="184"/>
      <c r="GT73" s="15"/>
      <c r="GU73" s="15"/>
      <c r="GV73" s="15"/>
      <c r="GW73" s="15"/>
      <c r="GX73" s="15"/>
      <c r="GY73" s="15"/>
      <c r="GZ73" s="184"/>
      <c r="HA73" s="15"/>
      <c r="HB73" s="15"/>
      <c r="HC73" s="15"/>
      <c r="HD73" s="15"/>
      <c r="HE73" s="15"/>
      <c r="HF73" s="15"/>
      <c r="HG73" s="184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/>
      <c r="LP73" s="15"/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  <c r="MG73" s="15"/>
      <c r="MH73" s="15"/>
      <c r="MI73" s="15"/>
      <c r="MJ73" s="15"/>
      <c r="MK73" s="15"/>
      <c r="ML73" s="15"/>
      <c r="MM73" s="15"/>
      <c r="MN73" s="15"/>
      <c r="MO73" s="15"/>
      <c r="MP73" s="15"/>
      <c r="MQ73" s="15"/>
      <c r="MR73" s="15"/>
      <c r="MS73" s="15"/>
      <c r="MT73" s="15"/>
      <c r="MU73" s="15"/>
      <c r="MV73" s="15"/>
      <c r="MW73" s="15"/>
      <c r="MX73" s="15"/>
      <c r="MY73" s="15"/>
      <c r="MZ73" s="15"/>
      <c r="NA73" s="15"/>
      <c r="NB73" s="15"/>
      <c r="NC73" s="15"/>
      <c r="ND73" s="15"/>
      <c r="NE73" s="15"/>
      <c r="NF73" s="15"/>
      <c r="NG73" s="15"/>
      <c r="NH73" s="15"/>
      <c r="NI73" s="15"/>
      <c r="NJ73" s="15"/>
      <c r="NK73" s="15"/>
      <c r="NL73" s="15"/>
      <c r="NM73" s="15"/>
      <c r="NN73" s="15"/>
      <c r="NO73" s="15"/>
      <c r="NP73" s="15"/>
      <c r="NQ73" s="15"/>
      <c r="NR73" s="15"/>
      <c r="NS73" s="15"/>
      <c r="NT73" s="15"/>
      <c r="NU73" s="15"/>
      <c r="NV73" s="15"/>
      <c r="NW73" s="15"/>
      <c r="NX73" s="15"/>
      <c r="NY73" s="15"/>
      <c r="NZ73" s="15"/>
    </row>
    <row r="74" spans="2:390" ht="19.5" customHeight="1" x14ac:dyDescent="0.45">
      <c r="B74" s="1">
        <f t="shared" si="55"/>
        <v>2</v>
      </c>
      <c r="C74" s="1">
        <f>+C73+1</f>
        <v>9</v>
      </c>
      <c r="D74" s="1">
        <v>0</v>
      </c>
      <c r="E74" s="93" t="str">
        <f t="shared" si="56"/>
        <v>2.9.0</v>
      </c>
      <c r="F74" s="99" t="s">
        <v>93</v>
      </c>
      <c r="G74" s="99"/>
      <c r="H74" s="100"/>
      <c r="I74" s="100"/>
      <c r="J74" s="101"/>
      <c r="K74" s="101"/>
      <c r="L74" s="101"/>
      <c r="M74" s="99"/>
      <c r="N74" s="99"/>
      <c r="O74" s="95">
        <f>SUM(O76:O78)</f>
        <v>10</v>
      </c>
      <c r="P74" s="95"/>
      <c r="Q74" s="95"/>
      <c r="R74" s="168"/>
      <c r="S74" s="98"/>
      <c r="T74" s="163" t="str">
        <f t="shared" si="30"/>
        <v/>
      </c>
      <c r="U74" s="164">
        <f>+SUMPRODUCT(U75:U78,O75:O78)/O74</f>
        <v>0</v>
      </c>
      <c r="V74" s="200">
        <f t="shared" si="31"/>
        <v>0</v>
      </c>
      <c r="W74" s="158">
        <f>SUMIFS($AA74:$NZ74, $AA$8:$NZ$8, $W$12)/$O74</f>
        <v>0</v>
      </c>
      <c r="X74" s="159">
        <f>SUMIF($AA$9:$NZ$9, "&lt;=" &amp; $W$11,$AA74:$NZ74)/$O74</f>
        <v>0</v>
      </c>
      <c r="Y74" s="199">
        <f t="shared" si="32"/>
        <v>0</v>
      </c>
      <c r="Z74" s="36"/>
      <c r="AA74" s="15"/>
      <c r="AB74" s="15"/>
      <c r="AC74" s="15"/>
      <c r="AD74" s="15"/>
      <c r="AE74" s="15"/>
      <c r="AF74" s="15"/>
      <c r="AG74" s="184"/>
      <c r="AH74" s="15"/>
      <c r="AI74" s="15"/>
      <c r="AJ74" s="15"/>
      <c r="AK74" s="15"/>
      <c r="AL74" s="15"/>
      <c r="AM74" s="15"/>
      <c r="AN74" s="184"/>
      <c r="AO74" s="15"/>
      <c r="AP74" s="15"/>
      <c r="AQ74" s="15"/>
      <c r="AR74" s="15"/>
      <c r="AS74" s="15"/>
      <c r="AT74" s="15"/>
      <c r="AU74" s="184"/>
      <c r="AV74" s="15"/>
      <c r="AW74" s="15"/>
      <c r="AX74" s="15"/>
      <c r="AY74" s="15"/>
      <c r="AZ74" s="15"/>
      <c r="BA74" s="15"/>
      <c r="BB74" s="184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84"/>
      <c r="CE74" s="15"/>
      <c r="CF74" s="15"/>
      <c r="CG74" s="15"/>
      <c r="CH74" s="15"/>
      <c r="CI74" s="15"/>
      <c r="CJ74" s="15"/>
      <c r="CK74" s="184"/>
      <c r="CL74" s="15"/>
      <c r="CM74" s="15"/>
      <c r="CN74" s="15"/>
      <c r="CO74" s="15"/>
      <c r="CP74" s="15"/>
      <c r="CQ74" s="15"/>
      <c r="CR74" s="184"/>
      <c r="CS74" s="15"/>
      <c r="CT74" s="15"/>
      <c r="CU74" s="15"/>
      <c r="CV74" s="15"/>
      <c r="CW74" s="15"/>
      <c r="CX74" s="15"/>
      <c r="CY74" s="184"/>
      <c r="CZ74" s="15"/>
      <c r="DA74" s="15"/>
      <c r="DB74" s="15"/>
      <c r="DC74" s="15"/>
      <c r="DD74" s="15"/>
      <c r="DE74" s="15"/>
      <c r="DF74" s="184"/>
      <c r="DG74" s="15"/>
      <c r="DH74" s="15"/>
      <c r="DI74" s="15"/>
      <c r="DJ74" s="15"/>
      <c r="DK74" s="15"/>
      <c r="DL74" s="15"/>
      <c r="DM74" s="184"/>
      <c r="DN74" s="15"/>
      <c r="DO74" s="15"/>
      <c r="DP74" s="15"/>
      <c r="DQ74" s="15"/>
      <c r="DR74" s="15"/>
      <c r="DS74" s="15"/>
      <c r="DT74" s="184"/>
      <c r="DU74" s="15"/>
      <c r="DV74" s="15"/>
      <c r="DW74" s="15"/>
      <c r="DX74" s="15"/>
      <c r="DY74" s="15"/>
      <c r="DZ74" s="15"/>
      <c r="EA74" s="184"/>
      <c r="EB74" s="15"/>
      <c r="EC74" s="15"/>
      <c r="ED74" s="15"/>
      <c r="EE74" s="15"/>
      <c r="EF74" s="15"/>
      <c r="EG74" s="15"/>
      <c r="EH74" s="184"/>
      <c r="EI74" s="15"/>
      <c r="EJ74" s="15"/>
      <c r="EK74" s="15"/>
      <c r="EL74" s="15"/>
      <c r="EM74" s="15"/>
      <c r="EN74" s="15"/>
      <c r="EO74" s="184"/>
      <c r="EP74" s="15"/>
      <c r="EQ74" s="15"/>
      <c r="ER74" s="15"/>
      <c r="ES74" s="15"/>
      <c r="ET74" s="15"/>
      <c r="EU74" s="15"/>
      <c r="EV74" s="184"/>
      <c r="EW74" s="15"/>
      <c r="EX74" s="15"/>
      <c r="EY74" s="15"/>
      <c r="EZ74" s="15"/>
      <c r="FA74" s="15"/>
      <c r="FB74" s="15"/>
      <c r="FC74" s="184"/>
      <c r="FD74" s="15"/>
      <c r="FE74" s="15"/>
      <c r="FF74" s="15"/>
      <c r="FG74" s="15"/>
      <c r="FH74" s="15"/>
      <c r="FI74" s="15"/>
      <c r="FJ74" s="184"/>
      <c r="FK74" s="15"/>
      <c r="FL74" s="15"/>
      <c r="FM74" s="15"/>
      <c r="FN74" s="15"/>
      <c r="FO74" s="15"/>
      <c r="FP74" s="15"/>
      <c r="FQ74" s="184"/>
      <c r="FR74" s="15"/>
      <c r="FS74" s="15"/>
      <c r="FT74" s="15"/>
      <c r="FU74" s="15"/>
      <c r="FV74" s="15"/>
      <c r="FW74" s="178"/>
      <c r="FX74" s="184"/>
      <c r="FY74" s="181"/>
      <c r="FZ74" s="15"/>
      <c r="GA74" s="15"/>
      <c r="GB74" s="15"/>
      <c r="GC74" s="15"/>
      <c r="GD74" s="15"/>
      <c r="GE74" s="184"/>
      <c r="GF74" s="15"/>
      <c r="GG74" s="15"/>
      <c r="GH74" s="15"/>
      <c r="GI74" s="15"/>
      <c r="GJ74" s="15"/>
      <c r="GK74" s="15"/>
      <c r="GL74" s="184"/>
      <c r="GM74" s="15"/>
      <c r="GN74" s="15"/>
      <c r="GO74" s="15"/>
      <c r="GP74" s="15"/>
      <c r="GQ74" s="15"/>
      <c r="GR74" s="15"/>
      <c r="GS74" s="184"/>
      <c r="GT74" s="15"/>
      <c r="GU74" s="15"/>
      <c r="GV74" s="15"/>
      <c r="GW74" s="15"/>
      <c r="GX74" s="15"/>
      <c r="GY74" s="15"/>
      <c r="GZ74" s="184"/>
      <c r="HA74" s="15"/>
      <c r="HB74" s="15"/>
      <c r="HC74" s="15"/>
      <c r="HD74" s="15"/>
      <c r="HE74" s="15"/>
      <c r="HF74" s="15"/>
      <c r="HG74" s="184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  <c r="MG74" s="15"/>
      <c r="MH74" s="15"/>
      <c r="MI74" s="15"/>
      <c r="MJ74" s="15"/>
      <c r="MK74" s="15"/>
      <c r="ML74" s="15"/>
      <c r="MM74" s="15"/>
      <c r="MN74" s="15"/>
      <c r="MO74" s="15"/>
      <c r="MP74" s="15"/>
      <c r="MQ74" s="15"/>
      <c r="MR74" s="15"/>
      <c r="MS74" s="15"/>
      <c r="MT74" s="15"/>
      <c r="MU74" s="15"/>
      <c r="MV74" s="15"/>
      <c r="MW74" s="15"/>
      <c r="MX74" s="15"/>
      <c r="MY74" s="15"/>
      <c r="MZ74" s="15"/>
      <c r="NA74" s="15"/>
      <c r="NB74" s="15"/>
      <c r="NC74" s="15"/>
      <c r="ND74" s="15"/>
      <c r="NE74" s="15"/>
      <c r="NF74" s="15"/>
      <c r="NG74" s="15"/>
      <c r="NH74" s="15"/>
      <c r="NI74" s="15"/>
      <c r="NJ74" s="15"/>
      <c r="NK74" s="15"/>
      <c r="NL74" s="15"/>
      <c r="NM74" s="15"/>
      <c r="NN74" s="15"/>
      <c r="NO74" s="15"/>
      <c r="NP74" s="15"/>
      <c r="NQ74" s="15"/>
      <c r="NR74" s="15"/>
      <c r="NS74" s="15"/>
      <c r="NT74" s="15"/>
      <c r="NU74" s="15"/>
      <c r="NV74" s="15"/>
      <c r="NW74" s="15"/>
      <c r="NX74" s="15"/>
      <c r="NY74" s="15"/>
      <c r="NZ74" s="15"/>
    </row>
    <row r="75" spans="2:390" ht="19.5" customHeight="1" x14ac:dyDescent="0.45">
      <c r="B75" s="1">
        <f t="shared" si="55"/>
        <v>2</v>
      </c>
      <c r="C75" s="1">
        <f>+C74</f>
        <v>9</v>
      </c>
      <c r="D75" s="1">
        <f>+D74+1</f>
        <v>1</v>
      </c>
      <c r="E75" s="59" t="str">
        <f t="shared" si="56"/>
        <v>2.9.1</v>
      </c>
      <c r="F75" s="23" t="s">
        <v>88</v>
      </c>
      <c r="G75" s="23"/>
      <c r="H75" s="52" t="s">
        <v>117</v>
      </c>
      <c r="I75" s="118"/>
      <c r="J75" s="118"/>
      <c r="K75" s="119"/>
      <c r="L75" s="119"/>
      <c r="M75" s="120"/>
      <c r="N75" s="120"/>
      <c r="O75" s="121"/>
      <c r="P75" s="121"/>
      <c r="Q75" s="121"/>
      <c r="R75" s="187"/>
      <c r="S75" s="64"/>
      <c r="T75" s="155" t="str">
        <f t="shared" si="30"/>
        <v/>
      </c>
      <c r="U75" s="22"/>
      <c r="V75" s="199">
        <f t="shared" si="31"/>
        <v>0</v>
      </c>
      <c r="W75" s="158"/>
      <c r="X75" s="159"/>
      <c r="Y75" s="199">
        <f t="shared" si="32"/>
        <v>0</v>
      </c>
      <c r="Z75" s="36"/>
      <c r="AA75" s="15"/>
      <c r="AB75" s="15"/>
      <c r="AC75" s="15"/>
      <c r="AD75" s="15"/>
      <c r="AE75" s="15"/>
      <c r="AF75" s="15"/>
      <c r="AG75" s="184"/>
      <c r="AH75" s="15"/>
      <c r="AI75" s="15"/>
      <c r="AJ75" s="15"/>
      <c r="AK75" s="15"/>
      <c r="AL75" s="15"/>
      <c r="AM75" s="15"/>
      <c r="AN75" s="184"/>
      <c r="AO75" s="15"/>
      <c r="AP75" s="15"/>
      <c r="AQ75" s="15"/>
      <c r="AR75" s="15"/>
      <c r="AS75" s="15"/>
      <c r="AT75" s="15"/>
      <c r="AU75" s="184"/>
      <c r="AV75" s="15"/>
      <c r="AW75" s="15"/>
      <c r="AX75" s="15"/>
      <c r="AY75" s="15"/>
      <c r="AZ75" s="15"/>
      <c r="BA75" s="15"/>
      <c r="BB75" s="184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84"/>
      <c r="CE75" s="15"/>
      <c r="CF75" s="15"/>
      <c r="CG75" s="15"/>
      <c r="CH75" s="15"/>
      <c r="CI75" s="15"/>
      <c r="CJ75" s="15"/>
      <c r="CK75" s="184"/>
      <c r="CL75" s="15"/>
      <c r="CM75" s="15"/>
      <c r="CN75" s="15"/>
      <c r="CO75" s="15"/>
      <c r="CP75" s="15"/>
      <c r="CQ75" s="15"/>
      <c r="CR75" s="184"/>
      <c r="CS75" s="15"/>
      <c r="CT75" s="15"/>
      <c r="CU75" s="15"/>
      <c r="CV75" s="15"/>
      <c r="CW75" s="15"/>
      <c r="CX75" s="15"/>
      <c r="CY75" s="184"/>
      <c r="CZ75" s="15"/>
      <c r="DA75" s="15"/>
      <c r="DB75" s="15"/>
      <c r="DC75" s="15"/>
      <c r="DD75" s="15"/>
      <c r="DE75" s="15"/>
      <c r="DF75" s="184"/>
      <c r="DG75" s="15"/>
      <c r="DH75" s="15"/>
      <c r="DI75" s="15"/>
      <c r="DJ75" s="15"/>
      <c r="DK75" s="15"/>
      <c r="DL75" s="15"/>
      <c r="DM75" s="184"/>
      <c r="DN75" s="15"/>
      <c r="DO75" s="15"/>
      <c r="DP75" s="15"/>
      <c r="DQ75" s="15"/>
      <c r="DR75" s="15"/>
      <c r="DS75" s="15"/>
      <c r="DT75" s="184"/>
      <c r="DU75" s="15"/>
      <c r="DV75" s="15"/>
      <c r="DW75" s="15"/>
      <c r="DX75" s="15"/>
      <c r="DY75" s="15"/>
      <c r="DZ75" s="15"/>
      <c r="EA75" s="184"/>
      <c r="EB75" s="15"/>
      <c r="EC75" s="15"/>
      <c r="ED75" s="15"/>
      <c r="EE75" s="15"/>
      <c r="EF75" s="15"/>
      <c r="EG75" s="15"/>
      <c r="EH75" s="184"/>
      <c r="EI75" s="15"/>
      <c r="EJ75" s="15"/>
      <c r="EK75" s="15"/>
      <c r="EL75" s="15"/>
      <c r="EM75" s="15"/>
      <c r="EN75" s="15"/>
      <c r="EO75" s="184"/>
      <c r="EP75" s="15"/>
      <c r="EQ75" s="15"/>
      <c r="ER75" s="15"/>
      <c r="ES75" s="15"/>
      <c r="ET75" s="15"/>
      <c r="EU75" s="15"/>
      <c r="EV75" s="184"/>
      <c r="EW75" s="15"/>
      <c r="EX75" s="15"/>
      <c r="EY75" s="15"/>
      <c r="EZ75" s="15"/>
      <c r="FA75" s="15"/>
      <c r="FB75" s="15"/>
      <c r="FC75" s="184"/>
      <c r="FD75" s="15"/>
      <c r="FE75" s="15"/>
      <c r="FF75" s="15"/>
      <c r="FG75" s="15"/>
      <c r="FH75" s="15"/>
      <c r="FI75" s="15"/>
      <c r="FJ75" s="184"/>
      <c r="FK75" s="15"/>
      <c r="FL75" s="15"/>
      <c r="FM75" s="15"/>
      <c r="FN75" s="15"/>
      <c r="FO75" s="15"/>
      <c r="FP75" s="15"/>
      <c r="FQ75" s="184"/>
      <c r="FR75" s="15"/>
      <c r="FS75" s="15"/>
      <c r="FT75" s="15"/>
      <c r="FU75" s="15"/>
      <c r="FV75" s="15"/>
      <c r="FW75" s="178"/>
      <c r="FX75" s="184"/>
      <c r="FY75" s="181"/>
      <c r="FZ75" s="15"/>
      <c r="GA75" s="15"/>
      <c r="GB75" s="15"/>
      <c r="GC75" s="15"/>
      <c r="GD75" s="15"/>
      <c r="GE75" s="184"/>
      <c r="GF75" s="15"/>
      <c r="GG75" s="15"/>
      <c r="GH75" s="15"/>
      <c r="GI75" s="15"/>
      <c r="GJ75" s="15"/>
      <c r="GK75" s="15"/>
      <c r="GL75" s="184"/>
      <c r="GM75" s="15"/>
      <c r="GN75" s="15"/>
      <c r="GO75" s="15"/>
      <c r="GP75" s="15"/>
      <c r="GQ75" s="15"/>
      <c r="GR75" s="15"/>
      <c r="GS75" s="184"/>
      <c r="GT75" s="15"/>
      <c r="GU75" s="15"/>
      <c r="GV75" s="15"/>
      <c r="GW75" s="15"/>
      <c r="GX75" s="15"/>
      <c r="GY75" s="15"/>
      <c r="GZ75" s="184"/>
      <c r="HA75" s="15"/>
      <c r="HB75" s="15"/>
      <c r="HC75" s="15"/>
      <c r="HD75" s="15"/>
      <c r="HE75" s="15"/>
      <c r="HF75" s="15"/>
      <c r="HG75" s="184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  <c r="MG75" s="15"/>
      <c r="MH75" s="15"/>
      <c r="MI75" s="15"/>
      <c r="MJ75" s="15"/>
      <c r="MK75" s="15"/>
      <c r="ML75" s="15"/>
      <c r="MM75" s="15"/>
      <c r="MN75" s="15"/>
      <c r="MO75" s="15"/>
      <c r="MP75" s="15"/>
      <c r="MQ75" s="15"/>
      <c r="MR75" s="15"/>
      <c r="MS75" s="15"/>
      <c r="MT75" s="15"/>
      <c r="MU75" s="15"/>
      <c r="MV75" s="15"/>
      <c r="MW75" s="15"/>
      <c r="MX75" s="15"/>
      <c r="MY75" s="15"/>
      <c r="MZ75" s="15"/>
      <c r="NA75" s="15"/>
      <c r="NB75" s="15"/>
      <c r="NC75" s="15"/>
      <c r="ND75" s="15"/>
      <c r="NE75" s="15"/>
      <c r="NF75" s="15"/>
      <c r="NG75" s="15"/>
      <c r="NH75" s="15"/>
      <c r="NI75" s="15"/>
      <c r="NJ75" s="15"/>
      <c r="NK75" s="15"/>
      <c r="NL75" s="15"/>
      <c r="NM75" s="15"/>
      <c r="NN75" s="15"/>
      <c r="NO75" s="15"/>
      <c r="NP75" s="15"/>
      <c r="NQ75" s="15"/>
      <c r="NR75" s="15"/>
      <c r="NS75" s="15"/>
      <c r="NT75" s="15"/>
      <c r="NU75" s="15"/>
      <c r="NV75" s="15"/>
      <c r="NW75" s="15"/>
      <c r="NX75" s="15"/>
      <c r="NY75" s="15"/>
      <c r="NZ75" s="15"/>
    </row>
    <row r="76" spans="2:390" ht="19.5" customHeight="1" x14ac:dyDescent="0.45">
      <c r="B76" s="1">
        <f t="shared" si="55"/>
        <v>2</v>
      </c>
      <c r="C76" s="1">
        <f>+C75</f>
        <v>9</v>
      </c>
      <c r="D76" s="1">
        <f>+D75+1</f>
        <v>2</v>
      </c>
      <c r="E76" s="59" t="str">
        <f t="shared" si="56"/>
        <v>2.9.2</v>
      </c>
      <c r="F76" s="23" t="s">
        <v>89</v>
      </c>
      <c r="G76" s="23"/>
      <c r="H76" s="73" t="s">
        <v>119</v>
      </c>
      <c r="I76" s="195"/>
      <c r="J76" s="122"/>
      <c r="K76" s="123"/>
      <c r="L76" s="123"/>
      <c r="M76" s="124"/>
      <c r="N76" s="124"/>
      <c r="O76" s="125"/>
      <c r="P76" s="125"/>
      <c r="Q76" s="125"/>
      <c r="R76" s="187"/>
      <c r="S76" s="64"/>
      <c r="T76" s="155" t="str">
        <f t="shared" si="30"/>
        <v/>
      </c>
      <c r="U76" s="22"/>
      <c r="V76" s="199">
        <f t="shared" si="31"/>
        <v>0</v>
      </c>
      <c r="W76" s="158"/>
      <c r="X76" s="159"/>
      <c r="Y76" s="199">
        <f t="shared" si="32"/>
        <v>0</v>
      </c>
      <c r="Z76" s="36"/>
      <c r="AA76" s="15"/>
      <c r="AB76" s="15"/>
      <c r="AC76" s="15"/>
      <c r="AD76" s="15"/>
      <c r="AE76" s="15"/>
      <c r="AF76" s="15"/>
      <c r="AG76" s="184"/>
      <c r="AH76" s="15"/>
      <c r="AI76" s="15"/>
      <c r="AJ76" s="15"/>
      <c r="AK76" s="15"/>
      <c r="AL76" s="15"/>
      <c r="AM76" s="15"/>
      <c r="AN76" s="184"/>
      <c r="AO76" s="15"/>
      <c r="AP76" s="15"/>
      <c r="AQ76" s="15"/>
      <c r="AR76" s="15"/>
      <c r="AS76" s="15"/>
      <c r="AT76" s="15"/>
      <c r="AU76" s="184"/>
      <c r="AV76" s="15"/>
      <c r="AW76" s="15"/>
      <c r="AX76" s="15"/>
      <c r="AY76" s="15"/>
      <c r="AZ76" s="15"/>
      <c r="BA76" s="15"/>
      <c r="BB76" s="184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84"/>
      <c r="CE76" s="15"/>
      <c r="CF76" s="15"/>
      <c r="CG76" s="15"/>
      <c r="CH76" s="15"/>
      <c r="CI76" s="15"/>
      <c r="CJ76" s="15"/>
      <c r="CK76" s="184"/>
      <c r="CL76" s="15"/>
      <c r="CM76" s="15"/>
      <c r="CN76" s="15"/>
      <c r="CO76" s="15"/>
      <c r="CP76" s="15"/>
      <c r="CQ76" s="15"/>
      <c r="CR76" s="184"/>
      <c r="CS76" s="15"/>
      <c r="CT76" s="15"/>
      <c r="CU76" s="15"/>
      <c r="CV76" s="15"/>
      <c r="CW76" s="15"/>
      <c r="CX76" s="15"/>
      <c r="CY76" s="184"/>
      <c r="CZ76" s="15"/>
      <c r="DA76" s="15"/>
      <c r="DB76" s="15"/>
      <c r="DC76" s="15"/>
      <c r="DD76" s="15"/>
      <c r="DE76" s="15"/>
      <c r="DF76" s="184"/>
      <c r="DG76" s="15"/>
      <c r="DH76" s="15"/>
      <c r="DI76" s="15"/>
      <c r="DJ76" s="15"/>
      <c r="DK76" s="15"/>
      <c r="DL76" s="15"/>
      <c r="DM76" s="184"/>
      <c r="DN76" s="15"/>
      <c r="DO76" s="15"/>
      <c r="DP76" s="15"/>
      <c r="DQ76" s="15"/>
      <c r="DR76" s="15"/>
      <c r="DS76" s="15"/>
      <c r="DT76" s="184"/>
      <c r="DU76" s="15"/>
      <c r="DV76" s="15"/>
      <c r="DW76" s="15"/>
      <c r="DX76" s="15"/>
      <c r="DY76" s="15"/>
      <c r="DZ76" s="15"/>
      <c r="EA76" s="184"/>
      <c r="EB76" s="15"/>
      <c r="EC76" s="15"/>
      <c r="ED76" s="15"/>
      <c r="EE76" s="15"/>
      <c r="EF76" s="15"/>
      <c r="EG76" s="15"/>
      <c r="EH76" s="184"/>
      <c r="EI76" s="15"/>
      <c r="EJ76" s="15"/>
      <c r="EK76" s="15"/>
      <c r="EL76" s="15"/>
      <c r="EM76" s="15"/>
      <c r="EN76" s="15"/>
      <c r="EO76" s="184"/>
      <c r="EP76" s="15"/>
      <c r="EQ76" s="15"/>
      <c r="ER76" s="15"/>
      <c r="ES76" s="15"/>
      <c r="ET76" s="15"/>
      <c r="EU76" s="15"/>
      <c r="EV76" s="184"/>
      <c r="EW76" s="15"/>
      <c r="EX76" s="15"/>
      <c r="EY76" s="15"/>
      <c r="EZ76" s="15"/>
      <c r="FA76" s="15"/>
      <c r="FB76" s="15"/>
      <c r="FC76" s="184"/>
      <c r="FD76" s="15"/>
      <c r="FE76" s="15"/>
      <c r="FF76" s="15"/>
      <c r="FG76" s="15"/>
      <c r="FH76" s="15"/>
      <c r="FI76" s="15"/>
      <c r="FJ76" s="184"/>
      <c r="FK76" s="15"/>
      <c r="FL76" s="15"/>
      <c r="FM76" s="15"/>
      <c r="FN76" s="15"/>
      <c r="FO76" s="15"/>
      <c r="FP76" s="15"/>
      <c r="FQ76" s="184"/>
      <c r="FR76" s="15"/>
      <c r="FS76" s="15"/>
      <c r="FT76" s="15"/>
      <c r="FU76" s="15"/>
      <c r="FV76" s="15"/>
      <c r="FW76" s="178"/>
      <c r="FX76" s="184"/>
      <c r="FY76" s="181"/>
      <c r="FZ76" s="15"/>
      <c r="GA76" s="15"/>
      <c r="GB76" s="15"/>
      <c r="GC76" s="15"/>
      <c r="GD76" s="15"/>
      <c r="GE76" s="184"/>
      <c r="GF76" s="15"/>
      <c r="GG76" s="15"/>
      <c r="GH76" s="15"/>
      <c r="GI76" s="15"/>
      <c r="GJ76" s="15"/>
      <c r="GK76" s="15"/>
      <c r="GL76" s="184"/>
      <c r="GM76" s="15"/>
      <c r="GN76" s="15"/>
      <c r="GO76" s="15"/>
      <c r="GP76" s="15"/>
      <c r="GQ76" s="15"/>
      <c r="GR76" s="15"/>
      <c r="GS76" s="184"/>
      <c r="GT76" s="15"/>
      <c r="GU76" s="15"/>
      <c r="GV76" s="15"/>
      <c r="GW76" s="15"/>
      <c r="GX76" s="15"/>
      <c r="GY76" s="15"/>
      <c r="GZ76" s="184"/>
      <c r="HA76" s="15"/>
      <c r="HB76" s="15"/>
      <c r="HC76" s="15"/>
      <c r="HD76" s="15"/>
      <c r="HE76" s="15"/>
      <c r="HF76" s="15"/>
      <c r="HG76" s="184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/>
      <c r="MM76" s="15"/>
      <c r="MN76" s="15"/>
      <c r="MO76" s="15"/>
      <c r="MP76" s="15"/>
      <c r="MQ76" s="15"/>
      <c r="MR76" s="15"/>
      <c r="MS76" s="15"/>
      <c r="MT76" s="15"/>
      <c r="MU76" s="15"/>
      <c r="MV76" s="15"/>
      <c r="MW76" s="15"/>
      <c r="MX76" s="15"/>
      <c r="MY76" s="15"/>
      <c r="MZ76" s="15"/>
      <c r="NA76" s="15"/>
      <c r="NB76" s="15"/>
      <c r="NC76" s="15"/>
      <c r="ND76" s="15"/>
      <c r="NE76" s="15"/>
      <c r="NF76" s="15"/>
      <c r="NG76" s="15"/>
      <c r="NH76" s="15"/>
      <c r="NI76" s="15"/>
      <c r="NJ76" s="15"/>
      <c r="NK76" s="15"/>
      <c r="NL76" s="15"/>
      <c r="NM76" s="15"/>
      <c r="NN76" s="15"/>
      <c r="NO76" s="15"/>
      <c r="NP76" s="15"/>
      <c r="NQ76" s="15"/>
      <c r="NR76" s="15"/>
      <c r="NS76" s="15"/>
      <c r="NT76" s="15"/>
      <c r="NU76" s="15"/>
      <c r="NV76" s="15"/>
      <c r="NW76" s="15"/>
      <c r="NX76" s="15"/>
      <c r="NY76" s="15"/>
      <c r="NZ76" s="15"/>
    </row>
    <row r="77" spans="2:390" ht="19.5" customHeight="1" x14ac:dyDescent="0.45">
      <c r="B77" s="1">
        <f t="shared" si="55"/>
        <v>2</v>
      </c>
      <c r="C77" s="1">
        <f>+C76</f>
        <v>9</v>
      </c>
      <c r="D77" s="1">
        <f>+D76+1</f>
        <v>3</v>
      </c>
      <c r="E77" s="59" t="str">
        <f t="shared" si="56"/>
        <v>2.9.3</v>
      </c>
      <c r="F77" s="23" t="s">
        <v>90</v>
      </c>
      <c r="G77" s="23"/>
      <c r="H77" s="52" t="s">
        <v>117</v>
      </c>
      <c r="I77" s="52"/>
      <c r="J77" s="52">
        <v>2</v>
      </c>
      <c r="K77" s="52">
        <v>0</v>
      </c>
      <c r="L77" s="52">
        <f>+J77-K77</f>
        <v>2</v>
      </c>
      <c r="M77" s="52"/>
      <c r="N77" s="52"/>
      <c r="O77" s="51">
        <f t="shared" ref="O77:O84" si="57">+N77*M77</f>
        <v>0</v>
      </c>
      <c r="P77" s="51">
        <f>+SUM(AA77:NZ77)</f>
        <v>0</v>
      </c>
      <c r="Q77" s="51">
        <f>+O77-P77</f>
        <v>0</v>
      </c>
      <c r="R77" s="187"/>
      <c r="S77" s="64"/>
      <c r="T77" s="155" t="str">
        <f t="shared" si="30"/>
        <v/>
      </c>
      <c r="U77" s="22">
        <f>+K77/J77</f>
        <v>0</v>
      </c>
      <c r="V77" s="199">
        <f t="shared" si="31"/>
        <v>0</v>
      </c>
      <c r="W77" s="158"/>
      <c r="X77" s="159"/>
      <c r="Y77" s="199">
        <f t="shared" si="32"/>
        <v>0</v>
      </c>
      <c r="Z77" s="36"/>
      <c r="AA77" s="15"/>
      <c r="AB77" s="15"/>
      <c r="AC77" s="15"/>
      <c r="AD77" s="15"/>
      <c r="AE77" s="15"/>
      <c r="AF77" s="15"/>
      <c r="AG77" s="184"/>
      <c r="AH77" s="15"/>
      <c r="AI77" s="15"/>
      <c r="AJ77" s="15"/>
      <c r="AK77" s="15"/>
      <c r="AL77" s="15"/>
      <c r="AM77" s="15"/>
      <c r="AN77" s="184"/>
      <c r="AO77" s="15"/>
      <c r="AP77" s="15"/>
      <c r="AQ77" s="15"/>
      <c r="AR77" s="15"/>
      <c r="AS77" s="15"/>
      <c r="AT77" s="15"/>
      <c r="AU77" s="184"/>
      <c r="AV77" s="15"/>
      <c r="AW77" s="15"/>
      <c r="AX77" s="15"/>
      <c r="AY77" s="15"/>
      <c r="AZ77" s="15"/>
      <c r="BA77" s="15"/>
      <c r="BB77" s="184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84"/>
      <c r="CE77" s="15"/>
      <c r="CF77" s="15"/>
      <c r="CG77" s="15"/>
      <c r="CH77" s="15"/>
      <c r="CI77" s="15"/>
      <c r="CJ77" s="15"/>
      <c r="CK77" s="184"/>
      <c r="CL77" s="15"/>
      <c r="CM77" s="15"/>
      <c r="CN77" s="15"/>
      <c r="CO77" s="15"/>
      <c r="CP77" s="15"/>
      <c r="CQ77" s="15"/>
      <c r="CR77" s="184"/>
      <c r="CS77" s="15"/>
      <c r="CT77" s="15"/>
      <c r="CU77" s="15"/>
      <c r="CV77" s="15"/>
      <c r="CW77" s="15"/>
      <c r="CX77" s="15"/>
      <c r="CY77" s="184"/>
      <c r="CZ77" s="15"/>
      <c r="DA77" s="15"/>
      <c r="DB77" s="15"/>
      <c r="DC77" s="15"/>
      <c r="DD77" s="15"/>
      <c r="DE77" s="15"/>
      <c r="DF77" s="184"/>
      <c r="DG77" s="15"/>
      <c r="DH77" s="15"/>
      <c r="DI77" s="15"/>
      <c r="DJ77" s="15"/>
      <c r="DK77" s="15"/>
      <c r="DL77" s="15"/>
      <c r="DM77" s="184"/>
      <c r="DN77" s="15"/>
      <c r="DO77" s="15"/>
      <c r="DP77" s="15"/>
      <c r="DQ77" s="15"/>
      <c r="DR77" s="15"/>
      <c r="DS77" s="15"/>
      <c r="DT77" s="184"/>
      <c r="DU77" s="15"/>
      <c r="DV77" s="15"/>
      <c r="DW77" s="15"/>
      <c r="DX77" s="15"/>
      <c r="DY77" s="15"/>
      <c r="DZ77" s="15"/>
      <c r="EA77" s="184"/>
      <c r="EB77" s="15"/>
      <c r="EC77" s="15"/>
      <c r="ED77" s="15"/>
      <c r="EE77" s="15"/>
      <c r="EF77" s="15"/>
      <c r="EG77" s="15"/>
      <c r="EH77" s="184"/>
      <c r="EI77" s="15"/>
      <c r="EJ77" s="15"/>
      <c r="EK77" s="15"/>
      <c r="EL77" s="15"/>
      <c r="EM77" s="15"/>
      <c r="EN77" s="15"/>
      <c r="EO77" s="184"/>
      <c r="EP77" s="15"/>
      <c r="EQ77" s="15"/>
      <c r="ER77" s="15"/>
      <c r="ES77" s="15"/>
      <c r="ET77" s="15"/>
      <c r="EU77" s="15"/>
      <c r="EV77" s="184"/>
      <c r="EW77" s="15"/>
      <c r="EX77" s="15"/>
      <c r="EY77" s="15"/>
      <c r="EZ77" s="15"/>
      <c r="FA77" s="15"/>
      <c r="FB77" s="15"/>
      <c r="FC77" s="184"/>
      <c r="FD77" s="15"/>
      <c r="FE77" s="15"/>
      <c r="FF77" s="15"/>
      <c r="FG77" s="15"/>
      <c r="FH77" s="15"/>
      <c r="FI77" s="15"/>
      <c r="FJ77" s="184"/>
      <c r="FK77" s="15"/>
      <c r="FL77" s="15"/>
      <c r="FM77" s="15"/>
      <c r="FN77" s="15"/>
      <c r="FO77" s="15"/>
      <c r="FP77" s="15"/>
      <c r="FQ77" s="184"/>
      <c r="FR77" s="15"/>
      <c r="FS77" s="15"/>
      <c r="FT77" s="15"/>
      <c r="FU77" s="15"/>
      <c r="FV77" s="15"/>
      <c r="FW77" s="178"/>
      <c r="FX77" s="184"/>
      <c r="FY77" s="181"/>
      <c r="FZ77" s="15"/>
      <c r="GA77" s="15"/>
      <c r="GB77" s="15"/>
      <c r="GC77" s="15"/>
      <c r="GD77" s="15"/>
      <c r="GE77" s="184"/>
      <c r="GF77" s="15"/>
      <c r="GG77" s="15"/>
      <c r="GH77" s="15"/>
      <c r="GI77" s="15"/>
      <c r="GJ77" s="15"/>
      <c r="GK77" s="15"/>
      <c r="GL77" s="184"/>
      <c r="GM77" s="15"/>
      <c r="GN77" s="15"/>
      <c r="GO77" s="15"/>
      <c r="GP77" s="15"/>
      <c r="GQ77" s="15"/>
      <c r="GR77" s="15"/>
      <c r="GS77" s="184"/>
      <c r="GT77" s="15"/>
      <c r="GU77" s="15"/>
      <c r="GV77" s="15"/>
      <c r="GW77" s="15"/>
      <c r="GX77" s="15"/>
      <c r="GY77" s="15"/>
      <c r="GZ77" s="184"/>
      <c r="HA77" s="15"/>
      <c r="HB77" s="15"/>
      <c r="HC77" s="15"/>
      <c r="HD77" s="15"/>
      <c r="HE77" s="15"/>
      <c r="HF77" s="15"/>
      <c r="HG77" s="184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/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</row>
    <row r="78" spans="2:390" ht="19.5" customHeight="1" x14ac:dyDescent="0.45">
      <c r="B78" s="1">
        <f t="shared" si="55"/>
        <v>2</v>
      </c>
      <c r="C78" s="1">
        <f>+C77</f>
        <v>9</v>
      </c>
      <c r="D78" s="1">
        <f>+D77+1</f>
        <v>4</v>
      </c>
      <c r="E78" s="59" t="str">
        <f t="shared" si="56"/>
        <v>2.9.4</v>
      </c>
      <c r="F78" s="23" t="s">
        <v>91</v>
      </c>
      <c r="G78" s="191">
        <v>1.6</v>
      </c>
      <c r="H78" s="52" t="s">
        <v>117</v>
      </c>
      <c r="I78" s="52" t="s">
        <v>157</v>
      </c>
      <c r="J78" s="52">
        <v>2</v>
      </c>
      <c r="K78" s="52">
        <v>0</v>
      </c>
      <c r="L78" s="52">
        <f>+J78-K78</f>
        <v>2</v>
      </c>
      <c r="M78" s="52">
        <v>2</v>
      </c>
      <c r="N78" s="52">
        <v>5</v>
      </c>
      <c r="O78" s="51">
        <f t="shared" si="57"/>
        <v>10</v>
      </c>
      <c r="P78" s="51">
        <f>+SUM(AA78:NZ78)</f>
        <v>12</v>
      </c>
      <c r="Q78" s="51">
        <f>+O78-P78</f>
        <v>-2</v>
      </c>
      <c r="R78" s="19">
        <v>46069</v>
      </c>
      <c r="S78" s="20">
        <v>5</v>
      </c>
      <c r="T78" s="21">
        <f t="shared" si="30"/>
        <v>46073</v>
      </c>
      <c r="U78" s="22">
        <f>+K78/J78</f>
        <v>0</v>
      </c>
      <c r="V78" s="199">
        <f t="shared" si="31"/>
        <v>0</v>
      </c>
      <c r="W78" s="158">
        <f t="shared" ref="W78:W86" si="58">SUMIFS($AA78:$NZ78, $AA$8:$NZ$8, $W$12)/$O78</f>
        <v>0</v>
      </c>
      <c r="X78" s="159">
        <f t="shared" ref="X78:X86" si="59">SUMIF($AA$9:$NZ$9, "&lt;=" &amp; $W$11,$AA78:$NZ78)/$O78</f>
        <v>0</v>
      </c>
      <c r="Y78" s="199">
        <f t="shared" si="32"/>
        <v>0</v>
      </c>
      <c r="Z78" s="36"/>
      <c r="AA78" s="15"/>
      <c r="AB78" s="15"/>
      <c r="AC78" s="15"/>
      <c r="AD78" s="15"/>
      <c r="AE78" s="15"/>
      <c r="AF78" s="15"/>
      <c r="AG78" s="184"/>
      <c r="AH78" s="15"/>
      <c r="AI78" s="15"/>
      <c r="AJ78" s="15"/>
      <c r="AK78" s="15"/>
      <c r="AL78" s="15"/>
      <c r="AM78" s="15"/>
      <c r="AN78" s="184"/>
      <c r="AO78" s="15"/>
      <c r="AP78" s="15"/>
      <c r="AQ78" s="15"/>
      <c r="AR78" s="15"/>
      <c r="AS78" s="15"/>
      <c r="AT78" s="15"/>
      <c r="AU78" s="184"/>
      <c r="AV78" s="15"/>
      <c r="AW78" s="15"/>
      <c r="AX78" s="15"/>
      <c r="AY78" s="15"/>
      <c r="AZ78" s="15"/>
      <c r="BA78" s="15"/>
      <c r="BB78" s="184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84"/>
      <c r="CE78" s="15"/>
      <c r="CF78" s="15"/>
      <c r="CG78" s="15"/>
      <c r="CH78" s="15"/>
      <c r="CI78" s="15"/>
      <c r="CJ78" s="15"/>
      <c r="CK78" s="184"/>
      <c r="CL78" s="15"/>
      <c r="CM78" s="15"/>
      <c r="CN78" s="15"/>
      <c r="CO78" s="15"/>
      <c r="CP78" s="15"/>
      <c r="CQ78" s="15"/>
      <c r="CR78" s="184"/>
      <c r="CS78" s="15"/>
      <c r="CT78" s="15"/>
      <c r="CU78" s="15"/>
      <c r="CV78" s="15"/>
      <c r="CW78" s="15"/>
      <c r="CX78" s="15"/>
      <c r="CY78" s="184"/>
      <c r="CZ78" s="15"/>
      <c r="DA78" s="15"/>
      <c r="DB78" s="15"/>
      <c r="DC78" s="15"/>
      <c r="DD78" s="15"/>
      <c r="DE78" s="15"/>
      <c r="DF78" s="184"/>
      <c r="DG78" s="15">
        <v>2</v>
      </c>
      <c r="DH78" s="15">
        <v>2</v>
      </c>
      <c r="DI78" s="15">
        <v>2</v>
      </c>
      <c r="DJ78" s="15">
        <v>2</v>
      </c>
      <c r="DK78" s="15">
        <v>2</v>
      </c>
      <c r="DL78" s="15">
        <v>2</v>
      </c>
      <c r="DM78" s="184"/>
      <c r="DN78" s="15"/>
      <c r="DO78" s="15"/>
      <c r="DP78" s="15"/>
      <c r="DQ78" s="15"/>
      <c r="DR78" s="15"/>
      <c r="DS78" s="15"/>
      <c r="DT78" s="184"/>
      <c r="DU78" s="15"/>
      <c r="DV78" s="15"/>
      <c r="DW78" s="15"/>
      <c r="DX78" s="15"/>
      <c r="DY78" s="15"/>
      <c r="DZ78" s="15"/>
      <c r="EA78" s="184"/>
      <c r="EB78" s="15"/>
      <c r="EC78" s="15"/>
      <c r="ED78" s="15"/>
      <c r="EE78" s="15"/>
      <c r="EF78" s="15"/>
      <c r="EG78" s="15"/>
      <c r="EH78" s="184"/>
      <c r="EI78" s="15"/>
      <c r="EJ78" s="15"/>
      <c r="EK78" s="15"/>
      <c r="EL78" s="15"/>
      <c r="EM78" s="15"/>
      <c r="EN78" s="15"/>
      <c r="EO78" s="184"/>
      <c r="EP78" s="15"/>
      <c r="EQ78" s="15"/>
      <c r="ER78" s="15"/>
      <c r="ES78" s="15"/>
      <c r="ET78" s="15"/>
      <c r="EU78" s="15"/>
      <c r="EV78" s="184"/>
      <c r="EW78" s="15"/>
      <c r="EX78" s="15"/>
      <c r="EY78" s="15"/>
      <c r="EZ78" s="15"/>
      <c r="FA78" s="15"/>
      <c r="FB78" s="15"/>
      <c r="FC78" s="184"/>
      <c r="FD78" s="15"/>
      <c r="FE78" s="15"/>
      <c r="FF78" s="15"/>
      <c r="FG78" s="15"/>
      <c r="FH78" s="15"/>
      <c r="FI78" s="15"/>
      <c r="FJ78" s="184"/>
      <c r="FK78" s="15"/>
      <c r="FL78" s="15"/>
      <c r="FM78" s="15"/>
      <c r="FN78" s="15"/>
      <c r="FO78" s="15"/>
      <c r="FP78" s="15"/>
      <c r="FQ78" s="184"/>
      <c r="FR78" s="15"/>
      <c r="FS78" s="15"/>
      <c r="FT78" s="15"/>
      <c r="FU78" s="15"/>
      <c r="FV78" s="15"/>
      <c r="FW78" s="178"/>
      <c r="FX78" s="184"/>
      <c r="FY78" s="181"/>
      <c r="FZ78" s="15"/>
      <c r="GA78" s="15"/>
      <c r="GB78" s="15"/>
      <c r="GC78" s="15"/>
      <c r="GD78" s="15"/>
      <c r="GE78" s="184"/>
      <c r="GF78" s="15"/>
      <c r="GG78" s="15"/>
      <c r="GH78" s="15"/>
      <c r="GI78" s="15"/>
      <c r="GJ78" s="15"/>
      <c r="GK78" s="15"/>
      <c r="GL78" s="184"/>
      <c r="GM78" s="15"/>
      <c r="GN78" s="15"/>
      <c r="GO78" s="15"/>
      <c r="GP78" s="15"/>
      <c r="GQ78" s="15"/>
      <c r="GR78" s="15"/>
      <c r="GS78" s="184"/>
      <c r="GT78" s="15"/>
      <c r="GU78" s="15"/>
      <c r="GV78" s="15"/>
      <c r="GW78" s="15"/>
      <c r="GX78" s="15"/>
      <c r="GY78" s="15"/>
      <c r="GZ78" s="184"/>
      <c r="HA78" s="15"/>
      <c r="HB78" s="15"/>
      <c r="HC78" s="15"/>
      <c r="HD78" s="15"/>
      <c r="HE78" s="15"/>
      <c r="HF78" s="15"/>
      <c r="HG78" s="184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  <c r="MG78" s="15"/>
      <c r="MH78" s="15"/>
      <c r="MI78" s="15"/>
      <c r="MJ78" s="15"/>
      <c r="MK78" s="15"/>
      <c r="ML78" s="15"/>
      <c r="MM78" s="15"/>
      <c r="MN78" s="15"/>
      <c r="MO78" s="15"/>
      <c r="MP78" s="15"/>
      <c r="MQ78" s="15"/>
      <c r="MR78" s="15"/>
      <c r="MS78" s="15"/>
      <c r="MT78" s="15"/>
      <c r="MU78" s="15"/>
      <c r="MV78" s="15"/>
      <c r="MW78" s="15"/>
      <c r="MX78" s="15"/>
      <c r="MY78" s="15"/>
      <c r="MZ78" s="15"/>
      <c r="NA78" s="15"/>
      <c r="NB78" s="15"/>
      <c r="NC78" s="15"/>
      <c r="ND78" s="15"/>
      <c r="NE78" s="15"/>
      <c r="NF78" s="15"/>
      <c r="NG78" s="15"/>
      <c r="NH78" s="15"/>
      <c r="NI78" s="15"/>
      <c r="NJ78" s="15"/>
      <c r="NK78" s="15"/>
      <c r="NL78" s="15"/>
      <c r="NM78" s="15"/>
      <c r="NN78" s="15"/>
      <c r="NO78" s="15"/>
      <c r="NP78" s="15"/>
      <c r="NQ78" s="15"/>
      <c r="NR78" s="15"/>
      <c r="NS78" s="15"/>
      <c r="NT78" s="15"/>
      <c r="NU78" s="15"/>
      <c r="NV78" s="15"/>
      <c r="NW78" s="15"/>
      <c r="NX78" s="15"/>
      <c r="NY78" s="15"/>
      <c r="NZ78" s="15"/>
    </row>
    <row r="79" spans="2:390" ht="19.5" customHeight="1" x14ac:dyDescent="0.45">
      <c r="B79" s="1">
        <f t="shared" ref="B79:B84" si="60">+B78</f>
        <v>2</v>
      </c>
      <c r="C79" s="1">
        <f>+C78+1</f>
        <v>10</v>
      </c>
      <c r="D79" s="1">
        <v>0</v>
      </c>
      <c r="E79" s="93" t="str">
        <f t="shared" si="56"/>
        <v>2.10.0</v>
      </c>
      <c r="F79" s="99" t="s">
        <v>28</v>
      </c>
      <c r="G79" s="108"/>
      <c r="H79" s="97" t="s">
        <v>117</v>
      </c>
      <c r="I79" s="97" t="s">
        <v>158</v>
      </c>
      <c r="J79" s="97">
        <v>36</v>
      </c>
      <c r="K79" s="97">
        <v>0</v>
      </c>
      <c r="L79" s="97">
        <f>+J79-K79</f>
        <v>36</v>
      </c>
      <c r="M79" s="97">
        <v>4</v>
      </c>
      <c r="N79" s="97">
        <v>12</v>
      </c>
      <c r="O79" s="95">
        <f t="shared" si="57"/>
        <v>48</v>
      </c>
      <c r="P79" s="95"/>
      <c r="Q79" s="95"/>
      <c r="R79" s="153"/>
      <c r="S79" s="154"/>
      <c r="T79" s="155" t="str">
        <f t="shared" ref="T79:T142" si="61">IF(S79&lt;&gt;"",IF($Z$9="x",WORKDAY(IF(WEEKDAY(R79,1)=7,R79+2,IF(WEEKDAY(R79,1)=1,R79+1,R79)),S79-1),R79+S79-1),"")</f>
        <v/>
      </c>
      <c r="U79" s="164">
        <f>+K79/J79</f>
        <v>0</v>
      </c>
      <c r="V79" s="200">
        <f t="shared" ref="V79:V142" si="62">+U79*O79</f>
        <v>0</v>
      </c>
      <c r="W79" s="158">
        <f t="shared" si="58"/>
        <v>0</v>
      </c>
      <c r="X79" s="159">
        <f t="shared" si="59"/>
        <v>0</v>
      </c>
      <c r="Y79" s="199">
        <f t="shared" ref="Y79:Y142" si="63">+X79*O79</f>
        <v>0</v>
      </c>
      <c r="Z79" s="36"/>
      <c r="AA79" s="15"/>
      <c r="AB79" s="15"/>
      <c r="AC79" s="15"/>
      <c r="AD79" s="15"/>
      <c r="AE79" s="15"/>
      <c r="AF79" s="15"/>
      <c r="AG79" s="184"/>
      <c r="AH79" s="15"/>
      <c r="AI79" s="15"/>
      <c r="AJ79" s="15"/>
      <c r="AK79" s="15"/>
      <c r="AL79" s="15"/>
      <c r="AM79" s="15"/>
      <c r="AN79" s="184"/>
      <c r="AO79" s="15"/>
      <c r="AP79" s="15"/>
      <c r="AQ79" s="15"/>
      <c r="AR79" s="15"/>
      <c r="AS79" s="15"/>
      <c r="AT79" s="15"/>
      <c r="AU79" s="184"/>
      <c r="AV79" s="15"/>
      <c r="AW79" s="15"/>
      <c r="AX79" s="15"/>
      <c r="AY79" s="15"/>
      <c r="AZ79" s="15"/>
      <c r="BA79" s="15"/>
      <c r="BB79" s="184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84"/>
      <c r="CE79" s="15"/>
      <c r="CF79" s="15"/>
      <c r="CG79" s="15"/>
      <c r="CH79" s="15"/>
      <c r="CI79" s="15"/>
      <c r="CJ79" s="15"/>
      <c r="CK79" s="184"/>
      <c r="CL79" s="15"/>
      <c r="CM79" s="15"/>
      <c r="CN79" s="15"/>
      <c r="CO79" s="15"/>
      <c r="CP79" s="15"/>
      <c r="CQ79" s="15"/>
      <c r="CR79" s="184"/>
      <c r="CS79" s="15"/>
      <c r="CT79" s="15"/>
      <c r="CU79" s="15"/>
      <c r="CV79" s="15"/>
      <c r="CW79" s="15"/>
      <c r="CX79" s="15"/>
      <c r="CY79" s="184"/>
      <c r="CZ79" s="15"/>
      <c r="DA79" s="15"/>
      <c r="DB79" s="15"/>
      <c r="DC79" s="15"/>
      <c r="DD79" s="15"/>
      <c r="DE79" s="15"/>
      <c r="DF79" s="184"/>
      <c r="DG79" s="15"/>
      <c r="DH79" s="15"/>
      <c r="DI79" s="15"/>
      <c r="DJ79" s="15"/>
      <c r="DK79" s="15"/>
      <c r="DL79" s="15"/>
      <c r="DM79" s="184"/>
      <c r="DN79" s="15"/>
      <c r="DO79" s="15"/>
      <c r="DP79" s="15"/>
      <c r="DQ79" s="15"/>
      <c r="DR79" s="15"/>
      <c r="DS79" s="15"/>
      <c r="DT79" s="184"/>
      <c r="DU79" s="15"/>
      <c r="DV79" s="15"/>
      <c r="DW79" s="15"/>
      <c r="DX79" s="15"/>
      <c r="DY79" s="15"/>
      <c r="DZ79" s="15"/>
      <c r="EA79" s="184"/>
      <c r="EB79" s="15"/>
      <c r="EC79" s="15"/>
      <c r="ED79" s="15"/>
      <c r="EE79" s="15"/>
      <c r="EF79" s="15"/>
      <c r="EG79" s="15"/>
      <c r="EH79" s="184"/>
      <c r="EI79" s="15"/>
      <c r="EJ79" s="15"/>
      <c r="EK79" s="15"/>
      <c r="EL79" s="15"/>
      <c r="EM79" s="15"/>
      <c r="EN79" s="15"/>
      <c r="EO79" s="184"/>
      <c r="EP79" s="15"/>
      <c r="EQ79" s="15"/>
      <c r="ER79" s="15"/>
      <c r="ES79" s="15"/>
      <c r="ET79" s="15"/>
      <c r="EU79" s="15"/>
      <c r="EV79" s="184"/>
      <c r="EW79" s="15"/>
      <c r="EX79" s="15"/>
      <c r="EY79" s="15"/>
      <c r="EZ79" s="15"/>
      <c r="FA79" s="15"/>
      <c r="FB79" s="15"/>
      <c r="FC79" s="184"/>
      <c r="FD79" s="15"/>
      <c r="FE79" s="15"/>
      <c r="FF79" s="15"/>
      <c r="FG79" s="15"/>
      <c r="FH79" s="15"/>
      <c r="FI79" s="15"/>
      <c r="FJ79" s="184"/>
      <c r="FK79" s="15"/>
      <c r="FL79" s="15"/>
      <c r="FM79" s="15"/>
      <c r="FN79" s="15"/>
      <c r="FO79" s="15"/>
      <c r="FP79" s="15"/>
      <c r="FQ79" s="184"/>
      <c r="FR79" s="15"/>
      <c r="FS79" s="15"/>
      <c r="FT79" s="15"/>
      <c r="FU79" s="15"/>
      <c r="FV79" s="15"/>
      <c r="FW79" s="178"/>
      <c r="FX79" s="184"/>
      <c r="FY79" s="181"/>
      <c r="FZ79" s="15"/>
      <c r="GA79" s="15"/>
      <c r="GB79" s="15"/>
      <c r="GC79" s="15"/>
      <c r="GD79" s="15"/>
      <c r="GE79" s="184"/>
      <c r="GF79" s="15"/>
      <c r="GG79" s="15"/>
      <c r="GH79" s="15"/>
      <c r="GI79" s="15"/>
      <c r="GJ79" s="15"/>
      <c r="GK79" s="15"/>
      <c r="GL79" s="184"/>
      <c r="GM79" s="15"/>
      <c r="GN79" s="15"/>
      <c r="GO79" s="15"/>
      <c r="GP79" s="15"/>
      <c r="GQ79" s="15"/>
      <c r="GR79" s="15"/>
      <c r="GS79" s="184"/>
      <c r="GT79" s="15"/>
      <c r="GU79" s="15"/>
      <c r="GV79" s="15"/>
      <c r="GW79" s="15"/>
      <c r="GX79" s="15"/>
      <c r="GY79" s="15"/>
      <c r="GZ79" s="184"/>
      <c r="HA79" s="15"/>
      <c r="HB79" s="15"/>
      <c r="HC79" s="15"/>
      <c r="HD79" s="15"/>
      <c r="HE79" s="15"/>
      <c r="HF79" s="15"/>
      <c r="HG79" s="184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  <c r="MG79" s="15"/>
      <c r="MH79" s="15"/>
      <c r="MI79" s="15"/>
      <c r="MJ79" s="15"/>
      <c r="MK79" s="15"/>
      <c r="ML79" s="15"/>
      <c r="MM79" s="15"/>
      <c r="MN79" s="15"/>
      <c r="MO79" s="15"/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/>
      <c r="NG79" s="15"/>
      <c r="NH79" s="15"/>
      <c r="NI79" s="15"/>
      <c r="NJ79" s="15"/>
      <c r="NK79" s="15"/>
      <c r="NL79" s="15"/>
      <c r="NM79" s="15"/>
      <c r="NN79" s="15"/>
      <c r="NO79" s="15"/>
      <c r="NP79" s="15"/>
      <c r="NQ79" s="15"/>
      <c r="NR79" s="15"/>
      <c r="NS79" s="15"/>
      <c r="NT79" s="15"/>
      <c r="NU79" s="15"/>
      <c r="NV79" s="15"/>
      <c r="NW79" s="15"/>
      <c r="NX79" s="15"/>
      <c r="NY79" s="15"/>
      <c r="NZ79" s="15"/>
    </row>
    <row r="80" spans="2:390" ht="19.5" customHeight="1" x14ac:dyDescent="0.45">
      <c r="B80" s="1">
        <f t="shared" si="60"/>
        <v>2</v>
      </c>
      <c r="C80" s="1">
        <f>+C79+1</f>
        <v>11</v>
      </c>
      <c r="D80" s="1">
        <v>0</v>
      </c>
      <c r="E80" s="93" t="str">
        <f t="shared" si="56"/>
        <v>2.11.0</v>
      </c>
      <c r="F80" s="99" t="s">
        <v>114</v>
      </c>
      <c r="G80" s="108"/>
      <c r="H80" s="97" t="s">
        <v>117</v>
      </c>
      <c r="I80" s="97" t="s">
        <v>157</v>
      </c>
      <c r="J80" s="97">
        <v>6</v>
      </c>
      <c r="K80" s="97">
        <v>0</v>
      </c>
      <c r="L80" s="97">
        <f>+J80-K80</f>
        <v>6</v>
      </c>
      <c r="M80" s="97">
        <v>4</v>
      </c>
      <c r="N80" s="97">
        <v>6</v>
      </c>
      <c r="O80" s="95">
        <f t="shared" si="57"/>
        <v>24</v>
      </c>
      <c r="P80" s="95"/>
      <c r="Q80" s="95"/>
      <c r="R80" s="153"/>
      <c r="S80" s="154"/>
      <c r="T80" s="155" t="str">
        <f t="shared" si="61"/>
        <v/>
      </c>
      <c r="U80" s="164">
        <f>+K80/J80</f>
        <v>0</v>
      </c>
      <c r="V80" s="200">
        <f t="shared" si="62"/>
        <v>0</v>
      </c>
      <c r="W80" s="158">
        <f t="shared" si="58"/>
        <v>0</v>
      </c>
      <c r="X80" s="159">
        <f t="shared" si="59"/>
        <v>0</v>
      </c>
      <c r="Y80" s="199">
        <f t="shared" si="63"/>
        <v>0</v>
      </c>
      <c r="Z80" s="36"/>
      <c r="AA80" s="15"/>
      <c r="AB80" s="15"/>
      <c r="AC80" s="15"/>
      <c r="AD80" s="15"/>
      <c r="AE80" s="15"/>
      <c r="AF80" s="15"/>
      <c r="AG80" s="184"/>
      <c r="AH80" s="15"/>
      <c r="AI80" s="15"/>
      <c r="AJ80" s="15"/>
      <c r="AK80" s="15"/>
      <c r="AL80" s="15"/>
      <c r="AM80" s="15"/>
      <c r="AN80" s="184"/>
      <c r="AO80" s="15"/>
      <c r="AP80" s="15"/>
      <c r="AQ80" s="15"/>
      <c r="AR80" s="15"/>
      <c r="AS80" s="15"/>
      <c r="AT80" s="15"/>
      <c r="AU80" s="184"/>
      <c r="AV80" s="15"/>
      <c r="AW80" s="15"/>
      <c r="AX80" s="15"/>
      <c r="AY80" s="15"/>
      <c r="AZ80" s="15"/>
      <c r="BA80" s="15"/>
      <c r="BB80" s="184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84"/>
      <c r="CE80" s="15"/>
      <c r="CF80" s="15"/>
      <c r="CG80" s="15"/>
      <c r="CH80" s="15"/>
      <c r="CI80" s="15"/>
      <c r="CJ80" s="15"/>
      <c r="CK80" s="184"/>
      <c r="CL80" s="15"/>
      <c r="CM80" s="15"/>
      <c r="CN80" s="15"/>
      <c r="CO80" s="15"/>
      <c r="CP80" s="15"/>
      <c r="CQ80" s="15"/>
      <c r="CR80" s="184"/>
      <c r="CS80" s="15"/>
      <c r="CT80" s="15"/>
      <c r="CU80" s="15"/>
      <c r="CV80" s="15"/>
      <c r="CW80" s="15"/>
      <c r="CX80" s="15"/>
      <c r="CY80" s="184"/>
      <c r="CZ80" s="15"/>
      <c r="DA80" s="15"/>
      <c r="DB80" s="15"/>
      <c r="DC80" s="15"/>
      <c r="DD80" s="15"/>
      <c r="DE80" s="15"/>
      <c r="DF80" s="184"/>
      <c r="DG80" s="15"/>
      <c r="DH80" s="15"/>
      <c r="DI80" s="15"/>
      <c r="DJ80" s="15"/>
      <c r="DK80" s="15"/>
      <c r="DL80" s="15"/>
      <c r="DM80" s="184"/>
      <c r="DN80" s="15"/>
      <c r="DO80" s="15"/>
      <c r="DP80" s="15"/>
      <c r="DQ80" s="15"/>
      <c r="DR80" s="15"/>
      <c r="DS80" s="15"/>
      <c r="DT80" s="184"/>
      <c r="DU80" s="15"/>
      <c r="DV80" s="15"/>
      <c r="DW80" s="15"/>
      <c r="DX80" s="15"/>
      <c r="DY80" s="15"/>
      <c r="DZ80" s="15"/>
      <c r="EA80" s="184"/>
      <c r="EB80" s="15"/>
      <c r="EC80" s="15"/>
      <c r="ED80" s="15"/>
      <c r="EE80" s="15"/>
      <c r="EF80" s="15"/>
      <c r="EG80" s="15"/>
      <c r="EH80" s="184"/>
      <c r="EI80" s="15"/>
      <c r="EJ80" s="15"/>
      <c r="EK80" s="15"/>
      <c r="EL80" s="15"/>
      <c r="EM80" s="15"/>
      <c r="EN80" s="15"/>
      <c r="EO80" s="184"/>
      <c r="EP80" s="15"/>
      <c r="EQ80" s="15"/>
      <c r="ER80" s="15"/>
      <c r="ES80" s="15"/>
      <c r="ET80" s="15"/>
      <c r="EU80" s="15"/>
      <c r="EV80" s="184"/>
      <c r="EW80" s="15"/>
      <c r="EX80" s="15"/>
      <c r="EY80" s="15"/>
      <c r="EZ80" s="15"/>
      <c r="FA80" s="15"/>
      <c r="FB80" s="15"/>
      <c r="FC80" s="184"/>
      <c r="FD80" s="15"/>
      <c r="FE80" s="15"/>
      <c r="FF80" s="15"/>
      <c r="FG80" s="15"/>
      <c r="FH80" s="15"/>
      <c r="FI80" s="15"/>
      <c r="FJ80" s="184"/>
      <c r="FK80" s="15"/>
      <c r="FL80" s="15"/>
      <c r="FM80" s="15"/>
      <c r="FN80" s="15"/>
      <c r="FO80" s="15"/>
      <c r="FP80" s="15"/>
      <c r="FQ80" s="184"/>
      <c r="FR80" s="15"/>
      <c r="FS80" s="15"/>
      <c r="FT80" s="15"/>
      <c r="FU80" s="15"/>
      <c r="FV80" s="15"/>
      <c r="FW80" s="178"/>
      <c r="FX80" s="184"/>
      <c r="FY80" s="181"/>
      <c r="FZ80" s="15"/>
      <c r="GA80" s="15"/>
      <c r="GB80" s="15"/>
      <c r="GC80" s="15"/>
      <c r="GD80" s="15"/>
      <c r="GE80" s="184"/>
      <c r="GF80" s="15"/>
      <c r="GG80" s="15"/>
      <c r="GH80" s="15"/>
      <c r="GI80" s="15"/>
      <c r="GJ80" s="15"/>
      <c r="GK80" s="15"/>
      <c r="GL80" s="184"/>
      <c r="GM80" s="15"/>
      <c r="GN80" s="15"/>
      <c r="GO80" s="15"/>
      <c r="GP80" s="15"/>
      <c r="GQ80" s="15"/>
      <c r="GR80" s="15"/>
      <c r="GS80" s="184"/>
      <c r="GT80" s="15"/>
      <c r="GU80" s="15"/>
      <c r="GV80" s="15"/>
      <c r="GW80" s="15"/>
      <c r="GX80" s="15"/>
      <c r="GY80" s="15"/>
      <c r="GZ80" s="184"/>
      <c r="HA80" s="15"/>
      <c r="HB80" s="15"/>
      <c r="HC80" s="15"/>
      <c r="HD80" s="15"/>
      <c r="HE80" s="15"/>
      <c r="HF80" s="15"/>
      <c r="HG80" s="184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/>
      <c r="LI80" s="15"/>
      <c r="LJ80" s="15"/>
      <c r="LK80" s="15"/>
      <c r="LL80" s="15"/>
      <c r="LM80" s="15"/>
      <c r="LN80" s="15"/>
      <c r="LO80" s="15"/>
      <c r="LP80" s="15"/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  <c r="MG80" s="15"/>
      <c r="MH80" s="15"/>
      <c r="MI80" s="15"/>
      <c r="MJ80" s="15"/>
      <c r="MK80" s="15"/>
      <c r="ML80" s="15"/>
      <c r="MM80" s="15"/>
      <c r="MN80" s="15"/>
      <c r="MO80" s="15"/>
      <c r="MP80" s="15"/>
      <c r="MQ80" s="15"/>
      <c r="MR80" s="15"/>
      <c r="MS80" s="15"/>
      <c r="MT80" s="15"/>
      <c r="MU80" s="15"/>
      <c r="MV80" s="15"/>
      <c r="MW80" s="15"/>
      <c r="MX80" s="15"/>
      <c r="MY80" s="15"/>
      <c r="MZ80" s="15"/>
      <c r="NA80" s="15"/>
      <c r="NB80" s="15"/>
      <c r="NC80" s="15"/>
      <c r="ND80" s="15"/>
      <c r="NE80" s="15"/>
      <c r="NF80" s="15"/>
      <c r="NG80" s="15"/>
      <c r="NH80" s="15"/>
      <c r="NI80" s="15"/>
      <c r="NJ80" s="15"/>
      <c r="NK80" s="15"/>
      <c r="NL80" s="15"/>
      <c r="NM80" s="15"/>
      <c r="NN80" s="15"/>
      <c r="NO80" s="15"/>
      <c r="NP80" s="15"/>
      <c r="NQ80" s="15"/>
      <c r="NR80" s="15"/>
      <c r="NS80" s="15"/>
      <c r="NT80" s="15"/>
      <c r="NU80" s="15"/>
      <c r="NV80" s="15"/>
      <c r="NW80" s="15"/>
      <c r="NX80" s="15"/>
      <c r="NY80" s="15"/>
      <c r="NZ80" s="15"/>
    </row>
    <row r="81" spans="2:390" ht="19.5" customHeight="1" x14ac:dyDescent="0.45">
      <c r="B81" s="1">
        <f t="shared" si="60"/>
        <v>2</v>
      </c>
      <c r="C81" s="1">
        <f>+C80+1</f>
        <v>12</v>
      </c>
      <c r="D81" s="1">
        <v>0</v>
      </c>
      <c r="E81" s="93" t="str">
        <f t="shared" si="56"/>
        <v>2.12.0</v>
      </c>
      <c r="F81" s="99" t="s">
        <v>33</v>
      </c>
      <c r="G81" s="108"/>
      <c r="H81" s="109"/>
      <c r="I81" s="109"/>
      <c r="J81" s="110"/>
      <c r="K81" s="110"/>
      <c r="L81" s="110"/>
      <c r="M81" s="108"/>
      <c r="N81" s="108"/>
      <c r="O81" s="95">
        <f>SUM(O82:O84)</f>
        <v>588</v>
      </c>
      <c r="P81" s="95"/>
      <c r="Q81" s="95"/>
      <c r="R81" s="166"/>
      <c r="S81" s="167"/>
      <c r="T81" s="163" t="str">
        <f t="shared" si="61"/>
        <v/>
      </c>
      <c r="U81" s="164">
        <f>+SUMPRODUCT(U82:U84,O82:O84)/O81</f>
        <v>1.9988817444786134E-2</v>
      </c>
      <c r="V81" s="200">
        <f t="shared" si="62"/>
        <v>11.753424657534246</v>
      </c>
      <c r="W81" s="158">
        <f t="shared" si="58"/>
        <v>0</v>
      </c>
      <c r="X81" s="159">
        <f t="shared" si="59"/>
        <v>0</v>
      </c>
      <c r="Y81" s="199">
        <f t="shared" si="63"/>
        <v>0</v>
      </c>
      <c r="Z81" s="36"/>
      <c r="AA81" s="15"/>
      <c r="AB81" s="15"/>
      <c r="AC81" s="15"/>
      <c r="AD81" s="15"/>
      <c r="AE81" s="15"/>
      <c r="AF81" s="15"/>
      <c r="AG81" s="184"/>
      <c r="AH81" s="15"/>
      <c r="AI81" s="15"/>
      <c r="AJ81" s="15"/>
      <c r="AK81" s="15"/>
      <c r="AL81" s="15"/>
      <c r="AM81" s="15"/>
      <c r="AN81" s="184"/>
      <c r="AO81" s="15"/>
      <c r="AP81" s="15"/>
      <c r="AQ81" s="15"/>
      <c r="AR81" s="15"/>
      <c r="AS81" s="15"/>
      <c r="AT81" s="15"/>
      <c r="AU81" s="184"/>
      <c r="AV81" s="15"/>
      <c r="AW81" s="15"/>
      <c r="AX81" s="15"/>
      <c r="AY81" s="15"/>
      <c r="AZ81" s="15"/>
      <c r="BA81" s="15"/>
      <c r="BB81" s="184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84"/>
      <c r="CE81" s="15"/>
      <c r="CF81" s="15"/>
      <c r="CG81" s="15"/>
      <c r="CH81" s="15"/>
      <c r="CI81" s="15"/>
      <c r="CJ81" s="15"/>
      <c r="CK81" s="184"/>
      <c r="CL81" s="15"/>
      <c r="CM81" s="15"/>
      <c r="CN81" s="15"/>
      <c r="CO81" s="15"/>
      <c r="CP81" s="15"/>
      <c r="CQ81" s="15"/>
      <c r="CR81" s="184"/>
      <c r="CS81" s="15"/>
      <c r="CT81" s="15"/>
      <c r="CU81" s="15"/>
      <c r="CV81" s="15"/>
      <c r="CW81" s="15"/>
      <c r="CX81" s="15"/>
      <c r="CY81" s="184"/>
      <c r="CZ81" s="15"/>
      <c r="DA81" s="15"/>
      <c r="DB81" s="15"/>
      <c r="DC81" s="15"/>
      <c r="DD81" s="15"/>
      <c r="DE81" s="15"/>
      <c r="DF81" s="184"/>
      <c r="DG81" s="15"/>
      <c r="DH81" s="15"/>
      <c r="DI81" s="15"/>
      <c r="DJ81" s="15"/>
      <c r="DK81" s="15"/>
      <c r="DL81" s="15"/>
      <c r="DM81" s="184"/>
      <c r="DN81" s="15"/>
      <c r="DO81" s="15"/>
      <c r="DP81" s="15"/>
      <c r="DQ81" s="15"/>
      <c r="DR81" s="15"/>
      <c r="DS81" s="15"/>
      <c r="DT81" s="184"/>
      <c r="DU81" s="15"/>
      <c r="DV81" s="15"/>
      <c r="DW81" s="15"/>
      <c r="DX81" s="15"/>
      <c r="DY81" s="15"/>
      <c r="DZ81" s="15"/>
      <c r="EA81" s="184"/>
      <c r="EB81" s="15"/>
      <c r="EC81" s="15"/>
      <c r="ED81" s="15"/>
      <c r="EE81" s="15"/>
      <c r="EF81" s="15"/>
      <c r="EG81" s="15"/>
      <c r="EH81" s="184"/>
      <c r="EI81" s="15"/>
      <c r="EJ81" s="15"/>
      <c r="EK81" s="15"/>
      <c r="EL81" s="15"/>
      <c r="EM81" s="15"/>
      <c r="EN81" s="15"/>
      <c r="EO81" s="184"/>
      <c r="EP81" s="15"/>
      <c r="EQ81" s="15"/>
      <c r="ER81" s="15"/>
      <c r="ES81" s="15"/>
      <c r="ET81" s="15"/>
      <c r="EU81" s="15"/>
      <c r="EV81" s="184"/>
      <c r="EW81" s="15"/>
      <c r="EX81" s="15"/>
      <c r="EY81" s="15"/>
      <c r="EZ81" s="15"/>
      <c r="FA81" s="15"/>
      <c r="FB81" s="15"/>
      <c r="FC81" s="184"/>
      <c r="FD81" s="15"/>
      <c r="FE81" s="15"/>
      <c r="FF81" s="15"/>
      <c r="FG81" s="15"/>
      <c r="FH81" s="15"/>
      <c r="FI81" s="15"/>
      <c r="FJ81" s="184"/>
      <c r="FK81" s="15"/>
      <c r="FL81" s="15"/>
      <c r="FM81" s="15"/>
      <c r="FN81" s="15"/>
      <c r="FO81" s="15"/>
      <c r="FP81" s="15"/>
      <c r="FQ81" s="184"/>
      <c r="FR81" s="15"/>
      <c r="FS81" s="15"/>
      <c r="FT81" s="15"/>
      <c r="FU81" s="15"/>
      <c r="FV81" s="15"/>
      <c r="FW81" s="178"/>
      <c r="FX81" s="184"/>
      <c r="FY81" s="181"/>
      <c r="FZ81" s="15"/>
      <c r="GA81" s="15"/>
      <c r="GB81" s="15"/>
      <c r="GC81" s="15"/>
      <c r="GD81" s="15"/>
      <c r="GE81" s="184"/>
      <c r="GF81" s="15"/>
      <c r="GG81" s="15"/>
      <c r="GH81" s="15"/>
      <c r="GI81" s="15"/>
      <c r="GJ81" s="15"/>
      <c r="GK81" s="15"/>
      <c r="GL81" s="184"/>
      <c r="GM81" s="15"/>
      <c r="GN81" s="15"/>
      <c r="GO81" s="15"/>
      <c r="GP81" s="15"/>
      <c r="GQ81" s="15"/>
      <c r="GR81" s="15"/>
      <c r="GS81" s="184"/>
      <c r="GT81" s="15"/>
      <c r="GU81" s="15"/>
      <c r="GV81" s="15"/>
      <c r="GW81" s="15"/>
      <c r="GX81" s="15"/>
      <c r="GY81" s="15"/>
      <c r="GZ81" s="184"/>
      <c r="HA81" s="15"/>
      <c r="HB81" s="15"/>
      <c r="HC81" s="15"/>
      <c r="HD81" s="15"/>
      <c r="HE81" s="15"/>
      <c r="HF81" s="15"/>
      <c r="HG81" s="184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/>
      <c r="KE81" s="15"/>
      <c r="KF81" s="15"/>
      <c r="KG81" s="15"/>
      <c r="KH81" s="15"/>
      <c r="KI81" s="15"/>
      <c r="KJ81" s="15"/>
      <c r="KK81" s="15"/>
      <c r="KL81" s="15"/>
      <c r="KM81" s="15"/>
      <c r="KN81" s="15"/>
      <c r="KO81" s="15"/>
      <c r="KP81" s="15"/>
      <c r="KQ81" s="15"/>
      <c r="KR81" s="15"/>
      <c r="KS81" s="15"/>
      <c r="KT81" s="15"/>
      <c r="KU81" s="15"/>
      <c r="KV81" s="15"/>
      <c r="KW81" s="15"/>
      <c r="KX81" s="15"/>
      <c r="KY81" s="15"/>
      <c r="KZ81" s="15"/>
      <c r="LA81" s="15"/>
      <c r="LB81" s="15"/>
      <c r="LC81" s="15"/>
      <c r="LD81" s="15"/>
      <c r="LE81" s="15"/>
      <c r="LF81" s="15"/>
      <c r="LG81" s="15"/>
      <c r="LH81" s="15"/>
      <c r="LI81" s="15"/>
      <c r="LJ81" s="15"/>
      <c r="LK81" s="15"/>
      <c r="LL81" s="15"/>
      <c r="LM81" s="15"/>
      <c r="LN81" s="15"/>
      <c r="LO81" s="15"/>
      <c r="LP81" s="15"/>
      <c r="LQ81" s="15"/>
      <c r="LR81" s="15"/>
      <c r="LS81" s="15"/>
      <c r="LT81" s="15"/>
      <c r="LU81" s="15"/>
      <c r="LV81" s="15"/>
      <c r="LW81" s="15"/>
      <c r="LX81" s="15"/>
      <c r="LY81" s="15"/>
      <c r="LZ81" s="15"/>
      <c r="MA81" s="15"/>
      <c r="MB81" s="15"/>
      <c r="MC81" s="15"/>
      <c r="MD81" s="15"/>
      <c r="ME81" s="15"/>
      <c r="MF81" s="15"/>
      <c r="MG81" s="15"/>
      <c r="MH81" s="15"/>
      <c r="MI81" s="15"/>
      <c r="MJ81" s="15"/>
      <c r="MK81" s="15"/>
      <c r="ML81" s="15"/>
      <c r="MM81" s="15"/>
      <c r="MN81" s="15"/>
      <c r="MO81" s="15"/>
      <c r="MP81" s="15"/>
      <c r="MQ81" s="15"/>
      <c r="MR81" s="15"/>
      <c r="MS81" s="15"/>
      <c r="MT81" s="15"/>
      <c r="MU81" s="15"/>
      <c r="MV81" s="15"/>
      <c r="MW81" s="15"/>
      <c r="MX81" s="15"/>
      <c r="MY81" s="15"/>
      <c r="MZ81" s="15"/>
      <c r="NA81" s="15"/>
      <c r="NB81" s="15"/>
      <c r="NC81" s="15"/>
      <c r="ND81" s="15"/>
      <c r="NE81" s="15"/>
      <c r="NF81" s="15"/>
      <c r="NG81" s="15"/>
      <c r="NH81" s="15"/>
      <c r="NI81" s="15"/>
      <c r="NJ81" s="15"/>
      <c r="NK81" s="15"/>
      <c r="NL81" s="15"/>
      <c r="NM81" s="15"/>
      <c r="NN81" s="15"/>
      <c r="NO81" s="15"/>
      <c r="NP81" s="15"/>
      <c r="NQ81" s="15"/>
      <c r="NR81" s="15"/>
      <c r="NS81" s="15"/>
      <c r="NT81" s="15"/>
      <c r="NU81" s="15"/>
      <c r="NV81" s="15"/>
      <c r="NW81" s="15"/>
      <c r="NX81" s="15"/>
      <c r="NY81" s="15"/>
      <c r="NZ81" s="15"/>
    </row>
    <row r="82" spans="2:390" ht="19.5" customHeight="1" x14ac:dyDescent="0.45">
      <c r="B82" s="1">
        <f t="shared" si="60"/>
        <v>2</v>
      </c>
      <c r="C82" s="1">
        <f>+C81</f>
        <v>12</v>
      </c>
      <c r="D82" s="1">
        <f>+D81+1</f>
        <v>1</v>
      </c>
      <c r="E82" s="59" t="str">
        <f t="shared" si="56"/>
        <v>2.12.1</v>
      </c>
      <c r="F82" s="23" t="s">
        <v>82</v>
      </c>
      <c r="G82" s="191">
        <v>2.6</v>
      </c>
      <c r="H82" s="52" t="s">
        <v>117</v>
      </c>
      <c r="I82" s="52" t="s">
        <v>158</v>
      </c>
      <c r="J82" s="52">
        <v>146</v>
      </c>
      <c r="K82" s="52">
        <v>143</v>
      </c>
      <c r="L82" s="52">
        <f>+J82-K82</f>
        <v>3</v>
      </c>
      <c r="M82" s="20">
        <v>4</v>
      </c>
      <c r="N82" s="20">
        <v>3</v>
      </c>
      <c r="O82" s="51">
        <f t="shared" si="57"/>
        <v>12</v>
      </c>
      <c r="P82" s="51">
        <f>+SUM(AA82:NZ82)</f>
        <v>12</v>
      </c>
      <c r="Q82" s="51">
        <f>+O82-P82</f>
        <v>0</v>
      </c>
      <c r="R82" s="79">
        <v>46107</v>
      </c>
      <c r="S82" s="80">
        <v>2</v>
      </c>
      <c r="T82" s="21">
        <f t="shared" si="61"/>
        <v>46108</v>
      </c>
      <c r="U82" s="22">
        <f>+K82/J82</f>
        <v>0.97945205479452058</v>
      </c>
      <c r="V82" s="199">
        <f t="shared" si="62"/>
        <v>11.753424657534246</v>
      </c>
      <c r="W82" s="158">
        <f t="shared" si="58"/>
        <v>0</v>
      </c>
      <c r="X82" s="159">
        <f t="shared" si="59"/>
        <v>0</v>
      </c>
      <c r="Y82" s="199">
        <f t="shared" si="63"/>
        <v>0</v>
      </c>
      <c r="Z82" s="36"/>
      <c r="AA82" s="15"/>
      <c r="AB82" s="15"/>
      <c r="AC82" s="15"/>
      <c r="AD82" s="15"/>
      <c r="AE82" s="15"/>
      <c r="AF82" s="15"/>
      <c r="AG82" s="184"/>
      <c r="AH82" s="15"/>
      <c r="AI82" s="15"/>
      <c r="AJ82" s="15"/>
      <c r="AK82" s="15"/>
      <c r="AL82" s="15"/>
      <c r="AM82" s="15"/>
      <c r="AN82" s="184"/>
      <c r="AO82" s="15"/>
      <c r="AP82" s="15"/>
      <c r="AQ82" s="15"/>
      <c r="AR82" s="15"/>
      <c r="AS82" s="15"/>
      <c r="AT82" s="15"/>
      <c r="AU82" s="184"/>
      <c r="AV82" s="15"/>
      <c r="AW82" s="15"/>
      <c r="AX82" s="15"/>
      <c r="AY82" s="15"/>
      <c r="AZ82" s="15"/>
      <c r="BA82" s="15"/>
      <c r="BB82" s="184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84"/>
      <c r="CE82" s="15"/>
      <c r="CF82" s="15"/>
      <c r="CG82" s="15"/>
      <c r="CH82" s="15"/>
      <c r="CI82" s="15"/>
      <c r="CJ82" s="15"/>
      <c r="CK82" s="184"/>
      <c r="CL82" s="15"/>
      <c r="CM82" s="15"/>
      <c r="CN82" s="15"/>
      <c r="CO82" s="15"/>
      <c r="CP82" s="15"/>
      <c r="CQ82" s="15"/>
      <c r="CR82" s="184"/>
      <c r="CS82" s="15"/>
      <c r="CT82" s="15"/>
      <c r="CU82" s="15"/>
      <c r="CV82" s="15"/>
      <c r="CW82" s="15"/>
      <c r="CX82" s="15"/>
      <c r="CY82" s="184"/>
      <c r="CZ82" s="15"/>
      <c r="DA82" s="15"/>
      <c r="DB82" s="15"/>
      <c r="DC82" s="15"/>
      <c r="DD82" s="15"/>
      <c r="DE82" s="15"/>
      <c r="DF82" s="184"/>
      <c r="DG82" s="15"/>
      <c r="DH82" s="15"/>
      <c r="DI82" s="15"/>
      <c r="DJ82" s="15"/>
      <c r="DK82" s="15"/>
      <c r="DL82" s="15"/>
      <c r="DM82" s="184"/>
      <c r="DN82" s="15"/>
      <c r="DO82" s="15"/>
      <c r="DP82" s="15"/>
      <c r="DQ82" s="15"/>
      <c r="DR82" s="15"/>
      <c r="DS82" s="15"/>
      <c r="DT82" s="184"/>
      <c r="DU82" s="15"/>
      <c r="DV82" s="15"/>
      <c r="DW82" s="15"/>
      <c r="DX82" s="15"/>
      <c r="DY82" s="15"/>
      <c r="DZ82" s="15"/>
      <c r="EA82" s="184"/>
      <c r="EB82" s="15"/>
      <c r="EC82" s="15"/>
      <c r="ED82" s="15"/>
      <c r="EE82" s="15"/>
      <c r="EF82" s="15"/>
      <c r="EG82" s="15"/>
      <c r="EH82" s="184"/>
      <c r="EI82" s="15"/>
      <c r="EJ82" s="15"/>
      <c r="EK82" s="15"/>
      <c r="EL82" s="15"/>
      <c r="EM82" s="15"/>
      <c r="EN82" s="15"/>
      <c r="EO82" s="184"/>
      <c r="EP82" s="15"/>
      <c r="EQ82" s="15"/>
      <c r="ER82" s="15"/>
      <c r="ES82" s="15">
        <v>4</v>
      </c>
      <c r="ET82" s="15">
        <v>4</v>
      </c>
      <c r="EU82" s="15">
        <v>4</v>
      </c>
      <c r="EV82" s="184"/>
      <c r="EW82" s="15"/>
      <c r="EX82" s="15"/>
      <c r="EY82" s="15"/>
      <c r="EZ82" s="15"/>
      <c r="FA82" s="15"/>
      <c r="FB82" s="15"/>
      <c r="FC82" s="184"/>
      <c r="FD82" s="15"/>
      <c r="FE82" s="15"/>
      <c r="FF82" s="15"/>
      <c r="FG82" s="15"/>
      <c r="FH82" s="15"/>
      <c r="FI82" s="15"/>
      <c r="FJ82" s="184"/>
      <c r="FK82" s="15"/>
      <c r="FL82" s="15"/>
      <c r="FM82" s="15"/>
      <c r="FN82" s="15"/>
      <c r="FO82" s="15"/>
      <c r="FP82" s="15"/>
      <c r="FQ82" s="184"/>
      <c r="FR82" s="15"/>
      <c r="FS82" s="15"/>
      <c r="FT82" s="15"/>
      <c r="FU82" s="15"/>
      <c r="FV82" s="15"/>
      <c r="FW82" s="178"/>
      <c r="FX82" s="184"/>
      <c r="FY82" s="181"/>
      <c r="FZ82" s="15"/>
      <c r="GA82" s="15"/>
      <c r="GB82" s="15"/>
      <c r="GC82" s="15"/>
      <c r="GD82" s="15"/>
      <c r="GE82" s="184"/>
      <c r="GF82" s="15"/>
      <c r="GG82" s="15"/>
      <c r="GH82" s="15"/>
      <c r="GI82" s="15"/>
      <c r="GJ82" s="15"/>
      <c r="GK82" s="15"/>
      <c r="GL82" s="184"/>
      <c r="GM82" s="15"/>
      <c r="GN82" s="15"/>
      <c r="GO82" s="15"/>
      <c r="GP82" s="15"/>
      <c r="GQ82" s="15"/>
      <c r="GR82" s="15"/>
      <c r="GS82" s="184"/>
      <c r="GT82" s="15"/>
      <c r="GU82" s="15"/>
      <c r="GV82" s="15"/>
      <c r="GW82" s="15"/>
      <c r="GX82" s="15"/>
      <c r="GY82" s="15"/>
      <c r="GZ82" s="184"/>
      <c r="HA82" s="15"/>
      <c r="HB82" s="15"/>
      <c r="HC82" s="15"/>
      <c r="HD82" s="15"/>
      <c r="HE82" s="15"/>
      <c r="HF82" s="15"/>
      <c r="HG82" s="184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  <c r="MG82" s="15"/>
      <c r="MH82" s="15"/>
      <c r="MI82" s="15"/>
      <c r="MJ82" s="15"/>
      <c r="MK82" s="15"/>
      <c r="ML82" s="15"/>
      <c r="MM82" s="15"/>
      <c r="MN82" s="15"/>
      <c r="MO82" s="15"/>
      <c r="MP82" s="15"/>
      <c r="MQ82" s="15"/>
      <c r="MR82" s="15"/>
      <c r="MS82" s="15"/>
      <c r="MT82" s="15"/>
      <c r="MU82" s="15"/>
      <c r="MV82" s="15"/>
      <c r="MW82" s="15"/>
      <c r="MX82" s="15"/>
      <c r="MY82" s="15"/>
      <c r="MZ82" s="15"/>
      <c r="NA82" s="15"/>
      <c r="NB82" s="15"/>
      <c r="NC82" s="15"/>
      <c r="ND82" s="15"/>
      <c r="NE82" s="15"/>
      <c r="NF82" s="15"/>
      <c r="NG82" s="15"/>
      <c r="NH82" s="15"/>
      <c r="NI82" s="15"/>
      <c r="NJ82" s="15"/>
      <c r="NK82" s="15"/>
      <c r="NL82" s="15"/>
      <c r="NM82" s="15"/>
      <c r="NN82" s="15"/>
      <c r="NO82" s="15"/>
      <c r="NP82" s="15"/>
      <c r="NQ82" s="15"/>
      <c r="NR82" s="15"/>
      <c r="NS82" s="15"/>
      <c r="NT82" s="15"/>
      <c r="NU82" s="15"/>
      <c r="NV82" s="15"/>
      <c r="NW82" s="15"/>
      <c r="NX82" s="15"/>
      <c r="NY82" s="15"/>
      <c r="NZ82" s="15"/>
    </row>
    <row r="83" spans="2:390" ht="19.5" customHeight="1" x14ac:dyDescent="0.45">
      <c r="B83" s="1">
        <f t="shared" si="60"/>
        <v>2</v>
      </c>
      <c r="C83" s="1">
        <f>+C82</f>
        <v>12</v>
      </c>
      <c r="D83" s="1">
        <f>+D82+1</f>
        <v>2</v>
      </c>
      <c r="E83" s="59" t="str">
        <f t="shared" si="56"/>
        <v>2.12.2</v>
      </c>
      <c r="F83" s="23" t="s">
        <v>29</v>
      </c>
      <c r="G83" s="191">
        <v>2.5</v>
      </c>
      <c r="H83" s="52" t="s">
        <v>117</v>
      </c>
      <c r="I83" s="52" t="s">
        <v>156</v>
      </c>
      <c r="J83" s="52">
        <v>1</v>
      </c>
      <c r="K83" s="52">
        <v>0</v>
      </c>
      <c r="L83" s="52">
        <f>+J83-K83</f>
        <v>1</v>
      </c>
      <c r="M83" s="20">
        <v>10</v>
      </c>
      <c r="N83" s="20">
        <v>48</v>
      </c>
      <c r="O83" s="51">
        <f>+N83*M83</f>
        <v>480</v>
      </c>
      <c r="P83" s="51">
        <f>+SUM(AA83:NZ83)</f>
        <v>480</v>
      </c>
      <c r="Q83" s="51">
        <f>+O83-P83</f>
        <v>0</v>
      </c>
      <c r="R83" s="79">
        <v>46055</v>
      </c>
      <c r="S83" s="80">
        <v>40</v>
      </c>
      <c r="T83" s="21">
        <f t="shared" si="61"/>
        <v>46108</v>
      </c>
      <c r="U83" s="22">
        <f>+K83/J83</f>
        <v>0</v>
      </c>
      <c r="V83" s="199">
        <f t="shared" si="62"/>
        <v>0</v>
      </c>
      <c r="W83" s="158">
        <f t="shared" si="58"/>
        <v>0</v>
      </c>
      <c r="X83" s="159">
        <f t="shared" si="59"/>
        <v>0</v>
      </c>
      <c r="Y83" s="199">
        <f t="shared" si="63"/>
        <v>0</v>
      </c>
      <c r="Z83" s="36"/>
      <c r="AA83" s="15"/>
      <c r="AB83" s="15"/>
      <c r="AC83" s="15"/>
      <c r="AD83" s="15"/>
      <c r="AE83" s="15"/>
      <c r="AF83" s="15"/>
      <c r="AG83" s="184"/>
      <c r="AH83" s="15"/>
      <c r="AI83" s="15"/>
      <c r="AJ83" s="15"/>
      <c r="AK83" s="15"/>
      <c r="AL83" s="15"/>
      <c r="AM83" s="15"/>
      <c r="AN83" s="184"/>
      <c r="AO83" s="15"/>
      <c r="AP83" s="15"/>
      <c r="AQ83" s="15"/>
      <c r="AR83" s="15"/>
      <c r="AS83" s="15"/>
      <c r="AT83" s="15"/>
      <c r="AU83" s="184"/>
      <c r="AV83" s="15"/>
      <c r="AW83" s="15"/>
      <c r="AX83" s="15"/>
      <c r="AY83" s="15"/>
      <c r="AZ83" s="15"/>
      <c r="BA83" s="15"/>
      <c r="BB83" s="184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84"/>
      <c r="CE83" s="15"/>
      <c r="CF83" s="15"/>
      <c r="CG83" s="15"/>
      <c r="CH83" s="15"/>
      <c r="CI83" s="15"/>
      <c r="CJ83" s="15"/>
      <c r="CK83" s="184"/>
      <c r="CL83" s="15"/>
      <c r="CM83" s="15"/>
      <c r="CN83" s="15"/>
      <c r="CO83" s="15"/>
      <c r="CP83" s="15"/>
      <c r="CQ83" s="15"/>
      <c r="CR83" s="184"/>
      <c r="CS83" s="15">
        <v>10</v>
      </c>
      <c r="CT83" s="15">
        <v>10</v>
      </c>
      <c r="CU83" s="15">
        <v>10</v>
      </c>
      <c r="CV83" s="15">
        <v>10</v>
      </c>
      <c r="CW83" s="15">
        <v>10</v>
      </c>
      <c r="CX83" s="15">
        <v>10</v>
      </c>
      <c r="CY83" s="184"/>
      <c r="CZ83" s="15">
        <v>10</v>
      </c>
      <c r="DA83" s="15">
        <v>10</v>
      </c>
      <c r="DB83" s="15">
        <v>10</v>
      </c>
      <c r="DC83" s="15">
        <v>10</v>
      </c>
      <c r="DD83" s="15">
        <v>10</v>
      </c>
      <c r="DE83" s="15">
        <v>10</v>
      </c>
      <c r="DF83" s="184"/>
      <c r="DG83" s="15">
        <v>10</v>
      </c>
      <c r="DH83" s="15">
        <v>10</v>
      </c>
      <c r="DI83" s="15">
        <v>10</v>
      </c>
      <c r="DJ83" s="15">
        <v>10</v>
      </c>
      <c r="DK83" s="15">
        <v>10</v>
      </c>
      <c r="DL83" s="15">
        <v>10</v>
      </c>
      <c r="DM83" s="184"/>
      <c r="DN83" s="15">
        <v>10</v>
      </c>
      <c r="DO83" s="15">
        <v>10</v>
      </c>
      <c r="DP83" s="15">
        <v>10</v>
      </c>
      <c r="DQ83" s="15">
        <v>10</v>
      </c>
      <c r="DR83" s="15">
        <v>10</v>
      </c>
      <c r="DS83" s="15">
        <v>10</v>
      </c>
      <c r="DT83" s="184"/>
      <c r="DU83" s="15">
        <v>10</v>
      </c>
      <c r="DV83" s="15">
        <v>10</v>
      </c>
      <c r="DW83" s="15">
        <v>10</v>
      </c>
      <c r="DX83" s="15">
        <v>10</v>
      </c>
      <c r="DY83" s="15">
        <v>10</v>
      </c>
      <c r="DZ83" s="15">
        <v>10</v>
      </c>
      <c r="EA83" s="184"/>
      <c r="EB83" s="15">
        <v>10</v>
      </c>
      <c r="EC83" s="15">
        <v>10</v>
      </c>
      <c r="ED83" s="15">
        <v>10</v>
      </c>
      <c r="EE83" s="15">
        <v>10</v>
      </c>
      <c r="EF83" s="15">
        <v>10</v>
      </c>
      <c r="EG83" s="15">
        <v>10</v>
      </c>
      <c r="EH83" s="184"/>
      <c r="EI83" s="15">
        <v>10</v>
      </c>
      <c r="EJ83" s="15">
        <v>10</v>
      </c>
      <c r="EK83" s="15">
        <v>10</v>
      </c>
      <c r="EL83" s="15">
        <v>10</v>
      </c>
      <c r="EM83" s="15">
        <v>10</v>
      </c>
      <c r="EN83" s="15">
        <v>10</v>
      </c>
      <c r="EO83" s="184"/>
      <c r="EP83" s="15">
        <v>10</v>
      </c>
      <c r="EQ83" s="15">
        <v>10</v>
      </c>
      <c r="ER83" s="15">
        <v>10</v>
      </c>
      <c r="ES83" s="15">
        <v>10</v>
      </c>
      <c r="ET83" s="15">
        <v>10</v>
      </c>
      <c r="EU83" s="15">
        <v>10</v>
      </c>
      <c r="EV83" s="184"/>
      <c r="EW83" s="15"/>
      <c r="EX83" s="15"/>
      <c r="EY83" s="15"/>
      <c r="EZ83" s="15"/>
      <c r="FA83" s="15"/>
      <c r="FB83" s="15"/>
      <c r="FC83" s="184"/>
      <c r="FD83" s="15"/>
      <c r="FE83" s="15"/>
      <c r="FF83" s="15"/>
      <c r="FG83" s="15"/>
      <c r="FH83" s="15"/>
      <c r="FI83" s="15"/>
      <c r="FJ83" s="184"/>
      <c r="FK83" s="15"/>
      <c r="FL83" s="15"/>
      <c r="FM83" s="15"/>
      <c r="FN83" s="15"/>
      <c r="FO83" s="15"/>
      <c r="FP83" s="15"/>
      <c r="FQ83" s="184"/>
      <c r="FR83" s="15"/>
      <c r="FS83" s="15"/>
      <c r="FT83" s="15"/>
      <c r="FU83" s="15"/>
      <c r="FV83" s="15"/>
      <c r="FW83" s="178"/>
      <c r="FX83" s="184"/>
      <c r="FY83" s="181"/>
      <c r="FZ83" s="15"/>
      <c r="GA83" s="15"/>
      <c r="GB83" s="15"/>
      <c r="GC83" s="15"/>
      <c r="GD83" s="15"/>
      <c r="GE83" s="184"/>
      <c r="GF83" s="15"/>
      <c r="GG83" s="15"/>
      <c r="GH83" s="15"/>
      <c r="GI83" s="15"/>
      <c r="GJ83" s="15"/>
      <c r="GK83" s="15"/>
      <c r="GL83" s="184"/>
      <c r="GM83" s="15"/>
      <c r="GN83" s="15"/>
      <c r="GO83" s="15"/>
      <c r="GP83" s="15"/>
      <c r="GQ83" s="15"/>
      <c r="GR83" s="15"/>
      <c r="GS83" s="184"/>
      <c r="GT83" s="15"/>
      <c r="GU83" s="15"/>
      <c r="GV83" s="15"/>
      <c r="GW83" s="15"/>
      <c r="GX83" s="15"/>
      <c r="GY83" s="15"/>
      <c r="GZ83" s="184"/>
      <c r="HA83" s="15"/>
      <c r="HB83" s="15"/>
      <c r="HC83" s="15"/>
      <c r="HD83" s="15"/>
      <c r="HE83" s="15"/>
      <c r="HF83" s="15"/>
      <c r="HG83" s="184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/>
      <c r="KE83" s="15"/>
      <c r="KF83" s="15"/>
      <c r="KG83" s="15"/>
      <c r="KH83" s="15"/>
      <c r="KI83" s="15"/>
      <c r="KJ83" s="15"/>
      <c r="KK83" s="15"/>
      <c r="KL83" s="15"/>
      <c r="KM83" s="15"/>
      <c r="KN83" s="15"/>
      <c r="KO83" s="15"/>
      <c r="KP83" s="15"/>
      <c r="KQ83" s="15"/>
      <c r="KR83" s="15"/>
      <c r="KS83" s="15"/>
      <c r="KT83" s="15"/>
      <c r="KU83" s="15"/>
      <c r="KV83" s="15"/>
      <c r="KW83" s="15"/>
      <c r="KX83" s="15"/>
      <c r="KY83" s="15"/>
      <c r="KZ83" s="15"/>
      <c r="LA83" s="15"/>
      <c r="LB83" s="15"/>
      <c r="LC83" s="15"/>
      <c r="LD83" s="15"/>
      <c r="LE83" s="15"/>
      <c r="LF83" s="15"/>
      <c r="LG83" s="15"/>
      <c r="LH83" s="15"/>
      <c r="LI83" s="15"/>
      <c r="LJ83" s="15"/>
      <c r="LK83" s="15"/>
      <c r="LL83" s="15"/>
      <c r="LM83" s="15"/>
      <c r="LN83" s="15"/>
      <c r="LO83" s="15"/>
      <c r="LP83" s="15"/>
      <c r="LQ83" s="15"/>
      <c r="LR83" s="15"/>
      <c r="LS83" s="15"/>
      <c r="LT83" s="15"/>
      <c r="LU83" s="15"/>
      <c r="LV83" s="15"/>
      <c r="LW83" s="15"/>
      <c r="LX83" s="15"/>
      <c r="LY83" s="15"/>
      <c r="LZ83" s="15"/>
      <c r="MA83" s="15"/>
      <c r="MB83" s="15"/>
      <c r="MC83" s="15"/>
      <c r="MD83" s="15"/>
      <c r="ME83" s="15"/>
      <c r="MF83" s="15"/>
      <c r="MG83" s="15"/>
      <c r="MH83" s="15"/>
      <c r="MI83" s="15"/>
      <c r="MJ83" s="15"/>
      <c r="MK83" s="15"/>
      <c r="ML83" s="15"/>
      <c r="MM83" s="15"/>
      <c r="MN83" s="15"/>
      <c r="MO83" s="15"/>
      <c r="MP83" s="15"/>
      <c r="MQ83" s="15"/>
      <c r="MR83" s="15"/>
      <c r="MS83" s="15"/>
      <c r="MT83" s="15"/>
      <c r="MU83" s="15"/>
      <c r="MV83" s="15"/>
      <c r="MW83" s="15"/>
      <c r="MX83" s="15"/>
      <c r="MY83" s="15"/>
      <c r="MZ83" s="15"/>
      <c r="NA83" s="15"/>
      <c r="NB83" s="15"/>
      <c r="NC83" s="15"/>
      <c r="ND83" s="15"/>
      <c r="NE83" s="15"/>
      <c r="NF83" s="15"/>
      <c r="NG83" s="15"/>
      <c r="NH83" s="15"/>
      <c r="NI83" s="15"/>
      <c r="NJ83" s="15"/>
      <c r="NK83" s="15"/>
      <c r="NL83" s="15"/>
      <c r="NM83" s="15"/>
      <c r="NN83" s="15"/>
      <c r="NO83" s="15"/>
      <c r="NP83" s="15"/>
      <c r="NQ83" s="15"/>
      <c r="NR83" s="15"/>
      <c r="NS83" s="15"/>
      <c r="NT83" s="15"/>
      <c r="NU83" s="15"/>
      <c r="NV83" s="15"/>
      <c r="NW83" s="15"/>
      <c r="NX83" s="15"/>
      <c r="NY83" s="15"/>
      <c r="NZ83" s="15"/>
    </row>
    <row r="84" spans="2:390" ht="19.5" customHeight="1" x14ac:dyDescent="0.45">
      <c r="B84" s="1">
        <f t="shared" si="60"/>
        <v>2</v>
      </c>
      <c r="C84" s="1">
        <f>+C83</f>
        <v>12</v>
      </c>
      <c r="D84" s="1">
        <f>+D83+1</f>
        <v>3</v>
      </c>
      <c r="E84" s="59" t="str">
        <f t="shared" si="56"/>
        <v>2.12.3</v>
      </c>
      <c r="F84" s="23" t="s">
        <v>81</v>
      </c>
      <c r="G84" s="191">
        <v>2.5</v>
      </c>
      <c r="H84" s="52" t="s">
        <v>117</v>
      </c>
      <c r="I84" s="52" t="s">
        <v>158</v>
      </c>
      <c r="J84" s="52">
        <v>265</v>
      </c>
      <c r="K84" s="52">
        <v>0</v>
      </c>
      <c r="L84" s="52">
        <f>+J84-K84</f>
        <v>265</v>
      </c>
      <c r="M84" s="20">
        <v>4</v>
      </c>
      <c r="N84" s="20">
        <v>24</v>
      </c>
      <c r="O84" s="51">
        <f t="shared" si="57"/>
        <v>96</v>
      </c>
      <c r="P84" s="51">
        <f>+SUM(AA84:NZ84)</f>
        <v>96</v>
      </c>
      <c r="Q84" s="51">
        <f>+O84-P84</f>
        <v>0</v>
      </c>
      <c r="R84" s="79">
        <v>46097</v>
      </c>
      <c r="S84" s="80">
        <v>10</v>
      </c>
      <c r="T84" s="21">
        <f t="shared" si="61"/>
        <v>46108</v>
      </c>
      <c r="U84" s="22">
        <f>+K84/J84</f>
        <v>0</v>
      </c>
      <c r="V84" s="199">
        <f t="shared" si="62"/>
        <v>0</v>
      </c>
      <c r="W84" s="158">
        <f t="shared" si="58"/>
        <v>0</v>
      </c>
      <c r="X84" s="159">
        <f t="shared" si="59"/>
        <v>0</v>
      </c>
      <c r="Y84" s="199">
        <f t="shared" si="63"/>
        <v>0</v>
      </c>
      <c r="Z84" s="36"/>
      <c r="AA84" s="15"/>
      <c r="AB84" s="15"/>
      <c r="AC84" s="15"/>
      <c r="AD84" s="15"/>
      <c r="AE84" s="15"/>
      <c r="AF84" s="15"/>
      <c r="AG84" s="184"/>
      <c r="AH84" s="15"/>
      <c r="AI84" s="15"/>
      <c r="AJ84" s="15"/>
      <c r="AK84" s="15"/>
      <c r="AL84" s="15"/>
      <c r="AM84" s="15"/>
      <c r="AN84" s="184"/>
      <c r="AO84" s="15"/>
      <c r="AP84" s="15"/>
      <c r="AQ84" s="15"/>
      <c r="AR84" s="15"/>
      <c r="AS84" s="15"/>
      <c r="AT84" s="15"/>
      <c r="AU84" s="184"/>
      <c r="AV84" s="15"/>
      <c r="AW84" s="15"/>
      <c r="AX84" s="15"/>
      <c r="AY84" s="15"/>
      <c r="AZ84" s="15"/>
      <c r="BA84" s="15"/>
      <c r="BB84" s="184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84"/>
      <c r="CE84" s="15"/>
      <c r="CF84" s="15"/>
      <c r="CG84" s="15"/>
      <c r="CH84" s="15"/>
      <c r="CI84" s="15"/>
      <c r="CJ84" s="15"/>
      <c r="CK84" s="184"/>
      <c r="CL84" s="15"/>
      <c r="CM84" s="15"/>
      <c r="CN84" s="15"/>
      <c r="CO84" s="15"/>
      <c r="CP84" s="15"/>
      <c r="CQ84" s="15"/>
      <c r="CR84" s="184"/>
      <c r="CS84" s="15"/>
      <c r="CT84" s="15"/>
      <c r="CU84" s="15"/>
      <c r="CV84" s="15"/>
      <c r="CW84" s="15"/>
      <c r="CX84" s="15"/>
      <c r="CY84" s="184"/>
      <c r="CZ84" s="15"/>
      <c r="DA84" s="15"/>
      <c r="DB84" s="15"/>
      <c r="DC84" s="15"/>
      <c r="DD84" s="15"/>
      <c r="DE84" s="15"/>
      <c r="DF84" s="184"/>
      <c r="DG84" s="15"/>
      <c r="DH84" s="15"/>
      <c r="DI84" s="15"/>
      <c r="DJ84" s="15"/>
      <c r="DK84" s="15"/>
      <c r="DL84" s="15"/>
      <c r="DM84" s="184"/>
      <c r="DN84" s="15"/>
      <c r="DO84" s="15"/>
      <c r="DP84" s="15"/>
      <c r="DQ84" s="15"/>
      <c r="DR84" s="15"/>
      <c r="DS84" s="15"/>
      <c r="DT84" s="184"/>
      <c r="DU84" s="15"/>
      <c r="DV84" s="15"/>
      <c r="DW84" s="15"/>
      <c r="DX84" s="15"/>
      <c r="DY84" s="15"/>
      <c r="DZ84" s="15"/>
      <c r="EA84" s="184"/>
      <c r="EB84" s="15"/>
      <c r="EC84" s="15"/>
      <c r="ED84" s="15"/>
      <c r="EE84" s="15"/>
      <c r="EF84" s="15"/>
      <c r="EG84" s="15"/>
      <c r="EH84" s="184"/>
      <c r="EI84" s="15">
        <v>8</v>
      </c>
      <c r="EJ84" s="15">
        <v>8</v>
      </c>
      <c r="EK84" s="15">
        <v>8</v>
      </c>
      <c r="EL84" s="15">
        <v>8</v>
      </c>
      <c r="EM84" s="15">
        <v>8</v>
      </c>
      <c r="EN84" s="15">
        <v>8</v>
      </c>
      <c r="EO84" s="184"/>
      <c r="EP84" s="15">
        <v>8</v>
      </c>
      <c r="EQ84" s="15">
        <v>8</v>
      </c>
      <c r="ER84" s="15">
        <v>8</v>
      </c>
      <c r="ES84" s="15">
        <v>8</v>
      </c>
      <c r="ET84" s="15">
        <v>8</v>
      </c>
      <c r="EU84" s="15">
        <v>8</v>
      </c>
      <c r="EV84" s="184"/>
      <c r="EW84" s="15"/>
      <c r="EX84" s="15"/>
      <c r="EY84" s="15"/>
      <c r="EZ84" s="15"/>
      <c r="FA84" s="15"/>
      <c r="FB84" s="15"/>
      <c r="FC84" s="184"/>
      <c r="FD84" s="15"/>
      <c r="FE84" s="15"/>
      <c r="FF84" s="15"/>
      <c r="FG84" s="15"/>
      <c r="FH84" s="15"/>
      <c r="FI84" s="15"/>
      <c r="FJ84" s="184"/>
      <c r="FK84" s="15"/>
      <c r="FL84" s="15"/>
      <c r="FM84" s="15"/>
      <c r="FN84" s="15"/>
      <c r="FO84" s="15"/>
      <c r="FP84" s="15"/>
      <c r="FQ84" s="184"/>
      <c r="FR84" s="15"/>
      <c r="FS84" s="15"/>
      <c r="FT84" s="15"/>
      <c r="FU84" s="15"/>
      <c r="FV84" s="15"/>
      <c r="FW84" s="178"/>
      <c r="FX84" s="184"/>
      <c r="FY84" s="181"/>
      <c r="FZ84" s="15"/>
      <c r="GA84" s="15"/>
      <c r="GB84" s="15"/>
      <c r="GC84" s="15"/>
      <c r="GD84" s="15"/>
      <c r="GE84" s="184"/>
      <c r="GF84" s="15"/>
      <c r="GG84" s="15"/>
      <c r="GH84" s="15"/>
      <c r="GI84" s="15"/>
      <c r="GJ84" s="15"/>
      <c r="GK84" s="15"/>
      <c r="GL84" s="184"/>
      <c r="GM84" s="15"/>
      <c r="GN84" s="15"/>
      <c r="GO84" s="15"/>
      <c r="GP84" s="15"/>
      <c r="GQ84" s="15"/>
      <c r="GR84" s="15"/>
      <c r="GS84" s="184"/>
      <c r="GT84" s="15"/>
      <c r="GU84" s="15"/>
      <c r="GV84" s="15"/>
      <c r="GW84" s="15"/>
      <c r="GX84" s="15"/>
      <c r="GY84" s="15"/>
      <c r="GZ84" s="184"/>
      <c r="HA84" s="15"/>
      <c r="HB84" s="15"/>
      <c r="HC84" s="15"/>
      <c r="HD84" s="15"/>
      <c r="HE84" s="15"/>
      <c r="HF84" s="15"/>
      <c r="HG84" s="184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/>
      <c r="KE84" s="15"/>
      <c r="KF84" s="15"/>
      <c r="KG84" s="15"/>
      <c r="KH84" s="15"/>
      <c r="KI84" s="15"/>
      <c r="KJ84" s="15"/>
      <c r="KK84" s="15"/>
      <c r="KL84" s="15"/>
      <c r="KM84" s="15"/>
      <c r="KN84" s="15"/>
      <c r="KO84" s="15"/>
      <c r="KP84" s="15"/>
      <c r="KQ84" s="15"/>
      <c r="KR84" s="15"/>
      <c r="KS84" s="15"/>
      <c r="KT84" s="15"/>
      <c r="KU84" s="15"/>
      <c r="KV84" s="15"/>
      <c r="KW84" s="15"/>
      <c r="KX84" s="15"/>
      <c r="KY84" s="15"/>
      <c r="KZ84" s="15"/>
      <c r="LA84" s="15"/>
      <c r="LB84" s="15"/>
      <c r="LC84" s="15"/>
      <c r="LD84" s="15"/>
      <c r="LE84" s="15"/>
      <c r="LF84" s="15"/>
      <c r="LG84" s="15"/>
      <c r="LH84" s="15"/>
      <c r="LI84" s="15"/>
      <c r="LJ84" s="15"/>
      <c r="LK84" s="15"/>
      <c r="LL84" s="15"/>
      <c r="LM84" s="15"/>
      <c r="LN84" s="15"/>
      <c r="LO84" s="15"/>
      <c r="LP84" s="15"/>
      <c r="LQ84" s="15"/>
      <c r="LR84" s="15"/>
      <c r="LS84" s="15"/>
      <c r="LT84" s="15"/>
      <c r="LU84" s="15"/>
      <c r="LV84" s="15"/>
      <c r="LW84" s="15"/>
      <c r="LX84" s="15"/>
      <c r="LY84" s="15"/>
      <c r="LZ84" s="15"/>
      <c r="MA84" s="15"/>
      <c r="MB84" s="15"/>
      <c r="MC84" s="15"/>
      <c r="MD84" s="15"/>
      <c r="ME84" s="15"/>
      <c r="MF84" s="15"/>
      <c r="MG84" s="15"/>
      <c r="MH84" s="15"/>
      <c r="MI84" s="15"/>
      <c r="MJ84" s="15"/>
      <c r="MK84" s="15"/>
      <c r="ML84" s="15"/>
      <c r="MM84" s="15"/>
      <c r="MN84" s="15"/>
      <c r="MO84" s="15"/>
      <c r="MP84" s="15"/>
      <c r="MQ84" s="15"/>
      <c r="MR84" s="15"/>
      <c r="MS84" s="15"/>
      <c r="MT84" s="15"/>
      <c r="MU84" s="15"/>
      <c r="MV84" s="15"/>
      <c r="MW84" s="15"/>
      <c r="MX84" s="15"/>
      <c r="MY84" s="15"/>
      <c r="MZ84" s="15"/>
      <c r="NA84" s="15"/>
      <c r="NB84" s="15"/>
      <c r="NC84" s="15"/>
      <c r="ND84" s="15"/>
      <c r="NE84" s="15"/>
      <c r="NF84" s="15"/>
      <c r="NG84" s="15"/>
      <c r="NH84" s="15"/>
      <c r="NI84" s="15"/>
      <c r="NJ84" s="15"/>
      <c r="NK84" s="15"/>
      <c r="NL84" s="15"/>
      <c r="NM84" s="15"/>
      <c r="NN84" s="15"/>
      <c r="NO84" s="15"/>
      <c r="NP84" s="15"/>
      <c r="NQ84" s="15"/>
      <c r="NR84" s="15"/>
      <c r="NS84" s="15"/>
      <c r="NT84" s="15"/>
      <c r="NU84" s="15"/>
      <c r="NV84" s="15"/>
      <c r="NW84" s="15"/>
      <c r="NX84" s="15"/>
      <c r="NY84" s="15"/>
      <c r="NZ84" s="15"/>
    </row>
    <row r="85" spans="2:390" ht="19.5" customHeight="1" x14ac:dyDescent="0.45">
      <c r="B85" s="1">
        <f>+B84</f>
        <v>2</v>
      </c>
      <c r="C85" s="1">
        <f>+C84+1</f>
        <v>13</v>
      </c>
      <c r="D85" s="1">
        <v>0</v>
      </c>
      <c r="E85" s="93" t="str">
        <f t="shared" si="56"/>
        <v>2.13.0</v>
      </c>
      <c r="F85" s="94" t="s">
        <v>67</v>
      </c>
      <c r="G85" s="108"/>
      <c r="H85" s="109"/>
      <c r="I85" s="109"/>
      <c r="J85" s="97"/>
      <c r="K85" s="97"/>
      <c r="L85" s="97"/>
      <c r="M85" s="98"/>
      <c r="N85" s="98"/>
      <c r="O85" s="95">
        <f>SUM(O86:O87)</f>
        <v>48</v>
      </c>
      <c r="P85" s="95"/>
      <c r="Q85" s="95"/>
      <c r="R85" s="166"/>
      <c r="S85" s="167"/>
      <c r="T85" s="163" t="str">
        <f t="shared" si="61"/>
        <v/>
      </c>
      <c r="U85" s="164">
        <f>+SUMPRODUCT(U86:U87,O86:O87)/O85</f>
        <v>0</v>
      </c>
      <c r="V85" s="200">
        <f t="shared" si="62"/>
        <v>0</v>
      </c>
      <c r="W85" s="158">
        <f t="shared" si="58"/>
        <v>0</v>
      </c>
      <c r="X85" s="159">
        <f t="shared" si="59"/>
        <v>0</v>
      </c>
      <c r="Y85" s="199">
        <f t="shared" si="63"/>
        <v>0</v>
      </c>
      <c r="Z85" s="36"/>
      <c r="AA85" s="15"/>
      <c r="AB85" s="15"/>
      <c r="AC85" s="15"/>
      <c r="AD85" s="15"/>
      <c r="AE85" s="15"/>
      <c r="AF85" s="15"/>
      <c r="AG85" s="184"/>
      <c r="AH85" s="15"/>
      <c r="AI85" s="15"/>
      <c r="AJ85" s="15"/>
      <c r="AK85" s="15"/>
      <c r="AL85" s="15"/>
      <c r="AM85" s="15"/>
      <c r="AN85" s="184"/>
      <c r="AO85" s="15"/>
      <c r="AP85" s="15"/>
      <c r="AQ85" s="15"/>
      <c r="AR85" s="15"/>
      <c r="AS85" s="15"/>
      <c r="AT85" s="15"/>
      <c r="AU85" s="184"/>
      <c r="AV85" s="15"/>
      <c r="AW85" s="15"/>
      <c r="AX85" s="15"/>
      <c r="AY85" s="15"/>
      <c r="AZ85" s="15"/>
      <c r="BA85" s="15"/>
      <c r="BB85" s="184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84"/>
      <c r="CE85" s="15"/>
      <c r="CF85" s="15"/>
      <c r="CG85" s="15"/>
      <c r="CH85" s="15"/>
      <c r="CI85" s="15"/>
      <c r="CJ85" s="15"/>
      <c r="CK85" s="184"/>
      <c r="CL85" s="15"/>
      <c r="CM85" s="15"/>
      <c r="CN85" s="15"/>
      <c r="CO85" s="15"/>
      <c r="CP85" s="15"/>
      <c r="CQ85" s="15"/>
      <c r="CR85" s="184"/>
      <c r="CS85" s="15"/>
      <c r="CT85" s="15"/>
      <c r="CU85" s="15"/>
      <c r="CV85" s="15"/>
      <c r="CW85" s="15"/>
      <c r="CX85" s="15"/>
      <c r="CY85" s="184"/>
      <c r="CZ85" s="15"/>
      <c r="DA85" s="15"/>
      <c r="DB85" s="15"/>
      <c r="DC85" s="15"/>
      <c r="DD85" s="15"/>
      <c r="DE85" s="15"/>
      <c r="DF85" s="184"/>
      <c r="DG85" s="15"/>
      <c r="DH85" s="15"/>
      <c r="DI85" s="15"/>
      <c r="DJ85" s="15"/>
      <c r="DK85" s="15"/>
      <c r="DL85" s="15"/>
      <c r="DM85" s="184"/>
      <c r="DN85" s="15"/>
      <c r="DO85" s="15"/>
      <c r="DP85" s="15"/>
      <c r="DQ85" s="15"/>
      <c r="DR85" s="15"/>
      <c r="DS85" s="15"/>
      <c r="DT85" s="184"/>
      <c r="DU85" s="15"/>
      <c r="DV85" s="15"/>
      <c r="DW85" s="15"/>
      <c r="DX85" s="15"/>
      <c r="DY85" s="15"/>
      <c r="DZ85" s="15"/>
      <c r="EA85" s="184"/>
      <c r="EB85" s="15"/>
      <c r="EC85" s="15"/>
      <c r="ED85" s="15"/>
      <c r="EE85" s="15"/>
      <c r="EF85" s="15"/>
      <c r="EG85" s="15"/>
      <c r="EH85" s="184"/>
      <c r="EI85" s="15"/>
      <c r="EJ85" s="15"/>
      <c r="EK85" s="15"/>
      <c r="EL85" s="15"/>
      <c r="EM85" s="15"/>
      <c r="EN85" s="15"/>
      <c r="EO85" s="184"/>
      <c r="EP85" s="15"/>
      <c r="EQ85" s="15"/>
      <c r="ER85" s="15"/>
      <c r="ES85" s="15"/>
      <c r="ET85" s="15"/>
      <c r="EU85" s="15"/>
      <c r="EV85" s="184"/>
      <c r="EW85" s="15"/>
      <c r="EX85" s="15"/>
      <c r="EY85" s="15"/>
      <c r="EZ85" s="15"/>
      <c r="FA85" s="15"/>
      <c r="FB85" s="15"/>
      <c r="FC85" s="184"/>
      <c r="FD85" s="15"/>
      <c r="FE85" s="15"/>
      <c r="FF85" s="15"/>
      <c r="FG85" s="15"/>
      <c r="FH85" s="15"/>
      <c r="FI85" s="15"/>
      <c r="FJ85" s="184"/>
      <c r="FK85" s="15"/>
      <c r="FL85" s="15"/>
      <c r="FM85" s="15"/>
      <c r="FN85" s="15"/>
      <c r="FO85" s="15"/>
      <c r="FP85" s="15"/>
      <c r="FQ85" s="184"/>
      <c r="FR85" s="15"/>
      <c r="FS85" s="15"/>
      <c r="FT85" s="15"/>
      <c r="FU85" s="15"/>
      <c r="FV85" s="15"/>
      <c r="FW85" s="178"/>
      <c r="FX85" s="184"/>
      <c r="FY85" s="181"/>
      <c r="FZ85" s="15"/>
      <c r="GA85" s="15"/>
      <c r="GB85" s="15"/>
      <c r="GC85" s="15"/>
      <c r="GD85" s="15"/>
      <c r="GE85" s="184"/>
      <c r="GF85" s="15"/>
      <c r="GG85" s="15"/>
      <c r="GH85" s="15"/>
      <c r="GI85" s="15"/>
      <c r="GJ85" s="15"/>
      <c r="GK85" s="15"/>
      <c r="GL85" s="184"/>
      <c r="GM85" s="15"/>
      <c r="GN85" s="15"/>
      <c r="GO85" s="15"/>
      <c r="GP85" s="15"/>
      <c r="GQ85" s="15"/>
      <c r="GR85" s="15"/>
      <c r="GS85" s="184"/>
      <c r="GT85" s="15"/>
      <c r="GU85" s="15"/>
      <c r="GV85" s="15"/>
      <c r="GW85" s="15"/>
      <c r="GX85" s="15"/>
      <c r="GY85" s="15"/>
      <c r="GZ85" s="184"/>
      <c r="HA85" s="15"/>
      <c r="HB85" s="15"/>
      <c r="HC85" s="15"/>
      <c r="HD85" s="15"/>
      <c r="HE85" s="15"/>
      <c r="HF85" s="15"/>
      <c r="HG85" s="184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/>
      <c r="KE85" s="15"/>
      <c r="KF85" s="15"/>
      <c r="KG85" s="15"/>
      <c r="KH85" s="15"/>
      <c r="KI85" s="15"/>
      <c r="KJ85" s="15"/>
      <c r="KK85" s="15"/>
      <c r="KL85" s="15"/>
      <c r="KM85" s="15"/>
      <c r="KN85" s="15"/>
      <c r="KO85" s="15"/>
      <c r="KP85" s="15"/>
      <c r="KQ85" s="15"/>
      <c r="KR85" s="15"/>
      <c r="KS85" s="15"/>
      <c r="KT85" s="15"/>
      <c r="KU85" s="15"/>
      <c r="KV85" s="15"/>
      <c r="KW85" s="15"/>
      <c r="KX85" s="15"/>
      <c r="KY85" s="15"/>
      <c r="KZ85" s="15"/>
      <c r="LA85" s="15"/>
      <c r="LB85" s="15"/>
      <c r="LC85" s="15"/>
      <c r="LD85" s="15"/>
      <c r="LE85" s="15"/>
      <c r="LF85" s="15"/>
      <c r="LG85" s="15"/>
      <c r="LH85" s="15"/>
      <c r="LI85" s="15"/>
      <c r="LJ85" s="15"/>
      <c r="LK85" s="15"/>
      <c r="LL85" s="15"/>
      <c r="LM85" s="15"/>
      <c r="LN85" s="15"/>
      <c r="LO85" s="15"/>
      <c r="LP85" s="15"/>
      <c r="LQ85" s="15"/>
      <c r="LR85" s="15"/>
      <c r="LS85" s="15"/>
      <c r="LT85" s="15"/>
      <c r="LU85" s="15"/>
      <c r="LV85" s="15"/>
      <c r="LW85" s="15"/>
      <c r="LX85" s="15"/>
      <c r="LY85" s="15"/>
      <c r="LZ85" s="15"/>
      <c r="MA85" s="15"/>
      <c r="MB85" s="15"/>
      <c r="MC85" s="15"/>
      <c r="MD85" s="15"/>
      <c r="ME85" s="15"/>
      <c r="MF85" s="15"/>
      <c r="MG85" s="15"/>
      <c r="MH85" s="15"/>
      <c r="MI85" s="15"/>
      <c r="MJ85" s="15"/>
      <c r="MK85" s="15"/>
      <c r="ML85" s="15"/>
      <c r="MM85" s="15"/>
      <c r="MN85" s="15"/>
      <c r="MO85" s="15"/>
      <c r="MP85" s="15"/>
      <c r="MQ85" s="15"/>
      <c r="MR85" s="15"/>
      <c r="MS85" s="15"/>
      <c r="MT85" s="15"/>
      <c r="MU85" s="15"/>
      <c r="MV85" s="15"/>
      <c r="MW85" s="15"/>
      <c r="MX85" s="15"/>
      <c r="MY85" s="15"/>
      <c r="MZ85" s="15"/>
      <c r="NA85" s="15"/>
      <c r="NB85" s="15"/>
      <c r="NC85" s="15"/>
      <c r="ND85" s="15"/>
      <c r="NE85" s="15"/>
      <c r="NF85" s="15"/>
      <c r="NG85" s="15"/>
      <c r="NH85" s="15"/>
      <c r="NI85" s="15"/>
      <c r="NJ85" s="15"/>
      <c r="NK85" s="15"/>
      <c r="NL85" s="15"/>
      <c r="NM85" s="15"/>
      <c r="NN85" s="15"/>
      <c r="NO85" s="15"/>
      <c r="NP85" s="15"/>
      <c r="NQ85" s="15"/>
      <c r="NR85" s="15"/>
      <c r="NS85" s="15"/>
      <c r="NT85" s="15"/>
      <c r="NU85" s="15"/>
      <c r="NV85" s="15"/>
      <c r="NW85" s="15"/>
      <c r="NX85" s="15"/>
      <c r="NY85" s="15"/>
      <c r="NZ85" s="15"/>
    </row>
    <row r="86" spans="2:390" ht="19.5" customHeight="1" x14ac:dyDescent="0.45">
      <c r="B86" s="1">
        <f>+B85</f>
        <v>2</v>
      </c>
      <c r="C86" s="1">
        <f>+C85</f>
        <v>13</v>
      </c>
      <c r="D86" s="1">
        <f>+D85+1</f>
        <v>1</v>
      </c>
      <c r="E86" s="84" t="str">
        <f t="shared" si="56"/>
        <v>2.13.1</v>
      </c>
      <c r="F86" s="85" t="s">
        <v>68</v>
      </c>
      <c r="G86" s="191">
        <v>2</v>
      </c>
      <c r="H86" s="52" t="s">
        <v>117</v>
      </c>
      <c r="I86" s="52" t="s">
        <v>156</v>
      </c>
      <c r="J86" s="52">
        <v>12</v>
      </c>
      <c r="K86" s="52">
        <v>0</v>
      </c>
      <c r="L86" s="52">
        <f>+J86-K86</f>
        <v>12</v>
      </c>
      <c r="M86" s="20">
        <v>4</v>
      </c>
      <c r="N86" s="20">
        <v>12</v>
      </c>
      <c r="O86" s="51">
        <f>+N86*M86</f>
        <v>48</v>
      </c>
      <c r="P86" s="51">
        <f>+SUM(AA86:NZ86)</f>
        <v>0</v>
      </c>
      <c r="Q86" s="51">
        <f>+O86-P86</f>
        <v>48</v>
      </c>
      <c r="R86" s="153"/>
      <c r="S86" s="154"/>
      <c r="T86" s="155" t="str">
        <f t="shared" si="61"/>
        <v/>
      </c>
      <c r="U86" s="22">
        <f>+K86/J86</f>
        <v>0</v>
      </c>
      <c r="V86" s="199">
        <f t="shared" si="62"/>
        <v>0</v>
      </c>
      <c r="W86" s="158">
        <f t="shared" si="58"/>
        <v>0</v>
      </c>
      <c r="X86" s="159">
        <f t="shared" si="59"/>
        <v>0</v>
      </c>
      <c r="Y86" s="199">
        <f t="shared" si="63"/>
        <v>0</v>
      </c>
      <c r="Z86" s="36"/>
      <c r="AA86" s="15"/>
      <c r="AB86" s="15"/>
      <c r="AC86" s="15"/>
      <c r="AD86" s="15"/>
      <c r="AE86" s="15"/>
      <c r="AF86" s="15"/>
      <c r="AG86" s="184"/>
      <c r="AH86" s="15"/>
      <c r="AI86" s="15"/>
      <c r="AJ86" s="15"/>
      <c r="AK86" s="15"/>
      <c r="AL86" s="15"/>
      <c r="AM86" s="15"/>
      <c r="AN86" s="184"/>
      <c r="AO86" s="15"/>
      <c r="AP86" s="15"/>
      <c r="AQ86" s="15"/>
      <c r="AR86" s="15"/>
      <c r="AS86" s="15"/>
      <c r="AT86" s="15"/>
      <c r="AU86" s="184"/>
      <c r="AV86" s="15"/>
      <c r="AW86" s="15"/>
      <c r="AX86" s="15"/>
      <c r="AY86" s="15"/>
      <c r="AZ86" s="15"/>
      <c r="BA86" s="15"/>
      <c r="BB86" s="184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84"/>
      <c r="CE86" s="15"/>
      <c r="CF86" s="15"/>
      <c r="CG86" s="15"/>
      <c r="CH86" s="15"/>
      <c r="CI86" s="15"/>
      <c r="CJ86" s="15"/>
      <c r="CK86" s="184"/>
      <c r="CL86" s="15"/>
      <c r="CM86" s="15"/>
      <c r="CN86" s="15"/>
      <c r="CO86" s="15"/>
      <c r="CP86" s="15"/>
      <c r="CQ86" s="15"/>
      <c r="CR86" s="184"/>
      <c r="CS86" s="15"/>
      <c r="CT86" s="15"/>
      <c r="CU86" s="15"/>
      <c r="CV86" s="15"/>
      <c r="CW86" s="15"/>
      <c r="CX86" s="15"/>
      <c r="CY86" s="184"/>
      <c r="CZ86" s="15"/>
      <c r="DA86" s="15"/>
      <c r="DB86" s="15"/>
      <c r="DC86" s="15"/>
      <c r="DD86" s="15"/>
      <c r="DE86" s="15"/>
      <c r="DF86" s="184"/>
      <c r="DG86" s="15"/>
      <c r="DH86" s="15"/>
      <c r="DI86" s="15"/>
      <c r="DJ86" s="15"/>
      <c r="DK86" s="15"/>
      <c r="DL86" s="15"/>
      <c r="DM86" s="184"/>
      <c r="DN86" s="15"/>
      <c r="DO86" s="15"/>
      <c r="DP86" s="15"/>
      <c r="DQ86" s="15"/>
      <c r="DR86" s="15"/>
      <c r="DS86" s="15"/>
      <c r="DT86" s="184"/>
      <c r="DU86" s="15"/>
      <c r="DV86" s="15"/>
      <c r="DW86" s="15"/>
      <c r="DX86" s="15"/>
      <c r="DY86" s="15"/>
      <c r="DZ86" s="15"/>
      <c r="EA86" s="184"/>
      <c r="EB86" s="15"/>
      <c r="EC86" s="15"/>
      <c r="ED86" s="15"/>
      <c r="EE86" s="15"/>
      <c r="EF86" s="15"/>
      <c r="EG86" s="15"/>
      <c r="EH86" s="184"/>
      <c r="EI86" s="15"/>
      <c r="EJ86" s="15"/>
      <c r="EK86" s="15"/>
      <c r="EL86" s="15"/>
      <c r="EM86" s="15"/>
      <c r="EN86" s="15"/>
      <c r="EO86" s="184"/>
      <c r="EP86" s="15"/>
      <c r="EQ86" s="15"/>
      <c r="ER86" s="15"/>
      <c r="ES86" s="15"/>
      <c r="ET86" s="15"/>
      <c r="EU86" s="15"/>
      <c r="EV86" s="184"/>
      <c r="EW86" s="15"/>
      <c r="EX86" s="15"/>
      <c r="EY86" s="15"/>
      <c r="EZ86" s="15"/>
      <c r="FA86" s="15"/>
      <c r="FB86" s="15"/>
      <c r="FC86" s="184"/>
      <c r="FD86" s="15"/>
      <c r="FE86" s="15"/>
      <c r="FF86" s="15"/>
      <c r="FG86" s="15"/>
      <c r="FH86" s="15"/>
      <c r="FI86" s="15"/>
      <c r="FJ86" s="184"/>
      <c r="FK86" s="15"/>
      <c r="FL86" s="15"/>
      <c r="FM86" s="15"/>
      <c r="FN86" s="15"/>
      <c r="FO86" s="15"/>
      <c r="FP86" s="15"/>
      <c r="FQ86" s="184"/>
      <c r="FR86" s="15"/>
      <c r="FS86" s="15"/>
      <c r="FT86" s="15"/>
      <c r="FU86" s="15"/>
      <c r="FV86" s="15"/>
      <c r="FW86" s="178"/>
      <c r="FX86" s="184"/>
      <c r="FY86" s="181"/>
      <c r="FZ86" s="15"/>
      <c r="GA86" s="15"/>
      <c r="GB86" s="15"/>
      <c r="GC86" s="15"/>
      <c r="GD86" s="15"/>
      <c r="GE86" s="184"/>
      <c r="GF86" s="15"/>
      <c r="GG86" s="15"/>
      <c r="GH86" s="15"/>
      <c r="GI86" s="15"/>
      <c r="GJ86" s="15"/>
      <c r="GK86" s="15"/>
      <c r="GL86" s="184"/>
      <c r="GM86" s="15"/>
      <c r="GN86" s="15"/>
      <c r="GO86" s="15"/>
      <c r="GP86" s="15"/>
      <c r="GQ86" s="15"/>
      <c r="GR86" s="15"/>
      <c r="GS86" s="184"/>
      <c r="GT86" s="15"/>
      <c r="GU86" s="15"/>
      <c r="GV86" s="15"/>
      <c r="GW86" s="15"/>
      <c r="GX86" s="15"/>
      <c r="GY86" s="15"/>
      <c r="GZ86" s="184"/>
      <c r="HA86" s="15"/>
      <c r="HB86" s="15"/>
      <c r="HC86" s="15"/>
      <c r="HD86" s="15"/>
      <c r="HE86" s="15"/>
      <c r="HF86" s="15"/>
      <c r="HG86" s="184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/>
      <c r="KE86" s="15"/>
      <c r="KF86" s="15"/>
      <c r="KG86" s="15"/>
      <c r="KH86" s="15"/>
      <c r="KI86" s="15"/>
      <c r="KJ86" s="15"/>
      <c r="KK86" s="15"/>
      <c r="KL86" s="15"/>
      <c r="KM86" s="15"/>
      <c r="KN86" s="15"/>
      <c r="KO86" s="15"/>
      <c r="KP86" s="15"/>
      <c r="KQ86" s="15"/>
      <c r="KR86" s="15"/>
      <c r="KS86" s="15"/>
      <c r="KT86" s="15"/>
      <c r="KU86" s="15"/>
      <c r="KV86" s="15"/>
      <c r="KW86" s="15"/>
      <c r="KX86" s="15"/>
      <c r="KY86" s="15"/>
      <c r="KZ86" s="15"/>
      <c r="LA86" s="15"/>
      <c r="LB86" s="15"/>
      <c r="LC86" s="15"/>
      <c r="LD86" s="15"/>
      <c r="LE86" s="15"/>
      <c r="LF86" s="15"/>
      <c r="LG86" s="15"/>
      <c r="LH86" s="15"/>
      <c r="LI86" s="15"/>
      <c r="LJ86" s="15"/>
      <c r="LK86" s="15"/>
      <c r="LL86" s="15"/>
      <c r="LM86" s="15"/>
      <c r="LN86" s="15"/>
      <c r="LO86" s="15"/>
      <c r="LP86" s="15"/>
      <c r="LQ86" s="15"/>
      <c r="LR86" s="15"/>
      <c r="LS86" s="15"/>
      <c r="LT86" s="15"/>
      <c r="LU86" s="15"/>
      <c r="LV86" s="15"/>
      <c r="LW86" s="15"/>
      <c r="LX86" s="15"/>
      <c r="LY86" s="15"/>
      <c r="LZ86" s="15"/>
      <c r="MA86" s="15"/>
      <c r="MB86" s="15"/>
      <c r="MC86" s="15"/>
      <c r="MD86" s="15"/>
      <c r="ME86" s="15"/>
      <c r="MF86" s="15"/>
      <c r="MG86" s="15"/>
      <c r="MH86" s="15"/>
      <c r="MI86" s="15"/>
      <c r="MJ86" s="15"/>
      <c r="MK86" s="15"/>
      <c r="ML86" s="15"/>
      <c r="MM86" s="15"/>
      <c r="MN86" s="15"/>
      <c r="MO86" s="15"/>
      <c r="MP86" s="15"/>
      <c r="MQ86" s="15"/>
      <c r="MR86" s="15"/>
      <c r="MS86" s="15"/>
      <c r="MT86" s="15"/>
      <c r="MU86" s="15"/>
      <c r="MV86" s="15"/>
      <c r="MW86" s="15"/>
      <c r="MX86" s="15"/>
      <c r="MY86" s="15"/>
      <c r="MZ86" s="15"/>
      <c r="NA86" s="15"/>
      <c r="NB86" s="15"/>
      <c r="NC86" s="15"/>
      <c r="ND86" s="15"/>
      <c r="NE86" s="15"/>
      <c r="NF86" s="15"/>
      <c r="NG86" s="15"/>
      <c r="NH86" s="15"/>
      <c r="NI86" s="15"/>
      <c r="NJ86" s="15"/>
      <c r="NK86" s="15"/>
      <c r="NL86" s="15"/>
      <c r="NM86" s="15"/>
      <c r="NN86" s="15"/>
      <c r="NO86" s="15"/>
      <c r="NP86" s="15"/>
      <c r="NQ86" s="15"/>
      <c r="NR86" s="15"/>
      <c r="NS86" s="15"/>
      <c r="NT86" s="15"/>
      <c r="NU86" s="15"/>
      <c r="NV86" s="15"/>
      <c r="NW86" s="15"/>
      <c r="NX86" s="15"/>
      <c r="NY86" s="15"/>
      <c r="NZ86" s="15"/>
    </row>
    <row r="87" spans="2:390" ht="19.5" customHeight="1" x14ac:dyDescent="0.45">
      <c r="B87" s="1">
        <f>+B86</f>
        <v>2</v>
      </c>
      <c r="C87" s="1">
        <f>+C86</f>
        <v>13</v>
      </c>
      <c r="D87" s="1">
        <f>+D86+1</f>
        <v>2</v>
      </c>
      <c r="E87" s="84" t="str">
        <f t="shared" si="56"/>
        <v>2.13.2</v>
      </c>
      <c r="F87" s="85" t="s">
        <v>69</v>
      </c>
      <c r="G87" s="191">
        <v>2</v>
      </c>
      <c r="H87" s="52" t="s">
        <v>117</v>
      </c>
      <c r="I87" s="52" t="s">
        <v>156</v>
      </c>
      <c r="J87" s="61">
        <v>1</v>
      </c>
      <c r="K87" s="52">
        <v>0</v>
      </c>
      <c r="L87" s="52">
        <f>+J87-K87</f>
        <v>1</v>
      </c>
      <c r="M87" s="64"/>
      <c r="N87" s="64"/>
      <c r="O87" s="51">
        <f>+N87*M87</f>
        <v>0</v>
      </c>
      <c r="P87" s="51">
        <f>+SUM(AA87:NZ87)</f>
        <v>0</v>
      </c>
      <c r="Q87" s="51">
        <f>+O87-P87</f>
        <v>0</v>
      </c>
      <c r="R87" s="153"/>
      <c r="S87" s="154"/>
      <c r="T87" s="155" t="str">
        <f t="shared" si="61"/>
        <v/>
      </c>
      <c r="U87" s="22">
        <f>+K87/J87</f>
        <v>0</v>
      </c>
      <c r="V87" s="199">
        <f t="shared" si="62"/>
        <v>0</v>
      </c>
      <c r="W87" s="158"/>
      <c r="X87" s="159"/>
      <c r="Y87" s="199">
        <f t="shared" si="63"/>
        <v>0</v>
      </c>
      <c r="Z87" s="36"/>
      <c r="AA87" s="15"/>
      <c r="AB87" s="15"/>
      <c r="AC87" s="15"/>
      <c r="AD87" s="15"/>
      <c r="AE87" s="15"/>
      <c r="AF87" s="15"/>
      <c r="AG87" s="184"/>
      <c r="AH87" s="15"/>
      <c r="AI87" s="15"/>
      <c r="AJ87" s="15"/>
      <c r="AK87" s="15"/>
      <c r="AL87" s="15"/>
      <c r="AM87" s="15"/>
      <c r="AN87" s="184"/>
      <c r="AO87" s="15"/>
      <c r="AP87" s="15"/>
      <c r="AQ87" s="15"/>
      <c r="AR87" s="15"/>
      <c r="AS87" s="15"/>
      <c r="AT87" s="15"/>
      <c r="AU87" s="184"/>
      <c r="AV87" s="15"/>
      <c r="AW87" s="15"/>
      <c r="AX87" s="15"/>
      <c r="AY87" s="15"/>
      <c r="AZ87" s="15"/>
      <c r="BA87" s="15"/>
      <c r="BB87" s="184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84"/>
      <c r="CE87" s="15"/>
      <c r="CF87" s="15"/>
      <c r="CG87" s="15"/>
      <c r="CH87" s="15"/>
      <c r="CI87" s="15"/>
      <c r="CJ87" s="15"/>
      <c r="CK87" s="184"/>
      <c r="CL87" s="15"/>
      <c r="CM87" s="15"/>
      <c r="CN87" s="15"/>
      <c r="CO87" s="15"/>
      <c r="CP87" s="15"/>
      <c r="CQ87" s="15"/>
      <c r="CR87" s="184"/>
      <c r="CS87" s="15"/>
      <c r="CT87" s="15"/>
      <c r="CU87" s="15"/>
      <c r="CV87" s="15"/>
      <c r="CW87" s="15"/>
      <c r="CX87" s="15"/>
      <c r="CY87" s="184"/>
      <c r="CZ87" s="15"/>
      <c r="DA87" s="15"/>
      <c r="DB87" s="15"/>
      <c r="DC87" s="15"/>
      <c r="DD87" s="15"/>
      <c r="DE87" s="15"/>
      <c r="DF87" s="184"/>
      <c r="DG87" s="15"/>
      <c r="DH87" s="15"/>
      <c r="DI87" s="15"/>
      <c r="DJ87" s="15"/>
      <c r="DK87" s="15"/>
      <c r="DL87" s="15"/>
      <c r="DM87" s="184"/>
      <c r="DN87" s="15"/>
      <c r="DO87" s="15"/>
      <c r="DP87" s="15"/>
      <c r="DQ87" s="15"/>
      <c r="DR87" s="15"/>
      <c r="DS87" s="15"/>
      <c r="DT87" s="184"/>
      <c r="DU87" s="15"/>
      <c r="DV87" s="15"/>
      <c r="DW87" s="15"/>
      <c r="DX87" s="15"/>
      <c r="DY87" s="15"/>
      <c r="DZ87" s="15"/>
      <c r="EA87" s="184"/>
      <c r="EB87" s="15"/>
      <c r="EC87" s="15"/>
      <c r="ED87" s="15"/>
      <c r="EE87" s="15"/>
      <c r="EF87" s="15"/>
      <c r="EG87" s="15"/>
      <c r="EH87" s="184"/>
      <c r="EI87" s="15"/>
      <c r="EJ87" s="15"/>
      <c r="EK87" s="15"/>
      <c r="EL87" s="15"/>
      <c r="EM87" s="15"/>
      <c r="EN87" s="15"/>
      <c r="EO87" s="184"/>
      <c r="EP87" s="15"/>
      <c r="EQ87" s="15"/>
      <c r="ER87" s="15"/>
      <c r="ES87" s="15"/>
      <c r="ET87" s="15"/>
      <c r="EU87" s="15"/>
      <c r="EV87" s="184"/>
      <c r="EW87" s="15"/>
      <c r="EX87" s="15"/>
      <c r="EY87" s="15"/>
      <c r="EZ87" s="15"/>
      <c r="FA87" s="15"/>
      <c r="FB87" s="15"/>
      <c r="FC87" s="184"/>
      <c r="FD87" s="15"/>
      <c r="FE87" s="15"/>
      <c r="FF87" s="15"/>
      <c r="FG87" s="15"/>
      <c r="FH87" s="15"/>
      <c r="FI87" s="15"/>
      <c r="FJ87" s="184"/>
      <c r="FK87" s="15"/>
      <c r="FL87" s="15"/>
      <c r="FM87" s="15"/>
      <c r="FN87" s="15"/>
      <c r="FO87" s="15"/>
      <c r="FP87" s="15"/>
      <c r="FQ87" s="184"/>
      <c r="FR87" s="15"/>
      <c r="FS87" s="15"/>
      <c r="FT87" s="15"/>
      <c r="FU87" s="15"/>
      <c r="FV87" s="15"/>
      <c r="FW87" s="178"/>
      <c r="FX87" s="184"/>
      <c r="FY87" s="181"/>
      <c r="FZ87" s="15"/>
      <c r="GA87" s="15"/>
      <c r="GB87" s="15"/>
      <c r="GC87" s="15"/>
      <c r="GD87" s="15"/>
      <c r="GE87" s="184"/>
      <c r="GF87" s="15"/>
      <c r="GG87" s="15"/>
      <c r="GH87" s="15"/>
      <c r="GI87" s="15"/>
      <c r="GJ87" s="15"/>
      <c r="GK87" s="15"/>
      <c r="GL87" s="184"/>
      <c r="GM87" s="15"/>
      <c r="GN87" s="15"/>
      <c r="GO87" s="15"/>
      <c r="GP87" s="15"/>
      <c r="GQ87" s="15"/>
      <c r="GR87" s="15"/>
      <c r="GS87" s="184"/>
      <c r="GT87" s="15"/>
      <c r="GU87" s="15"/>
      <c r="GV87" s="15"/>
      <c r="GW87" s="15"/>
      <c r="GX87" s="15"/>
      <c r="GY87" s="15"/>
      <c r="GZ87" s="184"/>
      <c r="HA87" s="15"/>
      <c r="HB87" s="15"/>
      <c r="HC87" s="15"/>
      <c r="HD87" s="15"/>
      <c r="HE87" s="15"/>
      <c r="HF87" s="15"/>
      <c r="HG87" s="184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/>
      <c r="KE87" s="15"/>
      <c r="KF87" s="15"/>
      <c r="KG87" s="15"/>
      <c r="KH87" s="15"/>
      <c r="KI87" s="15"/>
      <c r="KJ87" s="15"/>
      <c r="KK87" s="15"/>
      <c r="KL87" s="15"/>
      <c r="KM87" s="15"/>
      <c r="KN87" s="15"/>
      <c r="KO87" s="15"/>
      <c r="KP87" s="15"/>
      <c r="KQ87" s="15"/>
      <c r="KR87" s="15"/>
      <c r="KS87" s="15"/>
      <c r="KT87" s="15"/>
      <c r="KU87" s="15"/>
      <c r="KV87" s="15"/>
      <c r="KW87" s="15"/>
      <c r="KX87" s="15"/>
      <c r="KY87" s="15"/>
      <c r="KZ87" s="15"/>
      <c r="LA87" s="15"/>
      <c r="LB87" s="15"/>
      <c r="LC87" s="15"/>
      <c r="LD87" s="15"/>
      <c r="LE87" s="15"/>
      <c r="LF87" s="15"/>
      <c r="LG87" s="15"/>
      <c r="LH87" s="15"/>
      <c r="LI87" s="15"/>
      <c r="LJ87" s="15"/>
      <c r="LK87" s="15"/>
      <c r="LL87" s="15"/>
      <c r="LM87" s="15"/>
      <c r="LN87" s="15"/>
      <c r="LO87" s="15"/>
      <c r="LP87" s="15"/>
      <c r="LQ87" s="15"/>
      <c r="LR87" s="15"/>
      <c r="LS87" s="15"/>
      <c r="LT87" s="15"/>
      <c r="LU87" s="15"/>
      <c r="LV87" s="15"/>
      <c r="LW87" s="15"/>
      <c r="LX87" s="15"/>
      <c r="LY87" s="15"/>
      <c r="LZ87" s="15"/>
      <c r="MA87" s="15"/>
      <c r="MB87" s="15"/>
      <c r="MC87" s="15"/>
      <c r="MD87" s="15"/>
      <c r="ME87" s="15"/>
      <c r="MF87" s="15"/>
      <c r="MG87" s="15"/>
      <c r="MH87" s="15"/>
      <c r="MI87" s="15"/>
      <c r="MJ87" s="15"/>
      <c r="MK87" s="15"/>
      <c r="ML87" s="15"/>
      <c r="MM87" s="15"/>
      <c r="MN87" s="15"/>
      <c r="MO87" s="15"/>
      <c r="MP87" s="15"/>
      <c r="MQ87" s="15"/>
      <c r="MR87" s="15"/>
      <c r="MS87" s="15"/>
      <c r="MT87" s="15"/>
      <c r="MU87" s="15"/>
      <c r="MV87" s="15"/>
      <c r="MW87" s="15"/>
      <c r="MX87" s="15"/>
      <c r="MY87" s="15"/>
      <c r="MZ87" s="15"/>
      <c r="NA87" s="15"/>
      <c r="NB87" s="15"/>
      <c r="NC87" s="15"/>
      <c r="ND87" s="15"/>
      <c r="NE87" s="15"/>
      <c r="NF87" s="15"/>
      <c r="NG87" s="15"/>
      <c r="NH87" s="15"/>
      <c r="NI87" s="15"/>
      <c r="NJ87" s="15"/>
      <c r="NK87" s="15"/>
      <c r="NL87" s="15"/>
      <c r="NM87" s="15"/>
      <c r="NN87" s="15"/>
      <c r="NO87" s="15"/>
      <c r="NP87" s="15"/>
      <c r="NQ87" s="15"/>
      <c r="NR87" s="15"/>
      <c r="NS87" s="15"/>
      <c r="NT87" s="15"/>
      <c r="NU87" s="15"/>
      <c r="NV87" s="15"/>
      <c r="NW87" s="15"/>
      <c r="NX87" s="15"/>
      <c r="NY87" s="15"/>
      <c r="NZ87" s="15"/>
    </row>
    <row r="88" spans="2:390" ht="19.5" customHeight="1" thickBot="1" x14ac:dyDescent="0.5">
      <c r="E88" s="29"/>
      <c r="F88" s="31"/>
      <c r="G88" s="31"/>
      <c r="H88" s="72"/>
      <c r="I88" s="72"/>
      <c r="J88" s="55"/>
      <c r="K88" s="55"/>
      <c r="L88" s="55"/>
      <c r="M88" s="31"/>
      <c r="N88" s="31"/>
      <c r="O88" s="31"/>
      <c r="P88" s="31"/>
      <c r="Q88" s="31"/>
      <c r="R88" s="19"/>
      <c r="S88" s="20"/>
      <c r="T88" s="21" t="str">
        <f t="shared" si="61"/>
        <v/>
      </c>
      <c r="U88" s="22"/>
      <c r="V88" s="199">
        <f t="shared" si="62"/>
        <v>0</v>
      </c>
      <c r="W88" s="22"/>
      <c r="X88" s="22"/>
      <c r="Y88" s="199">
        <f t="shared" si="63"/>
        <v>0</v>
      </c>
      <c r="Z88" s="36"/>
      <c r="AA88" s="15"/>
      <c r="AB88" s="15"/>
      <c r="AC88" s="15"/>
      <c r="AD88" s="15"/>
      <c r="AE88" s="15"/>
      <c r="AF88" s="15"/>
      <c r="AG88" s="184"/>
      <c r="AH88" s="15"/>
      <c r="AI88" s="15"/>
      <c r="AJ88" s="15"/>
      <c r="AK88" s="15"/>
      <c r="AL88" s="15"/>
      <c r="AM88" s="15"/>
      <c r="AN88" s="184"/>
      <c r="AO88" s="15"/>
      <c r="AP88" s="15"/>
      <c r="AQ88" s="15"/>
      <c r="AR88" s="15"/>
      <c r="AS88" s="15"/>
      <c r="AT88" s="15"/>
      <c r="AU88" s="184"/>
      <c r="AV88" s="15"/>
      <c r="AW88" s="15"/>
      <c r="AX88" s="15"/>
      <c r="AY88" s="15"/>
      <c r="AZ88" s="15"/>
      <c r="BA88" s="15"/>
      <c r="BB88" s="184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84"/>
      <c r="CE88" s="15"/>
      <c r="CF88" s="15"/>
      <c r="CG88" s="15"/>
      <c r="CH88" s="15"/>
      <c r="CI88" s="15"/>
      <c r="CJ88" s="15"/>
      <c r="CK88" s="184"/>
      <c r="CL88" s="15"/>
      <c r="CM88" s="15"/>
      <c r="CN88" s="15"/>
      <c r="CO88" s="15"/>
      <c r="CP88" s="15"/>
      <c r="CQ88" s="15"/>
      <c r="CR88" s="184"/>
      <c r="CS88" s="15"/>
      <c r="CT88" s="15"/>
      <c r="CU88" s="15"/>
      <c r="CV88" s="15"/>
      <c r="CW88" s="15"/>
      <c r="CX88" s="15"/>
      <c r="CY88" s="184"/>
      <c r="CZ88" s="15"/>
      <c r="DA88" s="15"/>
      <c r="DB88" s="15"/>
      <c r="DC88" s="15"/>
      <c r="DD88" s="15"/>
      <c r="DE88" s="15"/>
      <c r="DF88" s="184"/>
      <c r="DG88" s="15"/>
      <c r="DH88" s="15"/>
      <c r="DI88" s="15"/>
      <c r="DJ88" s="15"/>
      <c r="DK88" s="15"/>
      <c r="DL88" s="15"/>
      <c r="DM88" s="184"/>
      <c r="DN88" s="15"/>
      <c r="DO88" s="15"/>
      <c r="DP88" s="15"/>
      <c r="DQ88" s="15"/>
      <c r="DR88" s="15"/>
      <c r="DS88" s="15"/>
      <c r="DT88" s="184"/>
      <c r="DU88" s="15"/>
      <c r="DV88" s="15"/>
      <c r="DW88" s="15"/>
      <c r="DX88" s="15"/>
      <c r="DY88" s="15"/>
      <c r="DZ88" s="15"/>
      <c r="EA88" s="184"/>
      <c r="EB88" s="15"/>
      <c r="EC88" s="15"/>
      <c r="ED88" s="15"/>
      <c r="EE88" s="15"/>
      <c r="EF88" s="15"/>
      <c r="EG88" s="15"/>
      <c r="EH88" s="184"/>
      <c r="EI88" s="15"/>
      <c r="EJ88" s="15"/>
      <c r="EK88" s="15"/>
      <c r="EL88" s="15"/>
      <c r="EM88" s="15"/>
      <c r="EN88" s="15"/>
      <c r="EO88" s="184"/>
      <c r="EP88" s="15"/>
      <c r="EQ88" s="15"/>
      <c r="ER88" s="15"/>
      <c r="ES88" s="15"/>
      <c r="ET88" s="15"/>
      <c r="EU88" s="15"/>
      <c r="EV88" s="184"/>
      <c r="EW88" s="15"/>
      <c r="EX88" s="15"/>
      <c r="EY88" s="15"/>
      <c r="EZ88" s="15"/>
      <c r="FA88" s="15"/>
      <c r="FB88" s="15"/>
      <c r="FC88" s="184"/>
      <c r="FD88" s="15"/>
      <c r="FE88" s="15"/>
      <c r="FF88" s="15"/>
      <c r="FG88" s="15"/>
      <c r="FH88" s="15"/>
      <c r="FI88" s="15"/>
      <c r="FJ88" s="184"/>
      <c r="FK88" s="15"/>
      <c r="FL88" s="15"/>
      <c r="FM88" s="15"/>
      <c r="FN88" s="15"/>
      <c r="FO88" s="15"/>
      <c r="FP88" s="15"/>
      <c r="FQ88" s="184"/>
      <c r="FR88" s="15"/>
      <c r="FS88" s="15"/>
      <c r="FT88" s="15"/>
      <c r="FU88" s="15"/>
      <c r="FV88" s="15"/>
      <c r="FW88" s="178"/>
      <c r="FX88" s="184"/>
      <c r="FY88" s="181"/>
      <c r="FZ88" s="15"/>
      <c r="GA88" s="15"/>
      <c r="GB88" s="15"/>
      <c r="GC88" s="15"/>
      <c r="GD88" s="15"/>
      <c r="GE88" s="184"/>
      <c r="GF88" s="15"/>
      <c r="GG88" s="15"/>
      <c r="GH88" s="15"/>
      <c r="GI88" s="15"/>
      <c r="GJ88" s="15"/>
      <c r="GK88" s="15"/>
      <c r="GL88" s="184"/>
      <c r="GM88" s="15"/>
      <c r="GN88" s="15"/>
      <c r="GO88" s="15"/>
      <c r="GP88" s="15"/>
      <c r="GQ88" s="15"/>
      <c r="GR88" s="15"/>
      <c r="GS88" s="184"/>
      <c r="GT88" s="15"/>
      <c r="GU88" s="15"/>
      <c r="GV88" s="15"/>
      <c r="GW88" s="15"/>
      <c r="GX88" s="15"/>
      <c r="GY88" s="15"/>
      <c r="GZ88" s="184"/>
      <c r="HA88" s="15"/>
      <c r="HB88" s="15"/>
      <c r="HC88" s="15"/>
      <c r="HD88" s="15"/>
      <c r="HE88" s="15"/>
      <c r="HF88" s="15"/>
      <c r="HG88" s="184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5"/>
      <c r="LL88" s="15"/>
      <c r="LM88" s="15"/>
      <c r="LN88" s="15"/>
      <c r="LO88" s="15"/>
      <c r="LP88" s="15"/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  <c r="MG88" s="15"/>
      <c r="MH88" s="15"/>
      <c r="MI88" s="15"/>
      <c r="MJ88" s="15"/>
      <c r="MK88" s="15"/>
      <c r="ML88" s="15"/>
      <c r="MM88" s="15"/>
      <c r="MN88" s="15"/>
      <c r="MO88" s="15"/>
      <c r="MP88" s="15"/>
      <c r="MQ88" s="15"/>
      <c r="MR88" s="15"/>
      <c r="MS88" s="15"/>
      <c r="MT88" s="15"/>
      <c r="MU88" s="15"/>
      <c r="MV88" s="15"/>
      <c r="MW88" s="15"/>
      <c r="MX88" s="15"/>
      <c r="MY88" s="15"/>
      <c r="MZ88" s="15"/>
      <c r="NA88" s="15"/>
      <c r="NB88" s="15"/>
      <c r="NC88" s="15"/>
      <c r="ND88" s="15"/>
      <c r="NE88" s="15"/>
      <c r="NF88" s="15"/>
      <c r="NG88" s="15"/>
      <c r="NH88" s="15"/>
      <c r="NI88" s="15"/>
      <c r="NJ88" s="15"/>
      <c r="NK88" s="15"/>
      <c r="NL88" s="15"/>
      <c r="NM88" s="15"/>
      <c r="NN88" s="15"/>
      <c r="NO88" s="15"/>
      <c r="NP88" s="15"/>
      <c r="NQ88" s="15"/>
      <c r="NR88" s="15"/>
      <c r="NS88" s="15"/>
      <c r="NT88" s="15"/>
      <c r="NU88" s="15"/>
      <c r="NV88" s="15"/>
      <c r="NW88" s="15"/>
      <c r="NX88" s="15"/>
      <c r="NY88" s="15"/>
      <c r="NZ88" s="15"/>
    </row>
    <row r="89" spans="2:390" ht="19.5" customHeight="1" x14ac:dyDescent="0.45">
      <c r="B89" s="1">
        <f>+B57+1</f>
        <v>3</v>
      </c>
      <c r="C89" s="1">
        <v>0</v>
      </c>
      <c r="D89" s="1">
        <v>0</v>
      </c>
      <c r="E89" s="112" t="str">
        <f t="shared" ref="E89:E123" si="64">B89&amp;"."&amp;C89&amp;"."&amp;D89</f>
        <v>3.0.0</v>
      </c>
      <c r="F89" s="103" t="s">
        <v>21</v>
      </c>
      <c r="G89" s="103"/>
      <c r="H89" s="104"/>
      <c r="I89" s="104"/>
      <c r="J89" s="105"/>
      <c r="K89" s="105"/>
      <c r="L89" s="105"/>
      <c r="M89" s="103"/>
      <c r="N89" s="103"/>
      <c r="O89" s="106">
        <f>+SUM(O90,O95,O98,O104,O111,O119)</f>
        <v>936</v>
      </c>
      <c r="P89" s="106"/>
      <c r="Q89" s="106"/>
      <c r="R89" s="107"/>
      <c r="S89" s="107"/>
      <c r="T89" s="194">
        <f>+MAX(T90:T123)</f>
        <v>46171</v>
      </c>
      <c r="U89" s="160">
        <f>+SUM(O90*U90,O95*U95,O98*U98,O104*U104,O111*U111,O119*U119)/O89</f>
        <v>0</v>
      </c>
      <c r="V89" s="202">
        <f t="shared" si="62"/>
        <v>0</v>
      </c>
      <c r="W89" s="32"/>
      <c r="X89" s="32"/>
      <c r="Y89" s="205">
        <f t="shared" si="63"/>
        <v>0</v>
      </c>
      <c r="Z89" s="38"/>
      <c r="AA89" s="15"/>
      <c r="AB89" s="15"/>
      <c r="AC89" s="15"/>
      <c r="AD89" s="15"/>
      <c r="AE89" s="15"/>
      <c r="AF89" s="15"/>
      <c r="AG89" s="184"/>
      <c r="AH89" s="15"/>
      <c r="AI89" s="15"/>
      <c r="AJ89" s="15"/>
      <c r="AK89" s="15"/>
      <c r="AL89" s="15"/>
      <c r="AM89" s="15"/>
      <c r="AN89" s="184"/>
      <c r="AO89" s="15"/>
      <c r="AP89" s="15"/>
      <c r="AQ89" s="15"/>
      <c r="AR89" s="15"/>
      <c r="AS89" s="15"/>
      <c r="AT89" s="15"/>
      <c r="AU89" s="184"/>
      <c r="AV89" s="15"/>
      <c r="AW89" s="15"/>
      <c r="AX89" s="15"/>
      <c r="AY89" s="15"/>
      <c r="AZ89" s="15"/>
      <c r="BA89" s="15"/>
      <c r="BB89" s="184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84"/>
      <c r="CE89" s="15"/>
      <c r="CF89" s="15"/>
      <c r="CG89" s="15"/>
      <c r="CH89" s="15"/>
      <c r="CI89" s="15"/>
      <c r="CJ89" s="15"/>
      <c r="CK89" s="184"/>
      <c r="CL89" s="15"/>
      <c r="CM89" s="15"/>
      <c r="CN89" s="15"/>
      <c r="CO89" s="15"/>
      <c r="CP89" s="15"/>
      <c r="CQ89" s="15"/>
      <c r="CR89" s="184"/>
      <c r="CS89" s="15"/>
      <c r="CT89" s="15"/>
      <c r="CU89" s="15"/>
      <c r="CV89" s="15"/>
      <c r="CW89" s="15"/>
      <c r="CX89" s="15"/>
      <c r="CY89" s="184"/>
      <c r="CZ89" s="15"/>
      <c r="DA89" s="15"/>
      <c r="DB89" s="15"/>
      <c r="DC89" s="15"/>
      <c r="DD89" s="15"/>
      <c r="DE89" s="15"/>
      <c r="DF89" s="184"/>
      <c r="DG89" s="15"/>
      <c r="DH89" s="15"/>
      <c r="DI89" s="15"/>
      <c r="DJ89" s="15"/>
      <c r="DK89" s="15"/>
      <c r="DL89" s="15"/>
      <c r="DM89" s="184"/>
      <c r="DN89" s="15"/>
      <c r="DO89" s="15"/>
      <c r="DP89" s="15"/>
      <c r="DQ89" s="15"/>
      <c r="DR89" s="15"/>
      <c r="DS89" s="15"/>
      <c r="DT89" s="184"/>
      <c r="DU89" s="15"/>
      <c r="DV89" s="15"/>
      <c r="DW89" s="15"/>
      <c r="DX89" s="15"/>
      <c r="DY89" s="15"/>
      <c r="DZ89" s="15"/>
      <c r="EA89" s="184"/>
      <c r="EB89" s="15"/>
      <c r="EC89" s="15"/>
      <c r="ED89" s="15"/>
      <c r="EE89" s="15"/>
      <c r="EF89" s="15"/>
      <c r="EG89" s="15"/>
      <c r="EH89" s="184"/>
      <c r="EI89" s="15"/>
      <c r="EJ89" s="15"/>
      <c r="EK89" s="15"/>
      <c r="EL89" s="15"/>
      <c r="EM89" s="15"/>
      <c r="EN89" s="15"/>
      <c r="EO89" s="184"/>
      <c r="EP89" s="15"/>
      <c r="EQ89" s="15"/>
      <c r="ER89" s="15"/>
      <c r="ES89" s="15"/>
      <c r="ET89" s="15"/>
      <c r="EU89" s="15"/>
      <c r="EV89" s="184"/>
      <c r="EW89" s="15"/>
      <c r="EX89" s="15"/>
      <c r="EY89" s="15"/>
      <c r="EZ89" s="15"/>
      <c r="FA89" s="15"/>
      <c r="FB89" s="15"/>
      <c r="FC89" s="184"/>
      <c r="FD89" s="15"/>
      <c r="FE89" s="15"/>
      <c r="FF89" s="15"/>
      <c r="FG89" s="15"/>
      <c r="FH89" s="15"/>
      <c r="FI89" s="15"/>
      <c r="FJ89" s="184"/>
      <c r="FK89" s="15"/>
      <c r="FL89" s="15"/>
      <c r="FM89" s="15"/>
      <c r="FN89" s="15"/>
      <c r="FO89" s="15"/>
      <c r="FP89" s="15"/>
      <c r="FQ89" s="184"/>
      <c r="FR89" s="15"/>
      <c r="FS89" s="15"/>
      <c r="FT89" s="15"/>
      <c r="FU89" s="15"/>
      <c r="FV89" s="15"/>
      <c r="FW89" s="178"/>
      <c r="FX89" s="184"/>
      <c r="FY89" s="181"/>
      <c r="FZ89" s="15"/>
      <c r="GA89" s="15"/>
      <c r="GB89" s="15"/>
      <c r="GC89" s="15"/>
      <c r="GD89" s="15"/>
      <c r="GE89" s="184"/>
      <c r="GF89" s="15"/>
      <c r="GG89" s="15"/>
      <c r="GH89" s="15"/>
      <c r="GI89" s="15"/>
      <c r="GJ89" s="15"/>
      <c r="GK89" s="15"/>
      <c r="GL89" s="184"/>
      <c r="GM89" s="15"/>
      <c r="GN89" s="15"/>
      <c r="GO89" s="15"/>
      <c r="GP89" s="15"/>
      <c r="GQ89" s="15"/>
      <c r="GR89" s="15"/>
      <c r="GS89" s="184"/>
      <c r="GT89" s="15"/>
      <c r="GU89" s="15"/>
      <c r="GV89" s="15"/>
      <c r="GW89" s="15"/>
      <c r="GX89" s="15"/>
      <c r="GY89" s="15"/>
      <c r="GZ89" s="184"/>
      <c r="HA89" s="15"/>
      <c r="HB89" s="15"/>
      <c r="HC89" s="15"/>
      <c r="HD89" s="15"/>
      <c r="HE89" s="15"/>
      <c r="HF89" s="15"/>
      <c r="HG89" s="184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  <c r="MG89" s="15"/>
      <c r="MH89" s="15"/>
      <c r="MI89" s="15"/>
      <c r="MJ89" s="15"/>
      <c r="MK89" s="15"/>
      <c r="ML89" s="15"/>
      <c r="MM89" s="15"/>
      <c r="MN89" s="15"/>
      <c r="MO89" s="15"/>
      <c r="MP89" s="15"/>
      <c r="MQ89" s="15"/>
      <c r="MR89" s="15"/>
      <c r="MS89" s="15"/>
      <c r="MT89" s="15"/>
      <c r="MU89" s="15"/>
      <c r="MV89" s="15"/>
      <c r="MW89" s="15"/>
      <c r="MX89" s="15"/>
      <c r="MY89" s="15"/>
      <c r="MZ89" s="15"/>
      <c r="NA89" s="15"/>
      <c r="NB89" s="15"/>
      <c r="NC89" s="15"/>
      <c r="ND89" s="15"/>
      <c r="NE89" s="15"/>
      <c r="NF89" s="15"/>
      <c r="NG89" s="15"/>
      <c r="NH89" s="15"/>
      <c r="NI89" s="15"/>
      <c r="NJ89" s="15"/>
      <c r="NK89" s="15"/>
      <c r="NL89" s="15"/>
      <c r="NM89" s="15"/>
      <c r="NN89" s="15"/>
      <c r="NO89" s="15"/>
      <c r="NP89" s="15"/>
      <c r="NQ89" s="15"/>
      <c r="NR89" s="15"/>
      <c r="NS89" s="15"/>
      <c r="NT89" s="15"/>
      <c r="NU89" s="15"/>
      <c r="NV89" s="15"/>
      <c r="NW89" s="15"/>
      <c r="NX89" s="15"/>
      <c r="NY89" s="15"/>
      <c r="NZ89" s="15"/>
    </row>
    <row r="90" spans="2:390" ht="19.5" customHeight="1" x14ac:dyDescent="0.45">
      <c r="B90" s="1">
        <f>+B89</f>
        <v>3</v>
      </c>
      <c r="C90" s="1">
        <f>+C89+1</f>
        <v>1</v>
      </c>
      <c r="D90" s="1">
        <v>0</v>
      </c>
      <c r="E90" s="93" t="str">
        <f t="shared" si="64"/>
        <v>3.1.0</v>
      </c>
      <c r="F90" s="94" t="s">
        <v>35</v>
      </c>
      <c r="G90" s="94"/>
      <c r="H90" s="95"/>
      <c r="I90" s="95"/>
      <c r="J90" s="96"/>
      <c r="K90" s="96"/>
      <c r="L90" s="96"/>
      <c r="M90" s="94"/>
      <c r="N90" s="94"/>
      <c r="O90" s="95">
        <f>SUM(O91:O94)</f>
        <v>108</v>
      </c>
      <c r="P90" s="95"/>
      <c r="Q90" s="95"/>
      <c r="R90" s="168"/>
      <c r="S90" s="98"/>
      <c r="T90" s="163" t="str">
        <f t="shared" si="61"/>
        <v/>
      </c>
      <c r="U90" s="164">
        <f>+SUMPRODUCT(U91:U94,O91:O94)/O90</f>
        <v>0</v>
      </c>
      <c r="V90" s="200">
        <f t="shared" si="62"/>
        <v>0</v>
      </c>
      <c r="W90" s="158">
        <f t="shared" ref="W90:W95" si="65">SUMIFS($AA90:$NZ90, $AA$8:$NZ$8, $W$12)/$O90</f>
        <v>0</v>
      </c>
      <c r="X90" s="159">
        <f t="shared" ref="X90:X95" si="66">SUMIF($AA$9:$NZ$9, "&lt;=" &amp; $W$11,$AA90:$NZ90)/$O90</f>
        <v>0</v>
      </c>
      <c r="Y90" s="199">
        <f t="shared" si="63"/>
        <v>0</v>
      </c>
      <c r="Z90" s="36"/>
      <c r="AA90" s="15"/>
      <c r="AB90" s="15"/>
      <c r="AC90" s="15"/>
      <c r="AD90" s="15"/>
      <c r="AE90" s="15"/>
      <c r="AF90" s="15"/>
      <c r="AG90" s="184"/>
      <c r="AH90" s="15"/>
      <c r="AI90" s="15"/>
      <c r="AJ90" s="15"/>
      <c r="AK90" s="15"/>
      <c r="AL90" s="15"/>
      <c r="AM90" s="15"/>
      <c r="AN90" s="184"/>
      <c r="AO90" s="15"/>
      <c r="AP90" s="15"/>
      <c r="AQ90" s="15"/>
      <c r="AR90" s="15"/>
      <c r="AS90" s="15"/>
      <c r="AT90" s="15"/>
      <c r="AU90" s="184"/>
      <c r="AV90" s="15"/>
      <c r="AW90" s="15"/>
      <c r="AX90" s="15"/>
      <c r="AY90" s="15"/>
      <c r="AZ90" s="15"/>
      <c r="BA90" s="15"/>
      <c r="BB90" s="184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84"/>
      <c r="CE90" s="15"/>
      <c r="CF90" s="15"/>
      <c r="CG90" s="15"/>
      <c r="CH90" s="15"/>
      <c r="CI90" s="15"/>
      <c r="CJ90" s="15"/>
      <c r="CK90" s="184"/>
      <c r="CL90" s="15"/>
      <c r="CM90" s="15"/>
      <c r="CN90" s="15"/>
      <c r="CO90" s="15"/>
      <c r="CP90" s="15"/>
      <c r="CQ90" s="15"/>
      <c r="CR90" s="184"/>
      <c r="CS90" s="15"/>
      <c r="CT90" s="15"/>
      <c r="CU90" s="15"/>
      <c r="CV90" s="15"/>
      <c r="CW90" s="15"/>
      <c r="CX90" s="15"/>
      <c r="CY90" s="184"/>
      <c r="CZ90" s="15"/>
      <c r="DA90" s="15"/>
      <c r="DB90" s="15"/>
      <c r="DC90" s="15"/>
      <c r="DD90" s="15"/>
      <c r="DE90" s="15"/>
      <c r="DF90" s="184"/>
      <c r="DG90" s="15"/>
      <c r="DH90" s="15"/>
      <c r="DI90" s="15"/>
      <c r="DJ90" s="15"/>
      <c r="DK90" s="15"/>
      <c r="DL90" s="15"/>
      <c r="DM90" s="184"/>
      <c r="DN90" s="15"/>
      <c r="DO90" s="15"/>
      <c r="DP90" s="15"/>
      <c r="DQ90" s="15"/>
      <c r="DR90" s="15"/>
      <c r="DS90" s="15"/>
      <c r="DT90" s="184"/>
      <c r="DU90" s="15"/>
      <c r="DV90" s="15"/>
      <c r="DW90" s="15"/>
      <c r="DX90" s="15"/>
      <c r="DY90" s="15"/>
      <c r="DZ90" s="15"/>
      <c r="EA90" s="184"/>
      <c r="EB90" s="15"/>
      <c r="EC90" s="15"/>
      <c r="ED90" s="15"/>
      <c r="EE90" s="15"/>
      <c r="EF90" s="15"/>
      <c r="EG90" s="15"/>
      <c r="EH90" s="184"/>
      <c r="EI90" s="15"/>
      <c r="EJ90" s="15"/>
      <c r="EK90" s="15"/>
      <c r="EL90" s="15"/>
      <c r="EM90" s="15"/>
      <c r="EN90" s="15"/>
      <c r="EO90" s="184"/>
      <c r="EP90" s="15"/>
      <c r="EQ90" s="15"/>
      <c r="ER90" s="15"/>
      <c r="ES90" s="15"/>
      <c r="ET90" s="15"/>
      <c r="EU90" s="15"/>
      <c r="EV90" s="184"/>
      <c r="EW90" s="15"/>
      <c r="EX90" s="15"/>
      <c r="EY90" s="15"/>
      <c r="EZ90" s="15"/>
      <c r="FA90" s="15"/>
      <c r="FB90" s="15"/>
      <c r="FC90" s="184"/>
      <c r="FD90" s="15"/>
      <c r="FE90" s="15"/>
      <c r="FF90" s="15"/>
      <c r="FG90" s="15"/>
      <c r="FH90" s="15"/>
      <c r="FI90" s="15"/>
      <c r="FJ90" s="184"/>
      <c r="FK90" s="15"/>
      <c r="FL90" s="15"/>
      <c r="FM90" s="15"/>
      <c r="FN90" s="15"/>
      <c r="FO90" s="15"/>
      <c r="FP90" s="15"/>
      <c r="FQ90" s="184"/>
      <c r="FR90" s="15"/>
      <c r="FS90" s="15"/>
      <c r="FT90" s="15"/>
      <c r="FU90" s="15"/>
      <c r="FV90" s="15"/>
      <c r="FW90" s="178"/>
      <c r="FX90" s="184"/>
      <c r="FY90" s="181"/>
      <c r="FZ90" s="15"/>
      <c r="GA90" s="15"/>
      <c r="GB90" s="15"/>
      <c r="GC90" s="15"/>
      <c r="GD90" s="15"/>
      <c r="GE90" s="184"/>
      <c r="GF90" s="15"/>
      <c r="GG90" s="15"/>
      <c r="GH90" s="15"/>
      <c r="GI90" s="15"/>
      <c r="GJ90" s="15"/>
      <c r="GK90" s="15"/>
      <c r="GL90" s="184"/>
      <c r="GM90" s="15"/>
      <c r="GN90" s="15"/>
      <c r="GO90" s="15"/>
      <c r="GP90" s="15"/>
      <c r="GQ90" s="15"/>
      <c r="GR90" s="15"/>
      <c r="GS90" s="184"/>
      <c r="GT90" s="15"/>
      <c r="GU90" s="15"/>
      <c r="GV90" s="15"/>
      <c r="GW90" s="15"/>
      <c r="GX90" s="15"/>
      <c r="GY90" s="15"/>
      <c r="GZ90" s="184"/>
      <c r="HA90" s="15"/>
      <c r="HB90" s="15"/>
      <c r="HC90" s="15"/>
      <c r="HD90" s="15"/>
      <c r="HE90" s="15"/>
      <c r="HF90" s="15"/>
      <c r="HG90" s="184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/>
      <c r="KE90" s="15"/>
      <c r="KF90" s="15"/>
      <c r="KG90" s="15"/>
      <c r="KH90" s="15"/>
      <c r="KI90" s="15"/>
      <c r="KJ90" s="15"/>
      <c r="KK90" s="15"/>
      <c r="KL90" s="15"/>
      <c r="KM90" s="15"/>
      <c r="KN90" s="15"/>
      <c r="KO90" s="15"/>
      <c r="KP90" s="15"/>
      <c r="KQ90" s="15"/>
      <c r="KR90" s="15"/>
      <c r="KS90" s="15"/>
      <c r="KT90" s="15"/>
      <c r="KU90" s="15"/>
      <c r="KV90" s="15"/>
      <c r="KW90" s="15"/>
      <c r="KX90" s="15"/>
      <c r="KY90" s="15"/>
      <c r="KZ90" s="15"/>
      <c r="LA90" s="15"/>
      <c r="LB90" s="15"/>
      <c r="LC90" s="15"/>
      <c r="LD90" s="15"/>
      <c r="LE90" s="15"/>
      <c r="LF90" s="15"/>
      <c r="LG90" s="15"/>
      <c r="LH90" s="15"/>
      <c r="LI90" s="15"/>
      <c r="LJ90" s="15"/>
      <c r="LK90" s="15"/>
      <c r="LL90" s="15"/>
      <c r="LM90" s="15"/>
      <c r="LN90" s="15"/>
      <c r="LO90" s="15"/>
      <c r="LP90" s="15"/>
      <c r="LQ90" s="15"/>
      <c r="LR90" s="15"/>
      <c r="LS90" s="15"/>
      <c r="LT90" s="15"/>
      <c r="LU90" s="15"/>
      <c r="LV90" s="15"/>
      <c r="LW90" s="15"/>
      <c r="LX90" s="15"/>
      <c r="LY90" s="15"/>
      <c r="LZ90" s="15"/>
      <c r="MA90" s="15"/>
      <c r="MB90" s="15"/>
      <c r="MC90" s="15"/>
      <c r="MD90" s="15"/>
      <c r="ME90" s="15"/>
      <c r="MF90" s="15"/>
      <c r="MG90" s="15"/>
      <c r="MH90" s="15"/>
      <c r="MI90" s="15"/>
      <c r="MJ90" s="15"/>
      <c r="MK90" s="15"/>
      <c r="ML90" s="15"/>
      <c r="MM90" s="15"/>
      <c r="MN90" s="15"/>
      <c r="MO90" s="15"/>
      <c r="MP90" s="15"/>
      <c r="MQ90" s="15"/>
      <c r="MR90" s="15"/>
      <c r="MS90" s="15"/>
      <c r="MT90" s="15"/>
      <c r="MU90" s="15"/>
      <c r="MV90" s="15"/>
      <c r="MW90" s="15"/>
      <c r="MX90" s="15"/>
      <c r="MY90" s="15"/>
      <c r="MZ90" s="15"/>
      <c r="NA90" s="15"/>
      <c r="NB90" s="15"/>
      <c r="NC90" s="15"/>
      <c r="ND90" s="15"/>
      <c r="NE90" s="15"/>
      <c r="NF90" s="15"/>
      <c r="NG90" s="15"/>
      <c r="NH90" s="15"/>
      <c r="NI90" s="15"/>
      <c r="NJ90" s="15"/>
      <c r="NK90" s="15"/>
      <c r="NL90" s="15"/>
      <c r="NM90" s="15"/>
      <c r="NN90" s="15"/>
      <c r="NO90" s="15"/>
      <c r="NP90" s="15"/>
      <c r="NQ90" s="15"/>
      <c r="NR90" s="15"/>
      <c r="NS90" s="15"/>
      <c r="NT90" s="15"/>
      <c r="NU90" s="15"/>
      <c r="NV90" s="15"/>
      <c r="NW90" s="15"/>
      <c r="NX90" s="15"/>
      <c r="NY90" s="15"/>
      <c r="NZ90" s="15"/>
    </row>
    <row r="91" spans="2:390" ht="19.5" customHeight="1" x14ac:dyDescent="0.45">
      <c r="B91" s="1">
        <f>+B90</f>
        <v>3</v>
      </c>
      <c r="C91" s="1">
        <f>+C90</f>
        <v>1</v>
      </c>
      <c r="D91" s="1">
        <f>+D90+1</f>
        <v>1</v>
      </c>
      <c r="E91" s="59" t="str">
        <f t="shared" si="64"/>
        <v>3.1.1</v>
      </c>
      <c r="F91" s="23" t="s">
        <v>36</v>
      </c>
      <c r="G91" s="191">
        <v>2.6</v>
      </c>
      <c r="H91" s="52" t="s">
        <v>117</v>
      </c>
      <c r="I91" s="52" t="s">
        <v>156</v>
      </c>
      <c r="J91" s="52">
        <v>62</v>
      </c>
      <c r="K91" s="52">
        <v>0</v>
      </c>
      <c r="L91" s="52">
        <f>+J91-K91</f>
        <v>62</v>
      </c>
      <c r="M91" s="20">
        <v>2</v>
      </c>
      <c r="N91" s="20">
        <v>18</v>
      </c>
      <c r="O91" s="51">
        <f>+N91*M91</f>
        <v>36</v>
      </c>
      <c r="P91" s="51">
        <f>+SUM(AA91:NZ91)</f>
        <v>36</v>
      </c>
      <c r="Q91" s="51">
        <f>+O91-P91</f>
        <v>0</v>
      </c>
      <c r="R91" s="19">
        <v>46069</v>
      </c>
      <c r="S91" s="20">
        <v>15</v>
      </c>
      <c r="T91" s="21">
        <f t="shared" si="61"/>
        <v>46087</v>
      </c>
      <c r="U91" s="22">
        <f>+K91/J91</f>
        <v>0</v>
      </c>
      <c r="V91" s="199">
        <f t="shared" si="62"/>
        <v>0</v>
      </c>
      <c r="W91" s="158">
        <f t="shared" si="65"/>
        <v>0</v>
      </c>
      <c r="X91" s="159">
        <f t="shared" si="66"/>
        <v>0</v>
      </c>
      <c r="Y91" s="199">
        <f t="shared" si="63"/>
        <v>0</v>
      </c>
      <c r="Z91" s="36"/>
      <c r="AA91" s="15"/>
      <c r="AB91" s="15"/>
      <c r="AC91" s="15"/>
      <c r="AD91" s="15"/>
      <c r="AE91" s="15"/>
      <c r="AF91" s="15"/>
      <c r="AG91" s="184"/>
      <c r="AH91" s="15"/>
      <c r="AI91" s="15"/>
      <c r="AJ91" s="15"/>
      <c r="AK91" s="15"/>
      <c r="AL91" s="15"/>
      <c r="AM91" s="15"/>
      <c r="AN91" s="184"/>
      <c r="AO91" s="15"/>
      <c r="AP91" s="15"/>
      <c r="AQ91" s="15"/>
      <c r="AR91" s="15"/>
      <c r="AS91" s="15"/>
      <c r="AT91" s="15"/>
      <c r="AU91" s="184"/>
      <c r="AV91" s="15"/>
      <c r="AW91" s="15"/>
      <c r="AX91" s="15"/>
      <c r="AY91" s="15"/>
      <c r="AZ91" s="15"/>
      <c r="BA91" s="15"/>
      <c r="BB91" s="184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84"/>
      <c r="CE91" s="15"/>
      <c r="CF91" s="15"/>
      <c r="CG91" s="15"/>
      <c r="CH91" s="15"/>
      <c r="CI91" s="15"/>
      <c r="CJ91" s="15"/>
      <c r="CK91" s="184"/>
      <c r="CL91" s="15"/>
      <c r="CM91" s="15"/>
      <c r="CN91" s="15"/>
      <c r="CO91" s="15"/>
      <c r="CP91" s="15"/>
      <c r="CQ91" s="15"/>
      <c r="CR91" s="184"/>
      <c r="CS91" s="15"/>
      <c r="CT91" s="15"/>
      <c r="CU91" s="15"/>
      <c r="CV91" s="15"/>
      <c r="CW91" s="15"/>
      <c r="CX91" s="15"/>
      <c r="CY91" s="184"/>
      <c r="CZ91" s="15"/>
      <c r="DA91" s="15"/>
      <c r="DB91" s="15"/>
      <c r="DC91" s="15"/>
      <c r="DD91" s="15"/>
      <c r="DE91" s="15"/>
      <c r="DF91" s="184"/>
      <c r="DG91" s="15">
        <v>2</v>
      </c>
      <c r="DH91" s="15">
        <v>2</v>
      </c>
      <c r="DI91" s="15">
        <v>2</v>
      </c>
      <c r="DJ91" s="15">
        <v>2</v>
      </c>
      <c r="DK91" s="15">
        <v>2</v>
      </c>
      <c r="DL91" s="15">
        <v>2</v>
      </c>
      <c r="DM91" s="184"/>
      <c r="DN91" s="15">
        <v>2</v>
      </c>
      <c r="DO91" s="15">
        <v>2</v>
      </c>
      <c r="DP91" s="15">
        <v>2</v>
      </c>
      <c r="DQ91" s="15">
        <v>2</v>
      </c>
      <c r="DR91" s="15">
        <v>2</v>
      </c>
      <c r="DS91" s="15">
        <v>2</v>
      </c>
      <c r="DT91" s="184"/>
      <c r="DU91" s="15">
        <v>2</v>
      </c>
      <c r="DV91" s="15">
        <v>2</v>
      </c>
      <c r="DW91" s="15">
        <v>2</v>
      </c>
      <c r="DX91" s="15">
        <v>2</v>
      </c>
      <c r="DY91" s="15">
        <v>2</v>
      </c>
      <c r="DZ91" s="15">
        <v>2</v>
      </c>
      <c r="EA91" s="184"/>
      <c r="EB91" s="15"/>
      <c r="EC91" s="15"/>
      <c r="ED91" s="15"/>
      <c r="EE91" s="15"/>
      <c r="EF91" s="15"/>
      <c r="EG91" s="15"/>
      <c r="EH91" s="184"/>
      <c r="EI91" s="15"/>
      <c r="EJ91" s="15"/>
      <c r="EK91" s="15"/>
      <c r="EL91" s="15"/>
      <c r="EM91" s="15"/>
      <c r="EN91" s="15"/>
      <c r="EO91" s="184"/>
      <c r="EP91" s="15"/>
      <c r="EQ91" s="15"/>
      <c r="ER91" s="15"/>
      <c r="ES91" s="15"/>
      <c r="ET91" s="15"/>
      <c r="EU91" s="15"/>
      <c r="EV91" s="184"/>
      <c r="EW91" s="15"/>
      <c r="EX91" s="15"/>
      <c r="EY91" s="15"/>
      <c r="EZ91" s="15"/>
      <c r="FA91" s="15"/>
      <c r="FB91" s="15"/>
      <c r="FC91" s="184"/>
      <c r="FD91" s="15"/>
      <c r="FE91" s="15"/>
      <c r="FF91" s="15"/>
      <c r="FG91" s="15"/>
      <c r="FH91" s="15"/>
      <c r="FI91" s="15"/>
      <c r="FJ91" s="184"/>
      <c r="FK91" s="15"/>
      <c r="FL91" s="15"/>
      <c r="FM91" s="15"/>
      <c r="FN91" s="15"/>
      <c r="FO91" s="15"/>
      <c r="FP91" s="15"/>
      <c r="FQ91" s="184"/>
      <c r="FR91" s="15"/>
      <c r="FS91" s="15"/>
      <c r="FT91" s="15"/>
      <c r="FU91" s="15"/>
      <c r="FV91" s="15"/>
      <c r="FW91" s="178"/>
      <c r="FX91" s="184"/>
      <c r="FY91" s="181"/>
      <c r="FZ91" s="15"/>
      <c r="GA91" s="15"/>
      <c r="GB91" s="15"/>
      <c r="GC91" s="15"/>
      <c r="GD91" s="15"/>
      <c r="GE91" s="184"/>
      <c r="GF91" s="15"/>
      <c r="GG91" s="15"/>
      <c r="GH91" s="15"/>
      <c r="GI91" s="15"/>
      <c r="GJ91" s="15"/>
      <c r="GK91" s="15"/>
      <c r="GL91" s="184"/>
      <c r="GM91" s="15"/>
      <c r="GN91" s="15"/>
      <c r="GO91" s="15"/>
      <c r="GP91" s="15"/>
      <c r="GQ91" s="15"/>
      <c r="GR91" s="15"/>
      <c r="GS91" s="184"/>
      <c r="GT91" s="15"/>
      <c r="GU91" s="15"/>
      <c r="GV91" s="15"/>
      <c r="GW91" s="15"/>
      <c r="GX91" s="15"/>
      <c r="GY91" s="15"/>
      <c r="GZ91" s="184"/>
      <c r="HA91" s="15"/>
      <c r="HB91" s="15"/>
      <c r="HC91" s="15"/>
      <c r="HD91" s="15"/>
      <c r="HE91" s="15"/>
      <c r="HF91" s="15"/>
      <c r="HG91" s="184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/>
      <c r="LI91" s="15"/>
      <c r="LJ91" s="15"/>
      <c r="LK91" s="15"/>
      <c r="LL91" s="15"/>
      <c r="LM91" s="15"/>
      <c r="LN91" s="15"/>
      <c r="LO91" s="15"/>
      <c r="LP91" s="15"/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  <c r="MG91" s="15"/>
      <c r="MH91" s="15"/>
      <c r="MI91" s="15"/>
      <c r="MJ91" s="15"/>
      <c r="MK91" s="15"/>
      <c r="ML91" s="15"/>
      <c r="MM91" s="15"/>
      <c r="MN91" s="15"/>
      <c r="MO91" s="15"/>
      <c r="MP91" s="15"/>
      <c r="MQ91" s="15"/>
      <c r="MR91" s="15"/>
      <c r="MS91" s="15"/>
      <c r="MT91" s="15"/>
      <c r="MU91" s="15"/>
      <c r="MV91" s="15"/>
      <c r="MW91" s="15"/>
      <c r="MX91" s="15"/>
      <c r="MY91" s="15"/>
      <c r="MZ91" s="15"/>
      <c r="NA91" s="15"/>
      <c r="NB91" s="15"/>
      <c r="NC91" s="15"/>
      <c r="ND91" s="15"/>
      <c r="NE91" s="15"/>
      <c r="NF91" s="15"/>
      <c r="NG91" s="15"/>
      <c r="NH91" s="15"/>
      <c r="NI91" s="15"/>
      <c r="NJ91" s="15"/>
      <c r="NK91" s="15"/>
      <c r="NL91" s="15"/>
      <c r="NM91" s="15"/>
      <c r="NN91" s="15"/>
      <c r="NO91" s="15"/>
      <c r="NP91" s="15"/>
      <c r="NQ91" s="15"/>
      <c r="NR91" s="15"/>
      <c r="NS91" s="15"/>
      <c r="NT91" s="15"/>
      <c r="NU91" s="15"/>
      <c r="NV91" s="15"/>
      <c r="NW91" s="15"/>
      <c r="NX91" s="15"/>
      <c r="NY91" s="15"/>
      <c r="NZ91" s="15"/>
    </row>
    <row r="92" spans="2:390" ht="19.5" customHeight="1" x14ac:dyDescent="0.45">
      <c r="B92" s="1">
        <f>+B91</f>
        <v>3</v>
      </c>
      <c r="C92" s="1">
        <f>+C91</f>
        <v>1</v>
      </c>
      <c r="D92" s="1">
        <f>+D91+1</f>
        <v>2</v>
      </c>
      <c r="E92" s="59" t="str">
        <f t="shared" si="64"/>
        <v>3.1.2</v>
      </c>
      <c r="F92" s="23" t="s">
        <v>37</v>
      </c>
      <c r="G92" s="191">
        <v>2.6</v>
      </c>
      <c r="H92" s="52" t="s">
        <v>117</v>
      </c>
      <c r="I92" s="52" t="s">
        <v>156</v>
      </c>
      <c r="J92" s="52">
        <v>53</v>
      </c>
      <c r="K92" s="52">
        <v>0</v>
      </c>
      <c r="L92" s="52">
        <f>+J92-K92</f>
        <v>53</v>
      </c>
      <c r="M92" s="20">
        <v>4</v>
      </c>
      <c r="N92" s="20">
        <v>6</v>
      </c>
      <c r="O92" s="51">
        <f>+N92*M92</f>
        <v>24</v>
      </c>
      <c r="P92" s="51">
        <f>+SUM(AA92:NZ92)</f>
        <v>24</v>
      </c>
      <c r="Q92" s="51">
        <f>+O92-P92</f>
        <v>0</v>
      </c>
      <c r="R92" s="19">
        <f>+R91</f>
        <v>46069</v>
      </c>
      <c r="S92" s="20">
        <v>5</v>
      </c>
      <c r="T92" s="21">
        <f t="shared" si="61"/>
        <v>46073</v>
      </c>
      <c r="U92" s="22">
        <f>+K92/J92</f>
        <v>0</v>
      </c>
      <c r="V92" s="199">
        <f t="shared" si="62"/>
        <v>0</v>
      </c>
      <c r="W92" s="158">
        <f t="shared" si="65"/>
        <v>0</v>
      </c>
      <c r="X92" s="159">
        <f t="shared" si="66"/>
        <v>0</v>
      </c>
      <c r="Y92" s="199">
        <f t="shared" si="63"/>
        <v>0</v>
      </c>
      <c r="Z92" s="36"/>
      <c r="AA92" s="15"/>
      <c r="AB92" s="15"/>
      <c r="AC92" s="15"/>
      <c r="AD92" s="15"/>
      <c r="AE92" s="15"/>
      <c r="AF92" s="15"/>
      <c r="AG92" s="184"/>
      <c r="AH92" s="15"/>
      <c r="AI92" s="15"/>
      <c r="AJ92" s="15"/>
      <c r="AK92" s="15"/>
      <c r="AL92" s="15"/>
      <c r="AM92" s="15"/>
      <c r="AN92" s="184"/>
      <c r="AO92" s="15"/>
      <c r="AP92" s="15"/>
      <c r="AQ92" s="15"/>
      <c r="AR92" s="15"/>
      <c r="AS92" s="15"/>
      <c r="AT92" s="15"/>
      <c r="AU92" s="184"/>
      <c r="AV92" s="15"/>
      <c r="AW92" s="15"/>
      <c r="AX92" s="15"/>
      <c r="AY92" s="15"/>
      <c r="AZ92" s="15"/>
      <c r="BA92" s="15"/>
      <c r="BB92" s="184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84"/>
      <c r="CE92" s="15"/>
      <c r="CF92" s="15"/>
      <c r="CG92" s="15"/>
      <c r="CH92" s="15"/>
      <c r="CI92" s="15"/>
      <c r="CJ92" s="15"/>
      <c r="CK92" s="184"/>
      <c r="CL92" s="15"/>
      <c r="CM92" s="15"/>
      <c r="CN92" s="15"/>
      <c r="CO92" s="15"/>
      <c r="CP92" s="15"/>
      <c r="CQ92" s="15"/>
      <c r="CR92" s="184"/>
      <c r="CS92" s="15"/>
      <c r="CT92" s="15"/>
      <c r="CU92" s="15"/>
      <c r="CV92" s="15"/>
      <c r="CW92" s="15"/>
      <c r="CX92" s="15"/>
      <c r="CY92" s="184"/>
      <c r="CZ92" s="15"/>
      <c r="DA92" s="15"/>
      <c r="DB92" s="15"/>
      <c r="DC92" s="15"/>
      <c r="DD92" s="15"/>
      <c r="DE92" s="15"/>
      <c r="DF92" s="184"/>
      <c r="DG92" s="15">
        <v>4</v>
      </c>
      <c r="DH92" s="15">
        <v>4</v>
      </c>
      <c r="DI92" s="15">
        <v>4</v>
      </c>
      <c r="DJ92" s="15">
        <v>4</v>
      </c>
      <c r="DK92" s="15">
        <v>4</v>
      </c>
      <c r="DL92" s="15">
        <v>4</v>
      </c>
      <c r="DM92" s="184"/>
      <c r="DN92" s="15"/>
      <c r="DO92" s="15"/>
      <c r="DP92" s="15"/>
      <c r="DQ92" s="15"/>
      <c r="DR92" s="15"/>
      <c r="DS92" s="15"/>
      <c r="DT92" s="184"/>
      <c r="DU92" s="15"/>
      <c r="DV92" s="15"/>
      <c r="DW92" s="15"/>
      <c r="DX92" s="15"/>
      <c r="DY92" s="15"/>
      <c r="DZ92" s="15"/>
      <c r="EA92" s="184"/>
      <c r="EB92" s="15"/>
      <c r="EC92" s="15"/>
      <c r="ED92" s="15"/>
      <c r="EE92" s="15"/>
      <c r="EF92" s="15"/>
      <c r="EG92" s="15"/>
      <c r="EH92" s="184"/>
      <c r="EI92" s="15"/>
      <c r="EJ92" s="15"/>
      <c r="EK92" s="15"/>
      <c r="EL92" s="15"/>
      <c r="EM92" s="15"/>
      <c r="EN92" s="15"/>
      <c r="EO92" s="184"/>
      <c r="EP92" s="15"/>
      <c r="EQ92" s="15"/>
      <c r="ER92" s="15"/>
      <c r="ES92" s="15"/>
      <c r="ET92" s="15"/>
      <c r="EU92" s="15"/>
      <c r="EV92" s="184"/>
      <c r="EW92" s="15"/>
      <c r="EX92" s="15"/>
      <c r="EY92" s="15"/>
      <c r="EZ92" s="15"/>
      <c r="FA92" s="15"/>
      <c r="FB92" s="15"/>
      <c r="FC92" s="184"/>
      <c r="FD92" s="15"/>
      <c r="FE92" s="15"/>
      <c r="FF92" s="15"/>
      <c r="FG92" s="15"/>
      <c r="FH92" s="15"/>
      <c r="FI92" s="15"/>
      <c r="FJ92" s="184"/>
      <c r="FK92" s="15"/>
      <c r="FL92" s="15"/>
      <c r="FM92" s="15"/>
      <c r="FN92" s="15"/>
      <c r="FO92" s="15"/>
      <c r="FP92" s="15"/>
      <c r="FQ92" s="184"/>
      <c r="FR92" s="15"/>
      <c r="FS92" s="15"/>
      <c r="FT92" s="15"/>
      <c r="FU92" s="15"/>
      <c r="FV92" s="15"/>
      <c r="FW92" s="178"/>
      <c r="FX92" s="184"/>
      <c r="FY92" s="181"/>
      <c r="FZ92" s="15"/>
      <c r="GA92" s="15"/>
      <c r="GB92" s="15"/>
      <c r="GC92" s="15"/>
      <c r="GD92" s="15"/>
      <c r="GE92" s="184"/>
      <c r="GF92" s="15"/>
      <c r="GG92" s="15"/>
      <c r="GH92" s="15"/>
      <c r="GI92" s="15"/>
      <c r="GJ92" s="15"/>
      <c r="GK92" s="15"/>
      <c r="GL92" s="184"/>
      <c r="GM92" s="15"/>
      <c r="GN92" s="15"/>
      <c r="GO92" s="15"/>
      <c r="GP92" s="15"/>
      <c r="GQ92" s="15"/>
      <c r="GR92" s="15"/>
      <c r="GS92" s="184"/>
      <c r="GT92" s="15"/>
      <c r="GU92" s="15"/>
      <c r="GV92" s="15"/>
      <c r="GW92" s="15"/>
      <c r="GX92" s="15"/>
      <c r="GY92" s="15"/>
      <c r="GZ92" s="184"/>
      <c r="HA92" s="15"/>
      <c r="HB92" s="15"/>
      <c r="HC92" s="15"/>
      <c r="HD92" s="15"/>
      <c r="HE92" s="15"/>
      <c r="HF92" s="15"/>
      <c r="HG92" s="184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  <c r="JT92" s="15"/>
      <c r="JU92" s="15"/>
      <c r="JV92" s="15"/>
      <c r="JW92" s="15"/>
      <c r="JX92" s="15"/>
      <c r="JY92" s="15"/>
      <c r="JZ92" s="15"/>
      <c r="KA92" s="15"/>
      <c r="KB92" s="15"/>
      <c r="KC92" s="15"/>
      <c r="KD92" s="15"/>
      <c r="KE92" s="15"/>
      <c r="KF92" s="15"/>
      <c r="KG92" s="15"/>
      <c r="KH92" s="15"/>
      <c r="KI92" s="15"/>
      <c r="KJ92" s="15"/>
      <c r="KK92" s="15"/>
      <c r="KL92" s="15"/>
      <c r="KM92" s="15"/>
      <c r="KN92" s="15"/>
      <c r="KO92" s="15"/>
      <c r="KP92" s="15"/>
      <c r="KQ92" s="15"/>
      <c r="KR92" s="15"/>
      <c r="KS92" s="15"/>
      <c r="KT92" s="15"/>
      <c r="KU92" s="15"/>
      <c r="KV92" s="15"/>
      <c r="KW92" s="15"/>
      <c r="KX92" s="15"/>
      <c r="KY92" s="15"/>
      <c r="KZ92" s="15"/>
      <c r="LA92" s="15"/>
      <c r="LB92" s="15"/>
      <c r="LC92" s="15"/>
      <c r="LD92" s="15"/>
      <c r="LE92" s="15"/>
      <c r="LF92" s="15"/>
      <c r="LG92" s="15"/>
      <c r="LH92" s="15"/>
      <c r="LI92" s="15"/>
      <c r="LJ92" s="15"/>
      <c r="LK92" s="15"/>
      <c r="LL92" s="15"/>
      <c r="LM92" s="15"/>
      <c r="LN92" s="15"/>
      <c r="LO92" s="15"/>
      <c r="LP92" s="15"/>
      <c r="LQ92" s="15"/>
      <c r="LR92" s="15"/>
      <c r="LS92" s="15"/>
      <c r="LT92" s="15"/>
      <c r="LU92" s="15"/>
      <c r="LV92" s="15"/>
      <c r="LW92" s="15"/>
      <c r="LX92" s="15"/>
      <c r="LY92" s="15"/>
      <c r="LZ92" s="15"/>
      <c r="MA92" s="15"/>
      <c r="MB92" s="15"/>
      <c r="MC92" s="15"/>
      <c r="MD92" s="15"/>
      <c r="ME92" s="15"/>
      <c r="MF92" s="15"/>
      <c r="MG92" s="15"/>
      <c r="MH92" s="15"/>
      <c r="MI92" s="15"/>
      <c r="MJ92" s="15"/>
      <c r="MK92" s="15"/>
      <c r="ML92" s="15"/>
      <c r="MM92" s="15"/>
      <c r="MN92" s="15"/>
      <c r="MO92" s="15"/>
      <c r="MP92" s="15"/>
      <c r="MQ92" s="15"/>
      <c r="MR92" s="15"/>
      <c r="MS92" s="15"/>
      <c r="MT92" s="15"/>
      <c r="MU92" s="15"/>
      <c r="MV92" s="15"/>
      <c r="MW92" s="15"/>
      <c r="MX92" s="15"/>
      <c r="MY92" s="15"/>
      <c r="MZ92" s="15"/>
      <c r="NA92" s="15"/>
      <c r="NB92" s="15"/>
      <c r="NC92" s="15"/>
      <c r="ND92" s="15"/>
      <c r="NE92" s="15"/>
      <c r="NF92" s="15"/>
      <c r="NG92" s="15"/>
      <c r="NH92" s="15"/>
      <c r="NI92" s="15"/>
      <c r="NJ92" s="15"/>
      <c r="NK92" s="15"/>
      <c r="NL92" s="15"/>
      <c r="NM92" s="15"/>
      <c r="NN92" s="15"/>
      <c r="NO92" s="15"/>
      <c r="NP92" s="15"/>
      <c r="NQ92" s="15"/>
      <c r="NR92" s="15"/>
      <c r="NS92" s="15"/>
      <c r="NT92" s="15"/>
      <c r="NU92" s="15"/>
      <c r="NV92" s="15"/>
      <c r="NW92" s="15"/>
      <c r="NX92" s="15"/>
      <c r="NY92" s="15"/>
      <c r="NZ92" s="15"/>
    </row>
    <row r="93" spans="2:390" ht="19.5" customHeight="1" x14ac:dyDescent="0.45">
      <c r="B93" s="1">
        <f>+B92</f>
        <v>3</v>
      </c>
      <c r="C93" s="1">
        <f>+C92</f>
        <v>1</v>
      </c>
      <c r="D93" s="1">
        <f>+D92+1</f>
        <v>3</v>
      </c>
      <c r="E93" s="59" t="str">
        <f t="shared" si="64"/>
        <v>3.1.3</v>
      </c>
      <c r="F93" s="23" t="s">
        <v>23</v>
      </c>
      <c r="G93" s="191">
        <v>2.6</v>
      </c>
      <c r="H93" s="52" t="s">
        <v>117</v>
      </c>
      <c r="I93" s="52" t="s">
        <v>156</v>
      </c>
      <c r="J93" s="52">
        <v>5</v>
      </c>
      <c r="K93" s="52">
        <v>0</v>
      </c>
      <c r="L93" s="52">
        <f>+J93-K93</f>
        <v>5</v>
      </c>
      <c r="M93" s="20">
        <v>4</v>
      </c>
      <c r="N93" s="20">
        <v>6</v>
      </c>
      <c r="O93" s="51">
        <f>+N93*M93</f>
        <v>24</v>
      </c>
      <c r="P93" s="51">
        <f>+SUM(AA93:NZ93)</f>
        <v>24</v>
      </c>
      <c r="Q93" s="51">
        <f>+O93-P93</f>
        <v>0</v>
      </c>
      <c r="R93" s="19">
        <v>46076</v>
      </c>
      <c r="S93" s="20">
        <v>5</v>
      </c>
      <c r="T93" s="21">
        <f t="shared" si="61"/>
        <v>46080</v>
      </c>
      <c r="U93" s="22">
        <f>+K93/J93</f>
        <v>0</v>
      </c>
      <c r="V93" s="199">
        <f t="shared" si="62"/>
        <v>0</v>
      </c>
      <c r="W93" s="158">
        <f t="shared" si="65"/>
        <v>0</v>
      </c>
      <c r="X93" s="159">
        <f t="shared" si="66"/>
        <v>0</v>
      </c>
      <c r="Y93" s="199">
        <f t="shared" si="63"/>
        <v>0</v>
      </c>
      <c r="Z93" s="36"/>
      <c r="AA93" s="15"/>
      <c r="AB93" s="15"/>
      <c r="AC93" s="15"/>
      <c r="AD93" s="15"/>
      <c r="AE93" s="15"/>
      <c r="AF93" s="15"/>
      <c r="AG93" s="184"/>
      <c r="AH93" s="15"/>
      <c r="AI93" s="15"/>
      <c r="AJ93" s="15"/>
      <c r="AK93" s="15"/>
      <c r="AL93" s="15"/>
      <c r="AM93" s="15"/>
      <c r="AN93" s="184"/>
      <c r="AO93" s="15"/>
      <c r="AP93" s="15"/>
      <c r="AQ93" s="15"/>
      <c r="AR93" s="15"/>
      <c r="AS93" s="15"/>
      <c r="AT93" s="15"/>
      <c r="AU93" s="184"/>
      <c r="AV93" s="15"/>
      <c r="AW93" s="15"/>
      <c r="AX93" s="15"/>
      <c r="AY93" s="15"/>
      <c r="AZ93" s="15"/>
      <c r="BA93" s="15"/>
      <c r="BB93" s="184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84"/>
      <c r="CE93" s="15"/>
      <c r="CF93" s="15"/>
      <c r="CG93" s="15"/>
      <c r="CH93" s="15"/>
      <c r="CI93" s="15"/>
      <c r="CJ93" s="15"/>
      <c r="CK93" s="184"/>
      <c r="CL93" s="15"/>
      <c r="CM93" s="15"/>
      <c r="CN93" s="15"/>
      <c r="CO93" s="15"/>
      <c r="CP93" s="15"/>
      <c r="CQ93" s="15"/>
      <c r="CR93" s="184"/>
      <c r="CS93" s="15"/>
      <c r="CT93" s="15"/>
      <c r="CU93" s="15"/>
      <c r="CV93" s="15"/>
      <c r="CW93" s="15"/>
      <c r="CX93" s="15"/>
      <c r="CY93" s="184"/>
      <c r="CZ93" s="15"/>
      <c r="DA93" s="15"/>
      <c r="DB93" s="15"/>
      <c r="DC93" s="15"/>
      <c r="DD93" s="15"/>
      <c r="DE93" s="15"/>
      <c r="DF93" s="184"/>
      <c r="DG93" s="15"/>
      <c r="DH93" s="15"/>
      <c r="DI93" s="15"/>
      <c r="DJ93" s="15"/>
      <c r="DK93" s="15"/>
      <c r="DL93" s="15"/>
      <c r="DM93" s="184"/>
      <c r="DN93" s="15">
        <v>4</v>
      </c>
      <c r="DO93" s="15">
        <v>4</v>
      </c>
      <c r="DP93" s="15">
        <v>4</v>
      </c>
      <c r="DQ93" s="15">
        <v>4</v>
      </c>
      <c r="DR93" s="15">
        <v>4</v>
      </c>
      <c r="DS93" s="15">
        <v>4</v>
      </c>
      <c r="DT93" s="184"/>
      <c r="DU93" s="15"/>
      <c r="DV93" s="15"/>
      <c r="DW93" s="15"/>
      <c r="DX93" s="15"/>
      <c r="DY93" s="15"/>
      <c r="DZ93" s="15"/>
      <c r="EA93" s="184"/>
      <c r="EB93" s="15"/>
      <c r="EC93" s="15"/>
      <c r="ED93" s="15"/>
      <c r="EE93" s="15"/>
      <c r="EF93" s="15"/>
      <c r="EG93" s="15"/>
      <c r="EH93" s="184"/>
      <c r="EI93" s="15"/>
      <c r="EJ93" s="15"/>
      <c r="EK93" s="15"/>
      <c r="EL93" s="15"/>
      <c r="EM93" s="15"/>
      <c r="EN93" s="15"/>
      <c r="EO93" s="184"/>
      <c r="EP93" s="15"/>
      <c r="EQ93" s="15"/>
      <c r="ER93" s="15"/>
      <c r="ES93" s="15"/>
      <c r="ET93" s="15"/>
      <c r="EU93" s="15"/>
      <c r="EV93" s="184"/>
      <c r="EW93" s="15"/>
      <c r="EX93" s="15"/>
      <c r="EY93" s="15"/>
      <c r="EZ93" s="15"/>
      <c r="FA93" s="15"/>
      <c r="FB93" s="15"/>
      <c r="FC93" s="184"/>
      <c r="FD93" s="15"/>
      <c r="FE93" s="15"/>
      <c r="FF93" s="15"/>
      <c r="FG93" s="15"/>
      <c r="FH93" s="15"/>
      <c r="FI93" s="15"/>
      <c r="FJ93" s="184"/>
      <c r="FK93" s="15"/>
      <c r="FL93" s="15"/>
      <c r="FM93" s="15"/>
      <c r="FN93" s="15"/>
      <c r="FO93" s="15"/>
      <c r="FP93" s="15"/>
      <c r="FQ93" s="184"/>
      <c r="FR93" s="15"/>
      <c r="FS93" s="15"/>
      <c r="FT93" s="15"/>
      <c r="FU93" s="15"/>
      <c r="FV93" s="15"/>
      <c r="FW93" s="178"/>
      <c r="FX93" s="184"/>
      <c r="FY93" s="181"/>
      <c r="FZ93" s="15"/>
      <c r="GA93" s="15"/>
      <c r="GB93" s="15"/>
      <c r="GC93" s="15"/>
      <c r="GD93" s="15"/>
      <c r="GE93" s="184"/>
      <c r="GF93" s="15"/>
      <c r="GG93" s="15"/>
      <c r="GH93" s="15"/>
      <c r="GI93" s="15"/>
      <c r="GJ93" s="15"/>
      <c r="GK93" s="15"/>
      <c r="GL93" s="184"/>
      <c r="GM93" s="15"/>
      <c r="GN93" s="15"/>
      <c r="GO93" s="15"/>
      <c r="GP93" s="15"/>
      <c r="GQ93" s="15"/>
      <c r="GR93" s="15"/>
      <c r="GS93" s="184"/>
      <c r="GT93" s="15"/>
      <c r="GU93" s="15"/>
      <c r="GV93" s="15"/>
      <c r="GW93" s="15"/>
      <c r="GX93" s="15"/>
      <c r="GY93" s="15"/>
      <c r="GZ93" s="184"/>
      <c r="HA93" s="15"/>
      <c r="HB93" s="15"/>
      <c r="HC93" s="15"/>
      <c r="HD93" s="15"/>
      <c r="HE93" s="15"/>
      <c r="HF93" s="15"/>
      <c r="HG93" s="184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  <c r="KR93" s="15"/>
      <c r="KS93" s="15"/>
      <c r="KT93" s="15"/>
      <c r="KU93" s="15"/>
      <c r="KV93" s="15"/>
      <c r="KW93" s="15"/>
      <c r="KX93" s="15"/>
      <c r="KY93" s="15"/>
      <c r="KZ93" s="15"/>
      <c r="LA93" s="15"/>
      <c r="LB93" s="15"/>
      <c r="LC93" s="15"/>
      <c r="LD93" s="15"/>
      <c r="LE93" s="15"/>
      <c r="LF93" s="15"/>
      <c r="LG93" s="15"/>
      <c r="LH93" s="15"/>
      <c r="LI93" s="15"/>
      <c r="LJ93" s="15"/>
      <c r="LK93" s="15"/>
      <c r="LL93" s="15"/>
      <c r="LM93" s="15"/>
      <c r="LN93" s="15"/>
      <c r="LO93" s="15"/>
      <c r="LP93" s="15"/>
      <c r="LQ93" s="15"/>
      <c r="LR93" s="15"/>
      <c r="LS93" s="15"/>
      <c r="LT93" s="15"/>
      <c r="LU93" s="15"/>
      <c r="LV93" s="15"/>
      <c r="LW93" s="15"/>
      <c r="LX93" s="15"/>
      <c r="LY93" s="15"/>
      <c r="LZ93" s="15"/>
      <c r="MA93" s="15"/>
      <c r="MB93" s="15"/>
      <c r="MC93" s="15"/>
      <c r="MD93" s="15"/>
      <c r="ME93" s="15"/>
      <c r="MF93" s="15"/>
      <c r="MG93" s="15"/>
      <c r="MH93" s="15"/>
      <c r="MI93" s="15"/>
      <c r="MJ93" s="15"/>
      <c r="MK93" s="15"/>
      <c r="ML93" s="15"/>
      <c r="MM93" s="15"/>
      <c r="MN93" s="15"/>
      <c r="MO93" s="15"/>
      <c r="MP93" s="15"/>
      <c r="MQ93" s="15"/>
      <c r="MR93" s="15"/>
      <c r="MS93" s="15"/>
      <c r="MT93" s="15"/>
      <c r="MU93" s="15"/>
      <c r="MV93" s="15"/>
      <c r="MW93" s="15"/>
      <c r="MX93" s="15"/>
      <c r="MY93" s="15"/>
      <c r="MZ93" s="15"/>
      <c r="NA93" s="15"/>
      <c r="NB93" s="15"/>
      <c r="NC93" s="15"/>
      <c r="ND93" s="15"/>
      <c r="NE93" s="15"/>
      <c r="NF93" s="15"/>
      <c r="NG93" s="15"/>
      <c r="NH93" s="15"/>
      <c r="NI93" s="15"/>
      <c r="NJ93" s="15"/>
      <c r="NK93" s="15"/>
      <c r="NL93" s="15"/>
      <c r="NM93" s="15"/>
      <c r="NN93" s="15"/>
      <c r="NO93" s="15"/>
      <c r="NP93" s="15"/>
      <c r="NQ93" s="15"/>
      <c r="NR93" s="15"/>
      <c r="NS93" s="15"/>
      <c r="NT93" s="15"/>
      <c r="NU93" s="15"/>
      <c r="NV93" s="15"/>
      <c r="NW93" s="15"/>
      <c r="NX93" s="15"/>
      <c r="NY93" s="15"/>
      <c r="NZ93" s="15"/>
    </row>
    <row r="94" spans="2:390" ht="19.5" customHeight="1" x14ac:dyDescent="0.45">
      <c r="B94" s="1">
        <f>+B93</f>
        <v>3</v>
      </c>
      <c r="C94" s="1">
        <f>+C93</f>
        <v>1</v>
      </c>
      <c r="D94" s="1">
        <f>+D93+1</f>
        <v>4</v>
      </c>
      <c r="E94" s="59" t="str">
        <f t="shared" si="64"/>
        <v>3.1.4</v>
      </c>
      <c r="F94" s="23" t="s">
        <v>134</v>
      </c>
      <c r="G94" s="191">
        <v>2.6</v>
      </c>
      <c r="H94" s="52" t="s">
        <v>117</v>
      </c>
      <c r="I94" s="52" t="s">
        <v>156</v>
      </c>
      <c r="J94" s="61">
        <v>1</v>
      </c>
      <c r="K94" s="52">
        <v>0</v>
      </c>
      <c r="L94" s="52">
        <f>+J94-K94</f>
        <v>1</v>
      </c>
      <c r="M94" s="20">
        <v>2</v>
      </c>
      <c r="N94" s="20">
        <v>12</v>
      </c>
      <c r="O94" s="51">
        <f>+N94*M94</f>
        <v>24</v>
      </c>
      <c r="P94" s="51">
        <f>+SUM(AA94:NZ94)</f>
        <v>6</v>
      </c>
      <c r="Q94" s="51">
        <f>+O94-P94</f>
        <v>18</v>
      </c>
      <c r="R94" s="187"/>
      <c r="S94" s="64"/>
      <c r="T94" s="155" t="str">
        <f t="shared" si="61"/>
        <v/>
      </c>
      <c r="U94" s="22">
        <f>+K94/J94</f>
        <v>0</v>
      </c>
      <c r="V94" s="199">
        <f t="shared" si="62"/>
        <v>0</v>
      </c>
      <c r="W94" s="158">
        <f t="shared" si="65"/>
        <v>0</v>
      </c>
      <c r="X94" s="159">
        <f t="shared" si="66"/>
        <v>0.25</v>
      </c>
      <c r="Y94" s="199">
        <f t="shared" si="63"/>
        <v>6</v>
      </c>
      <c r="Z94" s="36"/>
      <c r="AA94" s="15">
        <v>2</v>
      </c>
      <c r="AB94" s="15">
        <v>2</v>
      </c>
      <c r="AC94" s="15">
        <v>2</v>
      </c>
      <c r="AD94" s="15"/>
      <c r="AE94" s="15"/>
      <c r="AF94" s="15"/>
      <c r="AG94" s="184"/>
      <c r="AH94" s="15"/>
      <c r="AI94" s="15"/>
      <c r="AJ94" s="15"/>
      <c r="AK94" s="15"/>
      <c r="AL94" s="15"/>
      <c r="AM94" s="15"/>
      <c r="AN94" s="184"/>
      <c r="AO94" s="15"/>
      <c r="AP94" s="15"/>
      <c r="AQ94" s="15"/>
      <c r="AR94" s="15"/>
      <c r="AS94" s="15"/>
      <c r="AT94" s="15"/>
      <c r="AU94" s="184"/>
      <c r="AV94" s="15"/>
      <c r="AW94" s="15"/>
      <c r="AX94" s="15"/>
      <c r="AY94" s="15"/>
      <c r="AZ94" s="15"/>
      <c r="BA94" s="15"/>
      <c r="BB94" s="184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84"/>
      <c r="CE94" s="15"/>
      <c r="CF94" s="15"/>
      <c r="CG94" s="15"/>
      <c r="CH94" s="15"/>
      <c r="CI94" s="15"/>
      <c r="CJ94" s="15"/>
      <c r="CK94" s="184"/>
      <c r="CL94" s="15"/>
      <c r="CM94" s="15"/>
      <c r="CN94" s="15"/>
      <c r="CO94" s="15"/>
      <c r="CP94" s="15"/>
      <c r="CQ94" s="15"/>
      <c r="CR94" s="184"/>
      <c r="CS94" s="15"/>
      <c r="CT94" s="15"/>
      <c r="CU94" s="15"/>
      <c r="CV94" s="15"/>
      <c r="CW94" s="15"/>
      <c r="CX94" s="15"/>
      <c r="CY94" s="184"/>
      <c r="CZ94" s="15"/>
      <c r="DA94" s="15"/>
      <c r="DB94" s="15"/>
      <c r="DC94" s="15"/>
      <c r="DD94" s="15"/>
      <c r="DE94" s="15"/>
      <c r="DF94" s="184"/>
      <c r="DG94" s="15"/>
      <c r="DH94" s="15"/>
      <c r="DI94" s="15"/>
      <c r="DJ94" s="15"/>
      <c r="DK94" s="15"/>
      <c r="DL94" s="15"/>
      <c r="DM94" s="184"/>
      <c r="DN94" s="15"/>
      <c r="DO94" s="15"/>
      <c r="DP94" s="15"/>
      <c r="DQ94" s="15"/>
      <c r="DR94" s="15"/>
      <c r="DS94" s="15"/>
      <c r="DT94" s="184"/>
      <c r="DU94" s="15"/>
      <c r="DV94" s="15"/>
      <c r="DW94" s="15"/>
      <c r="DX94" s="15"/>
      <c r="DY94" s="15"/>
      <c r="DZ94" s="15"/>
      <c r="EA94" s="184"/>
      <c r="EB94" s="15"/>
      <c r="EC94" s="15"/>
      <c r="ED94" s="15"/>
      <c r="EE94" s="15"/>
      <c r="EF94" s="15"/>
      <c r="EG94" s="15"/>
      <c r="EH94" s="184"/>
      <c r="EI94" s="15"/>
      <c r="EJ94" s="15"/>
      <c r="EK94" s="15"/>
      <c r="EL94" s="15"/>
      <c r="EM94" s="15"/>
      <c r="EN94" s="15"/>
      <c r="EO94" s="184"/>
      <c r="EP94" s="15"/>
      <c r="EQ94" s="15"/>
      <c r="ER94" s="15"/>
      <c r="ES94" s="15"/>
      <c r="ET94" s="15"/>
      <c r="EU94" s="15"/>
      <c r="EV94" s="184"/>
      <c r="EW94" s="15"/>
      <c r="EX94" s="15"/>
      <c r="EY94" s="15"/>
      <c r="EZ94" s="15"/>
      <c r="FA94" s="15"/>
      <c r="FB94" s="15"/>
      <c r="FC94" s="184"/>
      <c r="FD94" s="15"/>
      <c r="FE94" s="15"/>
      <c r="FF94" s="15"/>
      <c r="FG94" s="15"/>
      <c r="FH94" s="15"/>
      <c r="FI94" s="15"/>
      <c r="FJ94" s="184"/>
      <c r="FK94" s="15"/>
      <c r="FL94" s="15"/>
      <c r="FM94" s="15"/>
      <c r="FN94" s="15"/>
      <c r="FO94" s="15"/>
      <c r="FP94" s="15"/>
      <c r="FQ94" s="184"/>
      <c r="FR94" s="15"/>
      <c r="FS94" s="15"/>
      <c r="FT94" s="15"/>
      <c r="FU94" s="15"/>
      <c r="FV94" s="15"/>
      <c r="FW94" s="178"/>
      <c r="FX94" s="184"/>
      <c r="FY94" s="181"/>
      <c r="FZ94" s="15"/>
      <c r="GA94" s="15"/>
      <c r="GB94" s="15"/>
      <c r="GC94" s="15"/>
      <c r="GD94" s="15"/>
      <c r="GE94" s="184"/>
      <c r="GF94" s="15"/>
      <c r="GG94" s="15"/>
      <c r="GH94" s="15"/>
      <c r="GI94" s="15"/>
      <c r="GJ94" s="15"/>
      <c r="GK94" s="15"/>
      <c r="GL94" s="184"/>
      <c r="GM94" s="15"/>
      <c r="GN94" s="15"/>
      <c r="GO94" s="15"/>
      <c r="GP94" s="15"/>
      <c r="GQ94" s="15"/>
      <c r="GR94" s="15"/>
      <c r="GS94" s="184"/>
      <c r="GT94" s="15"/>
      <c r="GU94" s="15"/>
      <c r="GV94" s="15"/>
      <c r="GW94" s="15"/>
      <c r="GX94" s="15"/>
      <c r="GY94" s="15"/>
      <c r="GZ94" s="184"/>
      <c r="HA94" s="15"/>
      <c r="HB94" s="15"/>
      <c r="HC94" s="15"/>
      <c r="HD94" s="15"/>
      <c r="HE94" s="15"/>
      <c r="HF94" s="15"/>
      <c r="HG94" s="184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/>
      <c r="LP94" s="15"/>
      <c r="LQ94" s="15"/>
      <c r="LR94" s="15"/>
      <c r="LS94" s="15"/>
      <c r="LT94" s="15"/>
      <c r="LU94" s="15"/>
      <c r="LV94" s="15"/>
      <c r="LW94" s="15"/>
      <c r="LX94" s="15"/>
      <c r="LY94" s="15"/>
      <c r="LZ94" s="15"/>
      <c r="MA94" s="15"/>
      <c r="MB94" s="15"/>
      <c r="MC94" s="15"/>
      <c r="MD94" s="15"/>
      <c r="ME94" s="15"/>
      <c r="MF94" s="15"/>
      <c r="MG94" s="15"/>
      <c r="MH94" s="15"/>
      <c r="MI94" s="15"/>
      <c r="MJ94" s="15"/>
      <c r="MK94" s="15"/>
      <c r="ML94" s="15"/>
      <c r="MM94" s="15"/>
      <c r="MN94" s="15"/>
      <c r="MO94" s="15"/>
      <c r="MP94" s="15"/>
      <c r="MQ94" s="15"/>
      <c r="MR94" s="15"/>
      <c r="MS94" s="15"/>
      <c r="MT94" s="15"/>
      <c r="MU94" s="15"/>
      <c r="MV94" s="15"/>
      <c r="MW94" s="15"/>
      <c r="MX94" s="15"/>
      <c r="MY94" s="15"/>
      <c r="MZ94" s="15"/>
      <c r="NA94" s="15"/>
      <c r="NB94" s="15"/>
      <c r="NC94" s="15"/>
      <c r="ND94" s="15"/>
      <c r="NE94" s="15"/>
      <c r="NF94" s="15"/>
      <c r="NG94" s="15"/>
      <c r="NH94" s="15"/>
      <c r="NI94" s="15"/>
      <c r="NJ94" s="15"/>
      <c r="NK94" s="15"/>
      <c r="NL94" s="15"/>
      <c r="NM94" s="15"/>
      <c r="NN94" s="15"/>
      <c r="NO94" s="15"/>
      <c r="NP94" s="15"/>
      <c r="NQ94" s="15"/>
      <c r="NR94" s="15"/>
      <c r="NS94" s="15"/>
      <c r="NT94" s="15"/>
      <c r="NU94" s="15"/>
      <c r="NV94" s="15"/>
      <c r="NW94" s="15"/>
      <c r="NX94" s="15"/>
      <c r="NY94" s="15"/>
      <c r="NZ94" s="15"/>
    </row>
    <row r="95" spans="2:390" ht="19.5" customHeight="1" x14ac:dyDescent="0.45">
      <c r="B95" s="1">
        <f>+B93</f>
        <v>3</v>
      </c>
      <c r="C95" s="1">
        <f>+C93+1</f>
        <v>2</v>
      </c>
      <c r="D95" s="1">
        <v>0</v>
      </c>
      <c r="E95" s="93" t="str">
        <f t="shared" si="64"/>
        <v>3.2.0</v>
      </c>
      <c r="F95" s="99" t="s">
        <v>13</v>
      </c>
      <c r="G95" s="99"/>
      <c r="H95" s="100"/>
      <c r="I95" s="100"/>
      <c r="J95" s="101"/>
      <c r="K95" s="101"/>
      <c r="L95" s="111"/>
      <c r="M95" s="99"/>
      <c r="N95" s="99"/>
      <c r="O95" s="95">
        <f>SUM(O96:O97)</f>
        <v>12</v>
      </c>
      <c r="P95" s="95"/>
      <c r="Q95" s="95"/>
      <c r="R95" s="168"/>
      <c r="S95" s="98"/>
      <c r="T95" s="163" t="str">
        <f t="shared" si="61"/>
        <v/>
      </c>
      <c r="U95" s="164">
        <f>+SUMPRODUCT(U96:U97,O96:O97)/O95</f>
        <v>0</v>
      </c>
      <c r="V95" s="200">
        <f t="shared" si="62"/>
        <v>0</v>
      </c>
      <c r="W95" s="158">
        <f t="shared" si="65"/>
        <v>0</v>
      </c>
      <c r="X95" s="159">
        <f t="shared" si="66"/>
        <v>0</v>
      </c>
      <c r="Y95" s="199">
        <f t="shared" si="63"/>
        <v>0</v>
      </c>
      <c r="Z95" s="36"/>
      <c r="AA95" s="15"/>
      <c r="AB95" s="15"/>
      <c r="AC95" s="15"/>
      <c r="AD95" s="15"/>
      <c r="AE95" s="15"/>
      <c r="AF95" s="15"/>
      <c r="AG95" s="184"/>
      <c r="AH95" s="15"/>
      <c r="AI95" s="15"/>
      <c r="AJ95" s="15"/>
      <c r="AK95" s="15"/>
      <c r="AL95" s="15"/>
      <c r="AM95" s="15"/>
      <c r="AN95" s="184"/>
      <c r="AO95" s="15"/>
      <c r="AP95" s="15"/>
      <c r="AQ95" s="15"/>
      <c r="AR95" s="15"/>
      <c r="AS95" s="15"/>
      <c r="AT95" s="15"/>
      <c r="AU95" s="184"/>
      <c r="AV95" s="15"/>
      <c r="AW95" s="15"/>
      <c r="AX95" s="15"/>
      <c r="AY95" s="15"/>
      <c r="AZ95" s="15"/>
      <c r="BA95" s="15"/>
      <c r="BB95" s="184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84"/>
      <c r="CE95" s="15"/>
      <c r="CF95" s="15"/>
      <c r="CG95" s="15"/>
      <c r="CH95" s="15"/>
      <c r="CI95" s="15"/>
      <c r="CJ95" s="15"/>
      <c r="CK95" s="184"/>
      <c r="CL95" s="15"/>
      <c r="CM95" s="15"/>
      <c r="CN95" s="15"/>
      <c r="CO95" s="15"/>
      <c r="CP95" s="15"/>
      <c r="CQ95" s="15"/>
      <c r="CR95" s="184"/>
      <c r="CS95" s="15"/>
      <c r="CT95" s="15"/>
      <c r="CU95" s="15"/>
      <c r="CV95" s="15"/>
      <c r="CW95" s="15"/>
      <c r="CX95" s="15"/>
      <c r="CY95" s="184"/>
      <c r="CZ95" s="15"/>
      <c r="DA95" s="15"/>
      <c r="DB95" s="15"/>
      <c r="DC95" s="15"/>
      <c r="DD95" s="15"/>
      <c r="DE95" s="15"/>
      <c r="DF95" s="184"/>
      <c r="DG95" s="15"/>
      <c r="DH95" s="15"/>
      <c r="DI95" s="15"/>
      <c r="DJ95" s="15"/>
      <c r="DK95" s="15"/>
      <c r="DL95" s="15"/>
      <c r="DM95" s="184"/>
      <c r="DN95" s="15"/>
      <c r="DO95" s="15"/>
      <c r="DP95" s="15"/>
      <c r="DQ95" s="15"/>
      <c r="DR95" s="15"/>
      <c r="DS95" s="15"/>
      <c r="DT95" s="184"/>
      <c r="DU95" s="15"/>
      <c r="DV95" s="15"/>
      <c r="DW95" s="15"/>
      <c r="DX95" s="15"/>
      <c r="DY95" s="15"/>
      <c r="DZ95" s="15"/>
      <c r="EA95" s="184"/>
      <c r="EB95" s="15"/>
      <c r="EC95" s="15"/>
      <c r="ED95" s="15"/>
      <c r="EE95" s="15"/>
      <c r="EF95" s="15"/>
      <c r="EG95" s="15"/>
      <c r="EH95" s="184"/>
      <c r="EI95" s="15"/>
      <c r="EJ95" s="15"/>
      <c r="EK95" s="15"/>
      <c r="EL95" s="15"/>
      <c r="EM95" s="15"/>
      <c r="EN95" s="15"/>
      <c r="EO95" s="184"/>
      <c r="EP95" s="15"/>
      <c r="EQ95" s="15"/>
      <c r="ER95" s="15"/>
      <c r="ES95" s="15"/>
      <c r="ET95" s="15"/>
      <c r="EU95" s="15"/>
      <c r="EV95" s="184"/>
      <c r="EW95" s="15"/>
      <c r="EX95" s="15"/>
      <c r="EY95" s="15"/>
      <c r="EZ95" s="15"/>
      <c r="FA95" s="15"/>
      <c r="FB95" s="15"/>
      <c r="FC95" s="184"/>
      <c r="FD95" s="15"/>
      <c r="FE95" s="15"/>
      <c r="FF95" s="15"/>
      <c r="FG95" s="15"/>
      <c r="FH95" s="15"/>
      <c r="FI95" s="15"/>
      <c r="FJ95" s="184"/>
      <c r="FK95" s="15"/>
      <c r="FL95" s="15"/>
      <c r="FM95" s="15"/>
      <c r="FN95" s="15"/>
      <c r="FO95" s="15"/>
      <c r="FP95" s="15"/>
      <c r="FQ95" s="184"/>
      <c r="FR95" s="15"/>
      <c r="FS95" s="15"/>
      <c r="FT95" s="15"/>
      <c r="FU95" s="15"/>
      <c r="FV95" s="15"/>
      <c r="FW95" s="178"/>
      <c r="FX95" s="184"/>
      <c r="FY95" s="181"/>
      <c r="FZ95" s="15"/>
      <c r="GA95" s="15"/>
      <c r="GB95" s="15"/>
      <c r="GC95" s="15"/>
      <c r="GD95" s="15"/>
      <c r="GE95" s="184"/>
      <c r="GF95" s="15"/>
      <c r="GG95" s="15"/>
      <c r="GH95" s="15"/>
      <c r="GI95" s="15"/>
      <c r="GJ95" s="15"/>
      <c r="GK95" s="15"/>
      <c r="GL95" s="184"/>
      <c r="GM95" s="15"/>
      <c r="GN95" s="15"/>
      <c r="GO95" s="15"/>
      <c r="GP95" s="15"/>
      <c r="GQ95" s="15"/>
      <c r="GR95" s="15"/>
      <c r="GS95" s="184"/>
      <c r="GT95" s="15"/>
      <c r="GU95" s="15"/>
      <c r="GV95" s="15"/>
      <c r="GW95" s="15"/>
      <c r="GX95" s="15"/>
      <c r="GY95" s="15"/>
      <c r="GZ95" s="184"/>
      <c r="HA95" s="15"/>
      <c r="HB95" s="15"/>
      <c r="HC95" s="15"/>
      <c r="HD95" s="15"/>
      <c r="HE95" s="15"/>
      <c r="HF95" s="15"/>
      <c r="HG95" s="184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  <c r="KR95" s="15"/>
      <c r="KS95" s="15"/>
      <c r="KT95" s="15"/>
      <c r="KU95" s="15"/>
      <c r="KV95" s="15"/>
      <c r="KW95" s="15"/>
      <c r="KX95" s="15"/>
      <c r="KY95" s="15"/>
      <c r="KZ95" s="15"/>
      <c r="LA95" s="15"/>
      <c r="LB95" s="15"/>
      <c r="LC95" s="15"/>
      <c r="LD95" s="15"/>
      <c r="LE95" s="15"/>
      <c r="LF95" s="15"/>
      <c r="LG95" s="15"/>
      <c r="LH95" s="15"/>
      <c r="LI95" s="15"/>
      <c r="LJ95" s="15"/>
      <c r="LK95" s="15"/>
      <c r="LL95" s="15"/>
      <c r="LM95" s="15"/>
      <c r="LN95" s="15"/>
      <c r="LO95" s="15"/>
      <c r="LP95" s="15"/>
      <c r="LQ95" s="15"/>
      <c r="LR95" s="15"/>
      <c r="LS95" s="15"/>
      <c r="LT95" s="15"/>
      <c r="LU95" s="15"/>
      <c r="LV95" s="15"/>
      <c r="LW95" s="15"/>
      <c r="LX95" s="15"/>
      <c r="LY95" s="15"/>
      <c r="LZ95" s="15"/>
      <c r="MA95" s="15"/>
      <c r="MB95" s="15"/>
      <c r="MC95" s="15"/>
      <c r="MD95" s="15"/>
      <c r="ME95" s="15"/>
      <c r="MF95" s="15"/>
      <c r="MG95" s="15"/>
      <c r="MH95" s="15"/>
      <c r="MI95" s="15"/>
      <c r="MJ95" s="15"/>
      <c r="MK95" s="15"/>
      <c r="ML95" s="15"/>
      <c r="MM95" s="15"/>
      <c r="MN95" s="15"/>
      <c r="MO95" s="15"/>
      <c r="MP95" s="15"/>
      <c r="MQ95" s="15"/>
      <c r="MR95" s="15"/>
      <c r="MS95" s="15"/>
      <c r="MT95" s="15"/>
      <c r="MU95" s="15"/>
      <c r="MV95" s="15"/>
      <c r="MW95" s="15"/>
      <c r="MX95" s="15"/>
      <c r="MY95" s="15"/>
      <c r="MZ95" s="15"/>
      <c r="NA95" s="15"/>
      <c r="NB95" s="15"/>
      <c r="NC95" s="15"/>
      <c r="ND95" s="15"/>
      <c r="NE95" s="15"/>
      <c r="NF95" s="15"/>
      <c r="NG95" s="15"/>
      <c r="NH95" s="15"/>
      <c r="NI95" s="15"/>
      <c r="NJ95" s="15"/>
      <c r="NK95" s="15"/>
      <c r="NL95" s="15"/>
      <c r="NM95" s="15"/>
      <c r="NN95" s="15"/>
      <c r="NO95" s="15"/>
      <c r="NP95" s="15"/>
      <c r="NQ95" s="15"/>
      <c r="NR95" s="15"/>
      <c r="NS95" s="15"/>
      <c r="NT95" s="15"/>
      <c r="NU95" s="15"/>
      <c r="NV95" s="15"/>
      <c r="NW95" s="15"/>
      <c r="NX95" s="15"/>
      <c r="NY95" s="15"/>
      <c r="NZ95" s="15"/>
    </row>
    <row r="96" spans="2:390" ht="19.5" customHeight="1" x14ac:dyDescent="0.45">
      <c r="B96" s="1">
        <f>+B95</f>
        <v>3</v>
      </c>
      <c r="C96" s="1">
        <f>+C95</f>
        <v>2</v>
      </c>
      <c r="D96" s="1">
        <f>+D95+1</f>
        <v>1</v>
      </c>
      <c r="E96" s="59" t="str">
        <f t="shared" si="64"/>
        <v>3.2.1</v>
      </c>
      <c r="F96" s="23" t="s">
        <v>53</v>
      </c>
      <c r="G96" s="191">
        <v>2.6</v>
      </c>
      <c r="H96" s="52" t="s">
        <v>117</v>
      </c>
      <c r="I96" s="52" t="s">
        <v>156</v>
      </c>
      <c r="J96" s="52">
        <v>33</v>
      </c>
      <c r="K96" s="52">
        <v>33</v>
      </c>
      <c r="L96" s="52">
        <f>+J96-K96</f>
        <v>0</v>
      </c>
      <c r="M96" s="20">
        <v>0</v>
      </c>
      <c r="N96" s="20">
        <v>0</v>
      </c>
      <c r="O96" s="51">
        <f>+N96*M96</f>
        <v>0</v>
      </c>
      <c r="P96" s="51">
        <f>+SUM(AA96:NZ96)</f>
        <v>0</v>
      </c>
      <c r="Q96" s="51">
        <f>+O96-P96</f>
        <v>0</v>
      </c>
      <c r="R96" s="19"/>
      <c r="S96" s="20"/>
      <c r="T96" s="21" t="str">
        <f t="shared" si="61"/>
        <v/>
      </c>
      <c r="U96" s="22">
        <f>+K96/J96</f>
        <v>1</v>
      </c>
      <c r="V96" s="199">
        <f t="shared" si="62"/>
        <v>0</v>
      </c>
      <c r="W96" s="158"/>
      <c r="X96" s="159"/>
      <c r="Y96" s="199">
        <f t="shared" si="63"/>
        <v>0</v>
      </c>
      <c r="Z96" s="35"/>
      <c r="AA96" s="15"/>
      <c r="AB96" s="15"/>
      <c r="AC96" s="15"/>
      <c r="AD96" s="15"/>
      <c r="AE96" s="15"/>
      <c r="AF96" s="15"/>
      <c r="AG96" s="184"/>
      <c r="AH96" s="15"/>
      <c r="AI96" s="15"/>
      <c r="AJ96" s="15"/>
      <c r="AK96" s="15"/>
      <c r="AL96" s="15"/>
      <c r="AM96" s="15"/>
      <c r="AN96" s="184"/>
      <c r="AO96" s="15"/>
      <c r="AP96" s="15"/>
      <c r="AQ96" s="15"/>
      <c r="AR96" s="15"/>
      <c r="AS96" s="15"/>
      <c r="AT96" s="15"/>
      <c r="AU96" s="184"/>
      <c r="AV96" s="15"/>
      <c r="AW96" s="15"/>
      <c r="AX96" s="15"/>
      <c r="AY96" s="15"/>
      <c r="AZ96" s="15"/>
      <c r="BA96" s="15"/>
      <c r="BB96" s="184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84"/>
      <c r="CE96" s="15"/>
      <c r="CF96" s="15"/>
      <c r="CG96" s="15"/>
      <c r="CH96" s="15"/>
      <c r="CI96" s="15"/>
      <c r="CJ96" s="15"/>
      <c r="CK96" s="184"/>
      <c r="CL96" s="15"/>
      <c r="CM96" s="15"/>
      <c r="CN96" s="15"/>
      <c r="CO96" s="15"/>
      <c r="CP96" s="15"/>
      <c r="CQ96" s="15"/>
      <c r="CR96" s="184"/>
      <c r="CS96" s="15"/>
      <c r="CT96" s="15"/>
      <c r="CU96" s="15"/>
      <c r="CV96" s="15"/>
      <c r="CW96" s="15"/>
      <c r="CX96" s="15"/>
      <c r="CY96" s="184"/>
      <c r="CZ96" s="15"/>
      <c r="DA96" s="15"/>
      <c r="DB96" s="15"/>
      <c r="DC96" s="15"/>
      <c r="DD96" s="15"/>
      <c r="DE96" s="15"/>
      <c r="DF96" s="184"/>
      <c r="DG96" s="15"/>
      <c r="DH96" s="15"/>
      <c r="DI96" s="15"/>
      <c r="DJ96" s="15"/>
      <c r="DK96" s="15"/>
      <c r="DL96" s="15"/>
      <c r="DM96" s="184"/>
      <c r="DN96" s="15"/>
      <c r="DO96" s="15"/>
      <c r="DP96" s="15"/>
      <c r="DQ96" s="15"/>
      <c r="DR96" s="15"/>
      <c r="DS96" s="15"/>
      <c r="DT96" s="184"/>
      <c r="DU96" s="15"/>
      <c r="DV96" s="15"/>
      <c r="DW96" s="15"/>
      <c r="DX96" s="15"/>
      <c r="DY96" s="15"/>
      <c r="DZ96" s="15"/>
      <c r="EA96" s="184"/>
      <c r="EB96" s="15"/>
      <c r="EC96" s="15"/>
      <c r="ED96" s="15"/>
      <c r="EE96" s="15"/>
      <c r="EF96" s="15"/>
      <c r="EG96" s="15"/>
      <c r="EH96" s="184"/>
      <c r="EI96" s="15"/>
      <c r="EJ96" s="15"/>
      <c r="EK96" s="15"/>
      <c r="EL96" s="15"/>
      <c r="EM96" s="15"/>
      <c r="EN96" s="15"/>
      <c r="EO96" s="184"/>
      <c r="EP96" s="15"/>
      <c r="EQ96" s="15"/>
      <c r="ER96" s="15"/>
      <c r="ES96" s="15"/>
      <c r="ET96" s="15"/>
      <c r="EU96" s="15"/>
      <c r="EV96" s="184"/>
      <c r="EW96" s="15"/>
      <c r="EX96" s="15"/>
      <c r="EY96" s="15"/>
      <c r="EZ96" s="15"/>
      <c r="FA96" s="15"/>
      <c r="FB96" s="15"/>
      <c r="FC96" s="184"/>
      <c r="FD96" s="15"/>
      <c r="FE96" s="15"/>
      <c r="FF96" s="15"/>
      <c r="FG96" s="15"/>
      <c r="FH96" s="15"/>
      <c r="FI96" s="15"/>
      <c r="FJ96" s="184"/>
      <c r="FK96" s="15"/>
      <c r="FL96" s="15"/>
      <c r="FM96" s="15"/>
      <c r="FN96" s="15"/>
      <c r="FO96" s="15"/>
      <c r="FP96" s="15"/>
      <c r="FQ96" s="184"/>
      <c r="FR96" s="15"/>
      <c r="FS96" s="15"/>
      <c r="FT96" s="15"/>
      <c r="FU96" s="15"/>
      <c r="FV96" s="15"/>
      <c r="FW96" s="178"/>
      <c r="FX96" s="184"/>
      <c r="FY96" s="181"/>
      <c r="FZ96" s="15"/>
      <c r="GA96" s="15"/>
      <c r="GB96" s="15"/>
      <c r="GC96" s="15"/>
      <c r="GD96" s="15"/>
      <c r="GE96" s="184"/>
      <c r="GF96" s="15"/>
      <c r="GG96" s="15"/>
      <c r="GH96" s="15"/>
      <c r="GI96" s="15"/>
      <c r="GJ96" s="15"/>
      <c r="GK96" s="15"/>
      <c r="GL96" s="184"/>
      <c r="GM96" s="15"/>
      <c r="GN96" s="15"/>
      <c r="GO96" s="15"/>
      <c r="GP96" s="15"/>
      <c r="GQ96" s="15"/>
      <c r="GR96" s="15"/>
      <c r="GS96" s="184"/>
      <c r="GT96" s="15"/>
      <c r="GU96" s="15"/>
      <c r="GV96" s="15"/>
      <c r="GW96" s="15"/>
      <c r="GX96" s="15"/>
      <c r="GY96" s="15"/>
      <c r="GZ96" s="184"/>
      <c r="HA96" s="15"/>
      <c r="HB96" s="15"/>
      <c r="HC96" s="15"/>
      <c r="HD96" s="15"/>
      <c r="HE96" s="15"/>
      <c r="HF96" s="15"/>
      <c r="HG96" s="184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/>
      <c r="KE96" s="15"/>
      <c r="KF96" s="15"/>
      <c r="KG96" s="15"/>
      <c r="KH96" s="15"/>
      <c r="KI96" s="15"/>
      <c r="KJ96" s="15"/>
      <c r="KK96" s="15"/>
      <c r="KL96" s="15"/>
      <c r="KM96" s="15"/>
      <c r="KN96" s="15"/>
      <c r="KO96" s="15"/>
      <c r="KP96" s="15"/>
      <c r="KQ96" s="15"/>
      <c r="KR96" s="15"/>
      <c r="KS96" s="15"/>
      <c r="KT96" s="15"/>
      <c r="KU96" s="15"/>
      <c r="KV96" s="15"/>
      <c r="KW96" s="15"/>
      <c r="KX96" s="15"/>
      <c r="KY96" s="15"/>
      <c r="KZ96" s="15"/>
      <c r="LA96" s="15"/>
      <c r="LB96" s="15"/>
      <c r="LC96" s="15"/>
      <c r="LD96" s="15"/>
      <c r="LE96" s="15"/>
      <c r="LF96" s="15"/>
      <c r="LG96" s="15"/>
      <c r="LH96" s="15"/>
      <c r="LI96" s="15"/>
      <c r="LJ96" s="15"/>
      <c r="LK96" s="15"/>
      <c r="LL96" s="15"/>
      <c r="LM96" s="15"/>
      <c r="LN96" s="15"/>
      <c r="LO96" s="15"/>
      <c r="LP96" s="15"/>
      <c r="LQ96" s="15"/>
      <c r="LR96" s="15"/>
      <c r="LS96" s="15"/>
      <c r="LT96" s="15"/>
      <c r="LU96" s="15"/>
      <c r="LV96" s="15"/>
      <c r="LW96" s="15"/>
      <c r="LX96" s="15"/>
      <c r="LY96" s="15"/>
      <c r="LZ96" s="15"/>
      <c r="MA96" s="15"/>
      <c r="MB96" s="15"/>
      <c r="MC96" s="15"/>
      <c r="MD96" s="15"/>
      <c r="ME96" s="15"/>
      <c r="MF96" s="15"/>
      <c r="MG96" s="15"/>
      <c r="MH96" s="15"/>
      <c r="MI96" s="15"/>
      <c r="MJ96" s="15"/>
      <c r="MK96" s="15"/>
      <c r="ML96" s="15"/>
      <c r="MM96" s="15"/>
      <c r="MN96" s="15"/>
      <c r="MO96" s="15"/>
      <c r="MP96" s="15"/>
      <c r="MQ96" s="15"/>
      <c r="MR96" s="15"/>
      <c r="MS96" s="15"/>
      <c r="MT96" s="15"/>
      <c r="MU96" s="15"/>
      <c r="MV96" s="15"/>
      <c r="MW96" s="15"/>
      <c r="MX96" s="15"/>
      <c r="MY96" s="15"/>
      <c r="MZ96" s="15"/>
      <c r="NA96" s="15"/>
      <c r="NB96" s="15"/>
      <c r="NC96" s="15"/>
      <c r="ND96" s="15"/>
      <c r="NE96" s="15"/>
      <c r="NF96" s="15"/>
      <c r="NG96" s="15"/>
      <c r="NH96" s="15"/>
      <c r="NI96" s="15"/>
      <c r="NJ96" s="15"/>
      <c r="NK96" s="15"/>
      <c r="NL96" s="15"/>
      <c r="NM96" s="15"/>
      <c r="NN96" s="15"/>
      <c r="NO96" s="15"/>
      <c r="NP96" s="15"/>
      <c r="NQ96" s="15"/>
      <c r="NR96" s="15"/>
      <c r="NS96" s="15"/>
      <c r="NT96" s="15"/>
      <c r="NU96" s="15"/>
      <c r="NV96" s="15"/>
      <c r="NW96" s="15"/>
      <c r="NX96" s="15"/>
      <c r="NY96" s="15"/>
      <c r="NZ96" s="15"/>
    </row>
    <row r="97" spans="2:390" ht="19.5" customHeight="1" x14ac:dyDescent="0.45">
      <c r="B97" s="1">
        <f>+B96</f>
        <v>3</v>
      </c>
      <c r="C97" s="1">
        <f>+C96</f>
        <v>2</v>
      </c>
      <c r="D97" s="1">
        <f>+D96+1</f>
        <v>2</v>
      </c>
      <c r="E97" s="59" t="str">
        <f t="shared" si="64"/>
        <v>3.2.2</v>
      </c>
      <c r="F97" s="23" t="s">
        <v>36</v>
      </c>
      <c r="G97" s="191">
        <v>2.6</v>
      </c>
      <c r="H97" s="52" t="s">
        <v>117</v>
      </c>
      <c r="I97" s="52" t="s">
        <v>156</v>
      </c>
      <c r="J97" s="52">
        <v>18</v>
      </c>
      <c r="K97" s="52">
        <v>0</v>
      </c>
      <c r="L97" s="52">
        <f>+J97-K97</f>
        <v>18</v>
      </c>
      <c r="M97" s="20">
        <v>2</v>
      </c>
      <c r="N97" s="20">
        <v>6</v>
      </c>
      <c r="O97" s="51">
        <f>+N97*M97</f>
        <v>12</v>
      </c>
      <c r="P97" s="51">
        <f>+SUM(AA97:NZ97)</f>
        <v>12</v>
      </c>
      <c r="Q97" s="51">
        <f>+O97-P97</f>
        <v>0</v>
      </c>
      <c r="R97" s="19">
        <v>46097</v>
      </c>
      <c r="S97" s="20">
        <v>5</v>
      </c>
      <c r="T97" s="21">
        <f t="shared" si="61"/>
        <v>46101</v>
      </c>
      <c r="U97" s="22">
        <f>+K97/J97</f>
        <v>0</v>
      </c>
      <c r="V97" s="199">
        <f t="shared" si="62"/>
        <v>0</v>
      </c>
      <c r="W97" s="158">
        <f t="shared" ref="W97:W105" si="67">SUMIFS($AA97:$NZ97, $AA$8:$NZ$8, $W$12)/$O97</f>
        <v>0</v>
      </c>
      <c r="X97" s="159">
        <f t="shared" ref="X97:X105" si="68">SUMIF($AA$9:$NZ$9, "&lt;=" &amp; $W$11,$AA97:$NZ97)/$O97</f>
        <v>0</v>
      </c>
      <c r="Y97" s="199">
        <f t="shared" si="63"/>
        <v>0</v>
      </c>
      <c r="Z97" s="35"/>
      <c r="AA97" s="15"/>
      <c r="AB97" s="15"/>
      <c r="AC97" s="15"/>
      <c r="AD97" s="15"/>
      <c r="AE97" s="15"/>
      <c r="AF97" s="15"/>
      <c r="AG97" s="184"/>
      <c r="AH97" s="15"/>
      <c r="AI97" s="15"/>
      <c r="AJ97" s="15"/>
      <c r="AK97" s="15"/>
      <c r="AL97" s="15"/>
      <c r="AM97" s="15"/>
      <c r="AN97" s="184"/>
      <c r="AO97" s="15"/>
      <c r="AP97" s="15"/>
      <c r="AQ97" s="15"/>
      <c r="AR97" s="15"/>
      <c r="AS97" s="15"/>
      <c r="AT97" s="15"/>
      <c r="AU97" s="184"/>
      <c r="AV97" s="15"/>
      <c r="AW97" s="15"/>
      <c r="AX97" s="15"/>
      <c r="AY97" s="15"/>
      <c r="AZ97" s="15"/>
      <c r="BA97" s="15"/>
      <c r="BB97" s="184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84"/>
      <c r="CE97" s="15"/>
      <c r="CF97" s="15"/>
      <c r="CG97" s="15"/>
      <c r="CH97" s="15"/>
      <c r="CI97" s="15"/>
      <c r="CJ97" s="15"/>
      <c r="CK97" s="184"/>
      <c r="CL97" s="15"/>
      <c r="CM97" s="15"/>
      <c r="CN97" s="15"/>
      <c r="CO97" s="15"/>
      <c r="CP97" s="15"/>
      <c r="CQ97" s="15"/>
      <c r="CR97" s="184"/>
      <c r="CS97" s="15"/>
      <c r="CT97" s="15"/>
      <c r="CU97" s="15"/>
      <c r="CV97" s="15"/>
      <c r="CW97" s="15"/>
      <c r="CX97" s="15"/>
      <c r="CY97" s="184"/>
      <c r="CZ97" s="15"/>
      <c r="DA97" s="15"/>
      <c r="DB97" s="15"/>
      <c r="DC97" s="15"/>
      <c r="DD97" s="15"/>
      <c r="DE97" s="15"/>
      <c r="DF97" s="184"/>
      <c r="DG97" s="15"/>
      <c r="DH97" s="15"/>
      <c r="DI97" s="15"/>
      <c r="DJ97" s="15"/>
      <c r="DK97" s="15"/>
      <c r="DL97" s="15"/>
      <c r="DM97" s="184"/>
      <c r="DN97" s="15"/>
      <c r="DO97" s="15"/>
      <c r="DP97" s="15"/>
      <c r="DQ97" s="15"/>
      <c r="DR97" s="15"/>
      <c r="DS97" s="15"/>
      <c r="DT97" s="184"/>
      <c r="DU97" s="15"/>
      <c r="DV97" s="15"/>
      <c r="DW97" s="15"/>
      <c r="DX97" s="15"/>
      <c r="DY97" s="15"/>
      <c r="DZ97" s="15"/>
      <c r="EA97" s="184"/>
      <c r="EB97" s="15"/>
      <c r="EC97" s="15"/>
      <c r="ED97" s="15"/>
      <c r="EE97" s="15"/>
      <c r="EF97" s="15"/>
      <c r="EG97" s="15"/>
      <c r="EH97" s="184"/>
      <c r="EI97" s="15">
        <v>2</v>
      </c>
      <c r="EJ97" s="15">
        <v>2</v>
      </c>
      <c r="EK97" s="15">
        <v>2</v>
      </c>
      <c r="EL97" s="15">
        <v>2</v>
      </c>
      <c r="EM97" s="15">
        <v>2</v>
      </c>
      <c r="EN97" s="15">
        <v>2</v>
      </c>
      <c r="EO97" s="184"/>
      <c r="EP97" s="15"/>
      <c r="EQ97" s="15"/>
      <c r="ER97" s="15"/>
      <c r="ES97" s="15"/>
      <c r="ET97" s="15"/>
      <c r="EU97" s="15"/>
      <c r="EV97" s="184"/>
      <c r="EW97" s="15"/>
      <c r="EX97" s="15"/>
      <c r="EY97" s="15"/>
      <c r="EZ97" s="15"/>
      <c r="FA97" s="15"/>
      <c r="FB97" s="15"/>
      <c r="FC97" s="184"/>
      <c r="FD97" s="15"/>
      <c r="FE97" s="15"/>
      <c r="FF97" s="15"/>
      <c r="FG97" s="15"/>
      <c r="FH97" s="15"/>
      <c r="FI97" s="15"/>
      <c r="FJ97" s="184"/>
      <c r="FK97" s="15"/>
      <c r="FL97" s="15"/>
      <c r="FM97" s="15"/>
      <c r="FN97" s="15"/>
      <c r="FO97" s="15"/>
      <c r="FP97" s="15"/>
      <c r="FQ97" s="184"/>
      <c r="FR97" s="15"/>
      <c r="FS97" s="15"/>
      <c r="FT97" s="15"/>
      <c r="FU97" s="15"/>
      <c r="FV97" s="15"/>
      <c r="FW97" s="178"/>
      <c r="FX97" s="184"/>
      <c r="FY97" s="181"/>
      <c r="FZ97" s="15"/>
      <c r="GA97" s="15"/>
      <c r="GB97" s="15"/>
      <c r="GC97" s="15"/>
      <c r="GD97" s="15"/>
      <c r="GE97" s="184"/>
      <c r="GF97" s="15"/>
      <c r="GG97" s="15"/>
      <c r="GH97" s="15"/>
      <c r="GI97" s="15"/>
      <c r="GJ97" s="15"/>
      <c r="GK97" s="15"/>
      <c r="GL97" s="184"/>
      <c r="GM97" s="15"/>
      <c r="GN97" s="15"/>
      <c r="GO97" s="15"/>
      <c r="GP97" s="15"/>
      <c r="GQ97" s="15"/>
      <c r="GR97" s="15"/>
      <c r="GS97" s="184"/>
      <c r="GT97" s="15"/>
      <c r="GU97" s="15"/>
      <c r="GV97" s="15"/>
      <c r="GW97" s="15"/>
      <c r="GX97" s="15"/>
      <c r="GY97" s="15"/>
      <c r="GZ97" s="184"/>
      <c r="HA97" s="15"/>
      <c r="HB97" s="15"/>
      <c r="HC97" s="15"/>
      <c r="HD97" s="15"/>
      <c r="HE97" s="15"/>
      <c r="HF97" s="15"/>
      <c r="HG97" s="184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  <c r="KR97" s="15"/>
      <c r="KS97" s="15"/>
      <c r="KT97" s="15"/>
      <c r="KU97" s="15"/>
      <c r="KV97" s="15"/>
      <c r="KW97" s="15"/>
      <c r="KX97" s="15"/>
      <c r="KY97" s="15"/>
      <c r="KZ97" s="15"/>
      <c r="LA97" s="15"/>
      <c r="LB97" s="15"/>
      <c r="LC97" s="15"/>
      <c r="LD97" s="15"/>
      <c r="LE97" s="15"/>
      <c r="LF97" s="15"/>
      <c r="LG97" s="15"/>
      <c r="LH97" s="15"/>
      <c r="LI97" s="15"/>
      <c r="LJ97" s="15"/>
      <c r="LK97" s="15"/>
      <c r="LL97" s="15"/>
      <c r="LM97" s="15"/>
      <c r="LN97" s="15"/>
      <c r="LO97" s="15"/>
      <c r="LP97" s="15"/>
      <c r="LQ97" s="15"/>
      <c r="LR97" s="15"/>
      <c r="LS97" s="15"/>
      <c r="LT97" s="15"/>
      <c r="LU97" s="15"/>
      <c r="LV97" s="15"/>
      <c r="LW97" s="15"/>
      <c r="LX97" s="15"/>
      <c r="LY97" s="15"/>
      <c r="LZ97" s="15"/>
      <c r="MA97" s="15"/>
      <c r="MB97" s="15"/>
      <c r="MC97" s="15"/>
      <c r="MD97" s="15"/>
      <c r="ME97" s="15"/>
      <c r="MF97" s="15"/>
      <c r="MG97" s="15"/>
      <c r="MH97" s="15"/>
      <c r="MI97" s="15"/>
      <c r="MJ97" s="15"/>
      <c r="MK97" s="15"/>
      <c r="ML97" s="15"/>
      <c r="MM97" s="15"/>
      <c r="MN97" s="15"/>
      <c r="MO97" s="15"/>
      <c r="MP97" s="15"/>
      <c r="MQ97" s="15"/>
      <c r="MR97" s="15"/>
      <c r="MS97" s="15"/>
      <c r="MT97" s="15"/>
      <c r="MU97" s="15"/>
      <c r="MV97" s="15"/>
      <c r="MW97" s="15"/>
      <c r="MX97" s="15"/>
      <c r="MY97" s="15"/>
      <c r="MZ97" s="15"/>
      <c r="NA97" s="15"/>
      <c r="NB97" s="15"/>
      <c r="NC97" s="15"/>
      <c r="ND97" s="15"/>
      <c r="NE97" s="15"/>
      <c r="NF97" s="15"/>
      <c r="NG97" s="15"/>
      <c r="NH97" s="15"/>
      <c r="NI97" s="15"/>
      <c r="NJ97" s="15"/>
      <c r="NK97" s="15"/>
      <c r="NL97" s="15"/>
      <c r="NM97" s="15"/>
      <c r="NN97" s="15"/>
      <c r="NO97" s="15"/>
      <c r="NP97" s="15"/>
      <c r="NQ97" s="15"/>
      <c r="NR97" s="15"/>
      <c r="NS97" s="15"/>
      <c r="NT97" s="15"/>
      <c r="NU97" s="15"/>
      <c r="NV97" s="15"/>
      <c r="NW97" s="15"/>
      <c r="NX97" s="15"/>
      <c r="NY97" s="15"/>
      <c r="NZ97" s="15"/>
    </row>
    <row r="98" spans="2:390" ht="19.5" customHeight="1" x14ac:dyDescent="0.45">
      <c r="B98" s="1">
        <f>+B96</f>
        <v>3</v>
      </c>
      <c r="C98" s="1">
        <f>+C96+1</f>
        <v>3</v>
      </c>
      <c r="D98" s="1">
        <v>0</v>
      </c>
      <c r="E98" s="93" t="str">
        <f t="shared" si="64"/>
        <v>3.3.0</v>
      </c>
      <c r="F98" s="94" t="s">
        <v>38</v>
      </c>
      <c r="G98" s="94"/>
      <c r="H98" s="95"/>
      <c r="I98" s="95"/>
      <c r="J98" s="96"/>
      <c r="K98" s="96"/>
      <c r="L98" s="96"/>
      <c r="M98" s="94"/>
      <c r="N98" s="94"/>
      <c r="O98" s="95">
        <f>SUM(O99:O103)</f>
        <v>186</v>
      </c>
      <c r="P98" s="95"/>
      <c r="Q98" s="95"/>
      <c r="R98" s="168"/>
      <c r="S98" s="98"/>
      <c r="T98" s="163" t="str">
        <f t="shared" si="61"/>
        <v/>
      </c>
      <c r="U98" s="164">
        <f>+SUMPRODUCT(U99:U103,O99:O103)/O98</f>
        <v>0</v>
      </c>
      <c r="V98" s="200">
        <f t="shared" si="62"/>
        <v>0</v>
      </c>
      <c r="W98" s="158">
        <f t="shared" si="67"/>
        <v>0</v>
      </c>
      <c r="X98" s="159">
        <f t="shared" si="68"/>
        <v>0</v>
      </c>
      <c r="Y98" s="199">
        <f t="shared" si="63"/>
        <v>0</v>
      </c>
      <c r="Z98" s="36"/>
      <c r="AA98" s="15"/>
      <c r="AB98" s="15"/>
      <c r="AC98" s="15"/>
      <c r="AD98" s="15"/>
      <c r="AE98" s="15"/>
      <c r="AF98" s="15"/>
      <c r="AG98" s="184"/>
      <c r="AH98" s="15"/>
      <c r="AI98" s="15"/>
      <c r="AJ98" s="15"/>
      <c r="AK98" s="15"/>
      <c r="AL98" s="15"/>
      <c r="AM98" s="15"/>
      <c r="AN98" s="184"/>
      <c r="AO98" s="15"/>
      <c r="AP98" s="15"/>
      <c r="AQ98" s="15"/>
      <c r="AR98" s="15"/>
      <c r="AS98" s="15"/>
      <c r="AT98" s="15"/>
      <c r="AU98" s="184"/>
      <c r="AV98" s="15"/>
      <c r="AW98" s="15"/>
      <c r="AX98" s="15"/>
      <c r="AY98" s="15"/>
      <c r="AZ98" s="15"/>
      <c r="BA98" s="15"/>
      <c r="BB98" s="184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84"/>
      <c r="CE98" s="15"/>
      <c r="CF98" s="15"/>
      <c r="CG98" s="15"/>
      <c r="CH98" s="15"/>
      <c r="CI98" s="15"/>
      <c r="CJ98" s="15"/>
      <c r="CK98" s="184"/>
      <c r="CL98" s="15"/>
      <c r="CM98" s="15"/>
      <c r="CN98" s="15"/>
      <c r="CO98" s="15"/>
      <c r="CP98" s="15"/>
      <c r="CQ98" s="15"/>
      <c r="CR98" s="184"/>
      <c r="CS98" s="15"/>
      <c r="CT98" s="15"/>
      <c r="CU98" s="15"/>
      <c r="CV98" s="15"/>
      <c r="CW98" s="15"/>
      <c r="CX98" s="15"/>
      <c r="CY98" s="184"/>
      <c r="CZ98" s="15"/>
      <c r="DA98" s="15"/>
      <c r="DB98" s="15"/>
      <c r="DC98" s="15"/>
      <c r="DD98" s="15"/>
      <c r="DE98" s="15"/>
      <c r="DF98" s="184"/>
      <c r="DG98" s="15"/>
      <c r="DH98" s="15"/>
      <c r="DI98" s="15"/>
      <c r="DJ98" s="15"/>
      <c r="DK98" s="15"/>
      <c r="DL98" s="15"/>
      <c r="DM98" s="184"/>
      <c r="DN98" s="15"/>
      <c r="DO98" s="15"/>
      <c r="DP98" s="15"/>
      <c r="DQ98" s="15"/>
      <c r="DR98" s="15"/>
      <c r="DS98" s="15"/>
      <c r="DT98" s="184"/>
      <c r="DU98" s="15"/>
      <c r="DV98" s="15"/>
      <c r="DW98" s="15"/>
      <c r="DX98" s="15"/>
      <c r="DY98" s="15"/>
      <c r="DZ98" s="15"/>
      <c r="EA98" s="184"/>
      <c r="EB98" s="15"/>
      <c r="EC98" s="15"/>
      <c r="ED98" s="15"/>
      <c r="EE98" s="15"/>
      <c r="EF98" s="15"/>
      <c r="EG98" s="15"/>
      <c r="EH98" s="184"/>
      <c r="EI98" s="15"/>
      <c r="EJ98" s="15"/>
      <c r="EK98" s="15"/>
      <c r="EL98" s="15"/>
      <c r="EM98" s="15"/>
      <c r="EN98" s="15"/>
      <c r="EO98" s="184"/>
      <c r="EP98" s="15"/>
      <c r="EQ98" s="15"/>
      <c r="ER98" s="15"/>
      <c r="ES98" s="15"/>
      <c r="ET98" s="15"/>
      <c r="EU98" s="15"/>
      <c r="EV98" s="184"/>
      <c r="EW98" s="15"/>
      <c r="EX98" s="15"/>
      <c r="EY98" s="15"/>
      <c r="EZ98" s="15"/>
      <c r="FA98" s="15"/>
      <c r="FB98" s="15"/>
      <c r="FC98" s="184"/>
      <c r="FD98" s="15"/>
      <c r="FE98" s="15"/>
      <c r="FF98" s="15"/>
      <c r="FG98" s="15"/>
      <c r="FH98" s="15"/>
      <c r="FI98" s="15"/>
      <c r="FJ98" s="184"/>
      <c r="FK98" s="15"/>
      <c r="FL98" s="15"/>
      <c r="FM98" s="15"/>
      <c r="FN98" s="15"/>
      <c r="FO98" s="15"/>
      <c r="FP98" s="15"/>
      <c r="FQ98" s="184"/>
      <c r="FR98" s="15"/>
      <c r="FS98" s="15"/>
      <c r="FT98" s="15"/>
      <c r="FU98" s="15"/>
      <c r="FV98" s="15"/>
      <c r="FW98" s="178"/>
      <c r="FX98" s="184"/>
      <c r="FY98" s="181"/>
      <c r="FZ98" s="15"/>
      <c r="GA98" s="15"/>
      <c r="GB98" s="15"/>
      <c r="GC98" s="15"/>
      <c r="GD98" s="15"/>
      <c r="GE98" s="184"/>
      <c r="GF98" s="15"/>
      <c r="GG98" s="15"/>
      <c r="GH98" s="15"/>
      <c r="GI98" s="15"/>
      <c r="GJ98" s="15"/>
      <c r="GK98" s="15"/>
      <c r="GL98" s="184"/>
      <c r="GM98" s="15"/>
      <c r="GN98" s="15"/>
      <c r="GO98" s="15"/>
      <c r="GP98" s="15"/>
      <c r="GQ98" s="15"/>
      <c r="GR98" s="15"/>
      <c r="GS98" s="184"/>
      <c r="GT98" s="15"/>
      <c r="GU98" s="15"/>
      <c r="GV98" s="15"/>
      <c r="GW98" s="15"/>
      <c r="GX98" s="15"/>
      <c r="GY98" s="15"/>
      <c r="GZ98" s="184"/>
      <c r="HA98" s="15"/>
      <c r="HB98" s="15"/>
      <c r="HC98" s="15"/>
      <c r="HD98" s="15"/>
      <c r="HE98" s="15"/>
      <c r="HF98" s="15"/>
      <c r="HG98" s="184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/>
      <c r="LI98" s="15"/>
      <c r="LJ98" s="15"/>
      <c r="LK98" s="15"/>
      <c r="LL98" s="15"/>
      <c r="LM98" s="15"/>
      <c r="LN98" s="15"/>
      <c r="LO98" s="15"/>
      <c r="LP98" s="15"/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  <c r="MG98" s="15"/>
      <c r="MH98" s="15"/>
      <c r="MI98" s="15"/>
      <c r="MJ98" s="15"/>
      <c r="MK98" s="15"/>
      <c r="ML98" s="15"/>
      <c r="MM98" s="15"/>
      <c r="MN98" s="15"/>
      <c r="MO98" s="15"/>
      <c r="MP98" s="15"/>
      <c r="MQ98" s="15"/>
      <c r="MR98" s="15"/>
      <c r="MS98" s="15"/>
      <c r="MT98" s="15"/>
      <c r="MU98" s="15"/>
      <c r="MV98" s="15"/>
      <c r="MW98" s="15"/>
      <c r="MX98" s="15"/>
      <c r="MY98" s="15"/>
      <c r="MZ98" s="15"/>
      <c r="NA98" s="15"/>
      <c r="NB98" s="15"/>
      <c r="NC98" s="15"/>
      <c r="ND98" s="15"/>
      <c r="NE98" s="15"/>
      <c r="NF98" s="15"/>
      <c r="NG98" s="15"/>
      <c r="NH98" s="15"/>
      <c r="NI98" s="15"/>
      <c r="NJ98" s="15"/>
      <c r="NK98" s="15"/>
      <c r="NL98" s="15"/>
      <c r="NM98" s="15"/>
      <c r="NN98" s="15"/>
      <c r="NO98" s="15"/>
      <c r="NP98" s="15"/>
      <c r="NQ98" s="15"/>
      <c r="NR98" s="15"/>
      <c r="NS98" s="15"/>
      <c r="NT98" s="15"/>
      <c r="NU98" s="15"/>
      <c r="NV98" s="15"/>
      <c r="NW98" s="15"/>
      <c r="NX98" s="15"/>
      <c r="NY98" s="15"/>
      <c r="NZ98" s="15"/>
    </row>
    <row r="99" spans="2:390" ht="19.5" customHeight="1" x14ac:dyDescent="0.45">
      <c r="B99" s="1">
        <f t="shared" ref="B99:C103" si="69">+B98</f>
        <v>3</v>
      </c>
      <c r="C99" s="1">
        <f t="shared" si="69"/>
        <v>3</v>
      </c>
      <c r="D99" s="1">
        <f>+D98+1</f>
        <v>1</v>
      </c>
      <c r="E99" s="59" t="str">
        <f t="shared" si="64"/>
        <v>3.3.1</v>
      </c>
      <c r="F99" s="23" t="s">
        <v>39</v>
      </c>
      <c r="G99" s="191">
        <v>2</v>
      </c>
      <c r="H99" s="52" t="s">
        <v>117</v>
      </c>
      <c r="I99" s="52" t="s">
        <v>158</v>
      </c>
      <c r="J99" s="52">
        <v>107</v>
      </c>
      <c r="K99" s="52">
        <v>0</v>
      </c>
      <c r="L99" s="52">
        <f>+J99-K99</f>
        <v>107</v>
      </c>
      <c r="M99" s="20">
        <v>2</v>
      </c>
      <c r="N99" s="20">
        <v>18</v>
      </c>
      <c r="O99" s="51">
        <f>+N99*M99</f>
        <v>36</v>
      </c>
      <c r="P99" s="51">
        <f>+SUM(AA99:NZ99)</f>
        <v>36</v>
      </c>
      <c r="Q99" s="51">
        <f>+O99-P99</f>
        <v>0</v>
      </c>
      <c r="R99" s="19">
        <v>46097</v>
      </c>
      <c r="S99" s="20">
        <v>15</v>
      </c>
      <c r="T99" s="21">
        <f t="shared" si="61"/>
        <v>46115</v>
      </c>
      <c r="U99" s="22">
        <f>+K99/J99</f>
        <v>0</v>
      </c>
      <c r="V99" s="199">
        <f t="shared" si="62"/>
        <v>0</v>
      </c>
      <c r="W99" s="158">
        <f t="shared" si="67"/>
        <v>0</v>
      </c>
      <c r="X99" s="159">
        <f t="shared" si="68"/>
        <v>0</v>
      </c>
      <c r="Y99" s="199">
        <f t="shared" si="63"/>
        <v>0</v>
      </c>
      <c r="Z99" s="36"/>
      <c r="AA99" s="15"/>
      <c r="AB99" s="15"/>
      <c r="AC99" s="15"/>
      <c r="AD99" s="15"/>
      <c r="AE99" s="15"/>
      <c r="AF99" s="15"/>
      <c r="AG99" s="184"/>
      <c r="AH99" s="15"/>
      <c r="AI99" s="15"/>
      <c r="AJ99" s="15"/>
      <c r="AK99" s="15"/>
      <c r="AL99" s="15"/>
      <c r="AM99" s="15"/>
      <c r="AN99" s="184"/>
      <c r="AO99" s="15"/>
      <c r="AP99" s="15"/>
      <c r="AQ99" s="15"/>
      <c r="AR99" s="15"/>
      <c r="AS99" s="15"/>
      <c r="AT99" s="15"/>
      <c r="AU99" s="184"/>
      <c r="AV99" s="15"/>
      <c r="AW99" s="15"/>
      <c r="AX99" s="15"/>
      <c r="AY99" s="15"/>
      <c r="AZ99" s="15"/>
      <c r="BA99" s="15"/>
      <c r="BB99" s="184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84"/>
      <c r="CE99" s="15"/>
      <c r="CF99" s="15"/>
      <c r="CG99" s="15"/>
      <c r="CH99" s="15"/>
      <c r="CI99" s="15"/>
      <c r="CJ99" s="15"/>
      <c r="CK99" s="184"/>
      <c r="CL99" s="15"/>
      <c r="CM99" s="15"/>
      <c r="CN99" s="15"/>
      <c r="CO99" s="15"/>
      <c r="CP99" s="15"/>
      <c r="CQ99" s="15"/>
      <c r="CR99" s="184"/>
      <c r="CS99" s="15"/>
      <c r="CT99" s="15"/>
      <c r="CU99" s="15"/>
      <c r="CV99" s="15"/>
      <c r="CW99" s="15"/>
      <c r="CX99" s="15"/>
      <c r="CY99" s="184"/>
      <c r="CZ99" s="15"/>
      <c r="DA99" s="15"/>
      <c r="DB99" s="15"/>
      <c r="DC99" s="15"/>
      <c r="DD99" s="15"/>
      <c r="DE99" s="15"/>
      <c r="DF99" s="184"/>
      <c r="DG99" s="15"/>
      <c r="DH99" s="15"/>
      <c r="DI99" s="15"/>
      <c r="DJ99" s="15"/>
      <c r="DK99" s="15"/>
      <c r="DL99" s="15"/>
      <c r="DM99" s="184"/>
      <c r="DN99" s="15"/>
      <c r="DO99" s="15"/>
      <c r="DP99" s="15"/>
      <c r="DQ99" s="15"/>
      <c r="DR99" s="15"/>
      <c r="DS99" s="15"/>
      <c r="DT99" s="184"/>
      <c r="DU99" s="15"/>
      <c r="DV99" s="15"/>
      <c r="DW99" s="15"/>
      <c r="DX99" s="15"/>
      <c r="DY99" s="15"/>
      <c r="DZ99" s="15"/>
      <c r="EA99" s="184"/>
      <c r="EB99" s="15"/>
      <c r="EC99" s="15"/>
      <c r="ED99" s="15"/>
      <c r="EE99" s="15"/>
      <c r="EF99" s="15"/>
      <c r="EG99" s="15"/>
      <c r="EH99" s="184"/>
      <c r="EI99" s="15">
        <v>2</v>
      </c>
      <c r="EJ99" s="15">
        <v>2</v>
      </c>
      <c r="EK99" s="15">
        <v>2</v>
      </c>
      <c r="EL99" s="15">
        <v>2</v>
      </c>
      <c r="EM99" s="15">
        <v>2</v>
      </c>
      <c r="EN99" s="15">
        <v>2</v>
      </c>
      <c r="EO99" s="184"/>
      <c r="EP99" s="15">
        <v>2</v>
      </c>
      <c r="EQ99" s="15">
        <v>2</v>
      </c>
      <c r="ER99" s="15">
        <v>2</v>
      </c>
      <c r="ES99" s="15">
        <v>2</v>
      </c>
      <c r="ET99" s="15">
        <v>2</v>
      </c>
      <c r="EU99" s="15">
        <v>2</v>
      </c>
      <c r="EV99" s="184"/>
      <c r="EW99" s="15">
        <v>2</v>
      </c>
      <c r="EX99" s="15">
        <v>2</v>
      </c>
      <c r="EY99" s="15">
        <v>2</v>
      </c>
      <c r="EZ99" s="15">
        <v>2</v>
      </c>
      <c r="FA99" s="15">
        <v>2</v>
      </c>
      <c r="FB99" s="15">
        <v>2</v>
      </c>
      <c r="FC99" s="184"/>
      <c r="FD99" s="15"/>
      <c r="FE99" s="15"/>
      <c r="FF99" s="15"/>
      <c r="FG99" s="15"/>
      <c r="FH99" s="15"/>
      <c r="FI99" s="15"/>
      <c r="FJ99" s="184"/>
      <c r="FK99" s="15"/>
      <c r="FL99" s="15"/>
      <c r="FM99" s="15"/>
      <c r="FN99" s="15"/>
      <c r="FO99" s="15"/>
      <c r="FP99" s="15"/>
      <c r="FQ99" s="184"/>
      <c r="FR99" s="15"/>
      <c r="FS99" s="15"/>
      <c r="FT99" s="15"/>
      <c r="FU99" s="15"/>
      <c r="FV99" s="15"/>
      <c r="FW99" s="178"/>
      <c r="FX99" s="184"/>
      <c r="FY99" s="181"/>
      <c r="FZ99" s="15"/>
      <c r="GA99" s="15"/>
      <c r="GB99" s="15"/>
      <c r="GC99" s="15"/>
      <c r="GD99" s="15"/>
      <c r="GE99" s="184"/>
      <c r="GF99" s="15"/>
      <c r="GG99" s="15"/>
      <c r="GH99" s="15"/>
      <c r="GI99" s="15"/>
      <c r="GJ99" s="15"/>
      <c r="GK99" s="15"/>
      <c r="GL99" s="184"/>
      <c r="GM99" s="15"/>
      <c r="GN99" s="15"/>
      <c r="GO99" s="15"/>
      <c r="GP99" s="15"/>
      <c r="GQ99" s="15"/>
      <c r="GR99" s="15"/>
      <c r="GS99" s="184"/>
      <c r="GT99" s="15"/>
      <c r="GU99" s="15"/>
      <c r="GV99" s="15"/>
      <c r="GW99" s="15"/>
      <c r="GX99" s="15"/>
      <c r="GY99" s="15"/>
      <c r="GZ99" s="184"/>
      <c r="HA99" s="15"/>
      <c r="HB99" s="15"/>
      <c r="HC99" s="15"/>
      <c r="HD99" s="15"/>
      <c r="HE99" s="15"/>
      <c r="HF99" s="15"/>
      <c r="HG99" s="184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/>
      <c r="LI99" s="15"/>
      <c r="LJ99" s="15"/>
      <c r="LK99" s="15"/>
      <c r="LL99" s="15"/>
      <c r="LM99" s="15"/>
      <c r="LN99" s="15"/>
      <c r="LO99" s="15"/>
      <c r="LP99" s="15"/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  <c r="MG99" s="15"/>
      <c r="MH99" s="15"/>
      <c r="MI99" s="15"/>
      <c r="MJ99" s="15"/>
      <c r="MK99" s="15"/>
      <c r="ML99" s="15"/>
      <c r="MM99" s="15"/>
      <c r="MN99" s="15"/>
      <c r="MO99" s="15"/>
      <c r="MP99" s="15"/>
      <c r="MQ99" s="15"/>
      <c r="MR99" s="15"/>
      <c r="MS99" s="15"/>
      <c r="MT99" s="15"/>
      <c r="MU99" s="15"/>
      <c r="MV99" s="15"/>
      <c r="MW99" s="15"/>
      <c r="MX99" s="15"/>
      <c r="MY99" s="15"/>
      <c r="MZ99" s="15"/>
      <c r="NA99" s="15"/>
      <c r="NB99" s="15"/>
      <c r="NC99" s="15"/>
      <c r="ND99" s="15"/>
      <c r="NE99" s="15"/>
      <c r="NF99" s="15"/>
      <c r="NG99" s="15"/>
      <c r="NH99" s="15"/>
      <c r="NI99" s="15"/>
      <c r="NJ99" s="15"/>
      <c r="NK99" s="15"/>
      <c r="NL99" s="15"/>
      <c r="NM99" s="15"/>
      <c r="NN99" s="15"/>
      <c r="NO99" s="15"/>
      <c r="NP99" s="15"/>
      <c r="NQ99" s="15"/>
      <c r="NR99" s="15"/>
      <c r="NS99" s="15"/>
      <c r="NT99" s="15"/>
      <c r="NU99" s="15"/>
      <c r="NV99" s="15"/>
      <c r="NW99" s="15"/>
      <c r="NX99" s="15"/>
      <c r="NY99" s="15"/>
      <c r="NZ99" s="15"/>
    </row>
    <row r="100" spans="2:390" ht="19.5" customHeight="1" x14ac:dyDescent="0.45">
      <c r="B100" s="1">
        <f t="shared" si="69"/>
        <v>3</v>
      </c>
      <c r="C100" s="1">
        <f t="shared" si="69"/>
        <v>3</v>
      </c>
      <c r="D100" s="1">
        <f>+D99+1</f>
        <v>2</v>
      </c>
      <c r="E100" s="59" t="str">
        <f t="shared" si="64"/>
        <v>3.3.2</v>
      </c>
      <c r="F100" s="23" t="s">
        <v>40</v>
      </c>
      <c r="G100" s="191" t="s">
        <v>152</v>
      </c>
      <c r="H100" s="52" t="s">
        <v>117</v>
      </c>
      <c r="I100" s="52" t="s">
        <v>158</v>
      </c>
      <c r="J100" s="52">
        <v>27</v>
      </c>
      <c r="K100" s="52">
        <v>0</v>
      </c>
      <c r="L100" s="52">
        <f>+J100-K100</f>
        <v>27</v>
      </c>
      <c r="M100" s="20">
        <v>5</v>
      </c>
      <c r="N100" s="20">
        <v>6</v>
      </c>
      <c r="O100" s="51">
        <f>+N100*M100</f>
        <v>30</v>
      </c>
      <c r="P100" s="51">
        <f>+SUM(AA100:NZ100)</f>
        <v>30</v>
      </c>
      <c r="Q100" s="51">
        <f>+O100-P100</f>
        <v>0</v>
      </c>
      <c r="R100" s="19">
        <v>46111</v>
      </c>
      <c r="S100" s="20">
        <v>5</v>
      </c>
      <c r="T100" s="21">
        <f t="shared" si="61"/>
        <v>46115</v>
      </c>
      <c r="U100" s="22">
        <f>+K100/J100</f>
        <v>0</v>
      </c>
      <c r="V100" s="199">
        <f t="shared" si="62"/>
        <v>0</v>
      </c>
      <c r="W100" s="158">
        <f t="shared" si="67"/>
        <v>0</v>
      </c>
      <c r="X100" s="159">
        <f t="shared" si="68"/>
        <v>0</v>
      </c>
      <c r="Y100" s="199">
        <f t="shared" si="63"/>
        <v>0</v>
      </c>
      <c r="Z100" s="36"/>
      <c r="AA100" s="15"/>
      <c r="AB100" s="15"/>
      <c r="AC100" s="15"/>
      <c r="AD100" s="15"/>
      <c r="AE100" s="15"/>
      <c r="AF100" s="15"/>
      <c r="AG100" s="184"/>
      <c r="AH100" s="15"/>
      <c r="AI100" s="15"/>
      <c r="AJ100" s="15"/>
      <c r="AK100" s="15"/>
      <c r="AL100" s="15"/>
      <c r="AM100" s="15"/>
      <c r="AN100" s="184"/>
      <c r="AO100" s="15"/>
      <c r="AP100" s="15"/>
      <c r="AQ100" s="15"/>
      <c r="AR100" s="15"/>
      <c r="AS100" s="15"/>
      <c r="AT100" s="15"/>
      <c r="AU100" s="184"/>
      <c r="AV100" s="15"/>
      <c r="AW100" s="15"/>
      <c r="AX100" s="15"/>
      <c r="AY100" s="15"/>
      <c r="AZ100" s="15"/>
      <c r="BA100" s="15"/>
      <c r="BB100" s="184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84"/>
      <c r="CE100" s="15"/>
      <c r="CF100" s="15"/>
      <c r="CG100" s="15"/>
      <c r="CH100" s="15"/>
      <c r="CI100" s="15"/>
      <c r="CJ100" s="15"/>
      <c r="CK100" s="184"/>
      <c r="CL100" s="15"/>
      <c r="CM100" s="15"/>
      <c r="CN100" s="15"/>
      <c r="CO100" s="15"/>
      <c r="CP100" s="15"/>
      <c r="CQ100" s="15"/>
      <c r="CR100" s="184"/>
      <c r="CS100" s="15"/>
      <c r="CT100" s="15"/>
      <c r="CU100" s="15"/>
      <c r="CV100" s="15"/>
      <c r="CW100" s="15"/>
      <c r="CX100" s="15"/>
      <c r="CY100" s="184"/>
      <c r="CZ100" s="15"/>
      <c r="DA100" s="15"/>
      <c r="DB100" s="15"/>
      <c r="DC100" s="15"/>
      <c r="DD100" s="15"/>
      <c r="DE100" s="15"/>
      <c r="DF100" s="184"/>
      <c r="DG100" s="15"/>
      <c r="DH100" s="15"/>
      <c r="DI100" s="15"/>
      <c r="DJ100" s="15"/>
      <c r="DK100" s="15"/>
      <c r="DL100" s="15"/>
      <c r="DM100" s="184"/>
      <c r="DN100" s="15"/>
      <c r="DO100" s="15"/>
      <c r="DP100" s="15"/>
      <c r="DQ100" s="15"/>
      <c r="DR100" s="15"/>
      <c r="DS100" s="15"/>
      <c r="DT100" s="184"/>
      <c r="DU100" s="15"/>
      <c r="DV100" s="15"/>
      <c r="DW100" s="15"/>
      <c r="DX100" s="15"/>
      <c r="DY100" s="15"/>
      <c r="DZ100" s="15"/>
      <c r="EA100" s="184"/>
      <c r="EB100" s="15"/>
      <c r="EC100" s="15"/>
      <c r="ED100" s="15"/>
      <c r="EE100" s="15"/>
      <c r="EF100" s="15"/>
      <c r="EG100" s="15"/>
      <c r="EH100" s="184"/>
      <c r="EI100" s="15"/>
      <c r="EJ100" s="15"/>
      <c r="EK100" s="15"/>
      <c r="EL100" s="15"/>
      <c r="EM100" s="15"/>
      <c r="EN100" s="15"/>
      <c r="EO100" s="184"/>
      <c r="EP100" s="15"/>
      <c r="EQ100" s="15"/>
      <c r="ER100" s="15"/>
      <c r="ES100" s="15"/>
      <c r="ET100" s="15"/>
      <c r="EU100" s="15"/>
      <c r="EV100" s="184"/>
      <c r="EW100" s="15">
        <v>5</v>
      </c>
      <c r="EX100" s="15">
        <v>5</v>
      </c>
      <c r="EY100" s="15">
        <v>5</v>
      </c>
      <c r="EZ100" s="15">
        <v>5</v>
      </c>
      <c r="FA100" s="15">
        <v>5</v>
      </c>
      <c r="FB100" s="15">
        <v>5</v>
      </c>
      <c r="FC100" s="184"/>
      <c r="FD100" s="15"/>
      <c r="FE100" s="15"/>
      <c r="FF100" s="15"/>
      <c r="FG100" s="15"/>
      <c r="FH100" s="15"/>
      <c r="FI100" s="15"/>
      <c r="FJ100" s="184"/>
      <c r="FK100" s="15"/>
      <c r="FL100" s="15"/>
      <c r="FM100" s="15"/>
      <c r="FN100" s="15"/>
      <c r="FO100" s="15"/>
      <c r="FP100" s="15"/>
      <c r="FQ100" s="184"/>
      <c r="FR100" s="15"/>
      <c r="FS100" s="15"/>
      <c r="FT100" s="15"/>
      <c r="FU100" s="15"/>
      <c r="FV100" s="15"/>
      <c r="FW100" s="178"/>
      <c r="FX100" s="184"/>
      <c r="FY100" s="181"/>
      <c r="FZ100" s="15"/>
      <c r="GA100" s="15"/>
      <c r="GB100" s="15"/>
      <c r="GC100" s="15"/>
      <c r="GD100" s="15"/>
      <c r="GE100" s="184"/>
      <c r="GF100" s="15"/>
      <c r="GG100" s="15"/>
      <c r="GH100" s="15"/>
      <c r="GI100" s="15"/>
      <c r="GJ100" s="15"/>
      <c r="GK100" s="15"/>
      <c r="GL100" s="184"/>
      <c r="GM100" s="15"/>
      <c r="GN100" s="15"/>
      <c r="GO100" s="15"/>
      <c r="GP100" s="15"/>
      <c r="GQ100" s="15"/>
      <c r="GR100" s="15"/>
      <c r="GS100" s="184"/>
      <c r="GT100" s="15"/>
      <c r="GU100" s="15"/>
      <c r="GV100" s="15"/>
      <c r="GW100" s="15"/>
      <c r="GX100" s="15"/>
      <c r="GY100" s="15"/>
      <c r="GZ100" s="184"/>
      <c r="HA100" s="15"/>
      <c r="HB100" s="15"/>
      <c r="HC100" s="15"/>
      <c r="HD100" s="15"/>
      <c r="HE100" s="15"/>
      <c r="HF100" s="15"/>
      <c r="HG100" s="184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  <c r="MG100" s="15"/>
      <c r="MH100" s="15"/>
      <c r="MI100" s="15"/>
      <c r="MJ100" s="15"/>
      <c r="MK100" s="15"/>
      <c r="ML100" s="15"/>
      <c r="MM100" s="15"/>
      <c r="MN100" s="15"/>
      <c r="MO100" s="15"/>
      <c r="MP100" s="15"/>
      <c r="MQ100" s="15"/>
      <c r="MR100" s="15"/>
      <c r="MS100" s="15"/>
      <c r="MT100" s="15"/>
      <c r="MU100" s="15"/>
      <c r="MV100" s="15"/>
      <c r="MW100" s="15"/>
      <c r="MX100" s="15"/>
      <c r="MY100" s="15"/>
      <c r="MZ100" s="15"/>
      <c r="NA100" s="15"/>
      <c r="NB100" s="15"/>
      <c r="NC100" s="15"/>
      <c r="ND100" s="15"/>
      <c r="NE100" s="15"/>
      <c r="NF100" s="15"/>
      <c r="NG100" s="15"/>
      <c r="NH100" s="15"/>
      <c r="NI100" s="15"/>
      <c r="NJ100" s="15"/>
      <c r="NK100" s="15"/>
      <c r="NL100" s="15"/>
      <c r="NM100" s="15"/>
      <c r="NN100" s="15"/>
      <c r="NO100" s="15"/>
      <c r="NP100" s="15"/>
      <c r="NQ100" s="15"/>
      <c r="NR100" s="15"/>
      <c r="NS100" s="15"/>
      <c r="NT100" s="15"/>
      <c r="NU100" s="15"/>
      <c r="NV100" s="15"/>
      <c r="NW100" s="15"/>
      <c r="NX100" s="15"/>
      <c r="NY100" s="15"/>
      <c r="NZ100" s="15"/>
    </row>
    <row r="101" spans="2:390" ht="33.75" customHeight="1" x14ac:dyDescent="0.45">
      <c r="B101" s="1">
        <f t="shared" si="69"/>
        <v>3</v>
      </c>
      <c r="C101" s="1">
        <f t="shared" si="69"/>
        <v>3</v>
      </c>
      <c r="D101" s="1">
        <f>+D100+1</f>
        <v>3</v>
      </c>
      <c r="E101" s="59" t="str">
        <f t="shared" si="64"/>
        <v>3.3.3</v>
      </c>
      <c r="F101" s="23" t="s">
        <v>41</v>
      </c>
      <c r="G101" s="191" t="s">
        <v>151</v>
      </c>
      <c r="H101" s="52" t="s">
        <v>117</v>
      </c>
      <c r="I101" s="52" t="s">
        <v>158</v>
      </c>
      <c r="J101" s="52">
        <v>38</v>
      </c>
      <c r="K101" s="52">
        <v>0</v>
      </c>
      <c r="L101" s="52">
        <f>+J101-K101</f>
        <v>38</v>
      </c>
      <c r="M101" s="20">
        <v>4</v>
      </c>
      <c r="N101" s="20">
        <v>24</v>
      </c>
      <c r="O101" s="51">
        <f>+N101*M101</f>
        <v>96</v>
      </c>
      <c r="P101" s="51">
        <f>+SUM(AA101:NZ101)</f>
        <v>96</v>
      </c>
      <c r="Q101" s="51">
        <f>+O101-P101</f>
        <v>0</v>
      </c>
      <c r="R101" s="19">
        <v>46083</v>
      </c>
      <c r="S101" s="20">
        <v>10</v>
      </c>
      <c r="T101" s="21">
        <f t="shared" si="61"/>
        <v>46094</v>
      </c>
      <c r="U101" s="22">
        <f>+K101/J101</f>
        <v>0</v>
      </c>
      <c r="V101" s="199">
        <f t="shared" si="62"/>
        <v>0</v>
      </c>
      <c r="W101" s="158">
        <f t="shared" si="67"/>
        <v>0</v>
      </c>
      <c r="X101" s="159">
        <f t="shared" si="68"/>
        <v>0</v>
      </c>
      <c r="Y101" s="199">
        <f t="shared" si="63"/>
        <v>0</v>
      </c>
      <c r="Z101" s="36"/>
      <c r="AA101" s="15"/>
      <c r="AB101" s="15"/>
      <c r="AC101" s="15"/>
      <c r="AD101" s="15"/>
      <c r="AE101" s="15"/>
      <c r="AF101" s="15"/>
      <c r="AG101" s="184"/>
      <c r="AH101" s="15"/>
      <c r="AI101" s="15"/>
      <c r="AJ101" s="15"/>
      <c r="AK101" s="15"/>
      <c r="AL101" s="15"/>
      <c r="AM101" s="15"/>
      <c r="AN101" s="184"/>
      <c r="AO101" s="15"/>
      <c r="AP101" s="15"/>
      <c r="AQ101" s="15"/>
      <c r="AR101" s="15"/>
      <c r="AS101" s="15"/>
      <c r="AT101" s="15"/>
      <c r="AU101" s="184"/>
      <c r="AV101" s="15"/>
      <c r="AW101" s="15"/>
      <c r="AX101" s="15"/>
      <c r="AY101" s="15"/>
      <c r="AZ101" s="15"/>
      <c r="BA101" s="15"/>
      <c r="BB101" s="184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84"/>
      <c r="CE101" s="15"/>
      <c r="CF101" s="15"/>
      <c r="CG101" s="15"/>
      <c r="CH101" s="15"/>
      <c r="CI101" s="15"/>
      <c r="CJ101" s="15"/>
      <c r="CK101" s="184"/>
      <c r="CL101" s="15"/>
      <c r="CM101" s="15"/>
      <c r="CN101" s="15"/>
      <c r="CO101" s="15"/>
      <c r="CP101" s="15"/>
      <c r="CQ101" s="15"/>
      <c r="CR101" s="184"/>
      <c r="CS101" s="15"/>
      <c r="CT101" s="15"/>
      <c r="CU101" s="15"/>
      <c r="CV101" s="15"/>
      <c r="CW101" s="15"/>
      <c r="CX101" s="15"/>
      <c r="CY101" s="184"/>
      <c r="CZ101" s="15"/>
      <c r="DA101" s="15"/>
      <c r="DB101" s="15"/>
      <c r="DC101" s="15"/>
      <c r="DD101" s="15"/>
      <c r="DE101" s="15"/>
      <c r="DF101" s="184"/>
      <c r="DG101" s="15"/>
      <c r="DH101" s="15"/>
      <c r="DI101" s="15"/>
      <c r="DJ101" s="15"/>
      <c r="DK101" s="15"/>
      <c r="DL101" s="15"/>
      <c r="DM101" s="184"/>
      <c r="DN101" s="15"/>
      <c r="DO101" s="15"/>
      <c r="DP101" s="15"/>
      <c r="DQ101" s="15"/>
      <c r="DR101" s="15"/>
      <c r="DS101" s="15"/>
      <c r="DT101" s="184"/>
      <c r="DU101" s="15">
        <v>8</v>
      </c>
      <c r="DV101" s="15">
        <v>8</v>
      </c>
      <c r="DW101" s="15">
        <v>8</v>
      </c>
      <c r="DX101" s="15">
        <v>8</v>
      </c>
      <c r="DY101" s="15">
        <v>8</v>
      </c>
      <c r="DZ101" s="15">
        <v>8</v>
      </c>
      <c r="EA101" s="184"/>
      <c r="EB101" s="15">
        <v>8</v>
      </c>
      <c r="EC101" s="15">
        <v>8</v>
      </c>
      <c r="ED101" s="15">
        <v>8</v>
      </c>
      <c r="EE101" s="15">
        <v>8</v>
      </c>
      <c r="EF101" s="15">
        <v>8</v>
      </c>
      <c r="EG101" s="15">
        <v>8</v>
      </c>
      <c r="EH101" s="184"/>
      <c r="EI101" s="15"/>
      <c r="EJ101" s="15"/>
      <c r="EK101" s="15"/>
      <c r="EL101" s="15"/>
      <c r="EM101" s="15"/>
      <c r="EN101" s="15"/>
      <c r="EO101" s="184"/>
      <c r="EP101" s="15"/>
      <c r="EQ101" s="15"/>
      <c r="ER101" s="15"/>
      <c r="ES101" s="15"/>
      <c r="ET101" s="15"/>
      <c r="EU101" s="15"/>
      <c r="EV101" s="184"/>
      <c r="EW101" s="15"/>
      <c r="EX101" s="15"/>
      <c r="EY101" s="15"/>
      <c r="EZ101" s="15"/>
      <c r="FA101" s="15"/>
      <c r="FB101" s="15"/>
      <c r="FC101" s="184"/>
      <c r="FD101" s="15"/>
      <c r="FE101" s="15"/>
      <c r="FF101" s="15"/>
      <c r="FG101" s="15"/>
      <c r="FH101" s="15"/>
      <c r="FI101" s="15"/>
      <c r="FJ101" s="184"/>
      <c r="FK101" s="15"/>
      <c r="FL101" s="15"/>
      <c r="FM101" s="15"/>
      <c r="FN101" s="15"/>
      <c r="FO101" s="15"/>
      <c r="FP101" s="15"/>
      <c r="FQ101" s="184"/>
      <c r="FR101" s="15"/>
      <c r="FS101" s="15"/>
      <c r="FT101" s="15"/>
      <c r="FU101" s="15"/>
      <c r="FV101" s="15"/>
      <c r="FW101" s="178"/>
      <c r="FX101" s="184"/>
      <c r="FY101" s="181"/>
      <c r="FZ101" s="15"/>
      <c r="GA101" s="15"/>
      <c r="GB101" s="15"/>
      <c r="GC101" s="15"/>
      <c r="GD101" s="15"/>
      <c r="GE101" s="184"/>
      <c r="GF101" s="15"/>
      <c r="GG101" s="15"/>
      <c r="GH101" s="15"/>
      <c r="GI101" s="15"/>
      <c r="GJ101" s="15"/>
      <c r="GK101" s="15"/>
      <c r="GL101" s="184"/>
      <c r="GM101" s="15"/>
      <c r="GN101" s="15"/>
      <c r="GO101" s="15"/>
      <c r="GP101" s="15"/>
      <c r="GQ101" s="15"/>
      <c r="GR101" s="15"/>
      <c r="GS101" s="184"/>
      <c r="GT101" s="15"/>
      <c r="GU101" s="15"/>
      <c r="GV101" s="15"/>
      <c r="GW101" s="15"/>
      <c r="GX101" s="15"/>
      <c r="GY101" s="15"/>
      <c r="GZ101" s="184"/>
      <c r="HA101" s="15"/>
      <c r="HB101" s="15"/>
      <c r="HC101" s="15"/>
      <c r="HD101" s="15"/>
      <c r="HE101" s="15"/>
      <c r="HF101" s="15"/>
      <c r="HG101" s="184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  <c r="MG101" s="15"/>
      <c r="MH101" s="15"/>
      <c r="MI101" s="15"/>
      <c r="MJ101" s="15"/>
      <c r="MK101" s="15"/>
      <c r="ML101" s="15"/>
      <c r="MM101" s="15"/>
      <c r="MN101" s="15"/>
      <c r="MO101" s="15"/>
      <c r="MP101" s="15"/>
      <c r="MQ101" s="15"/>
      <c r="MR101" s="15"/>
      <c r="MS101" s="15"/>
      <c r="MT101" s="15"/>
      <c r="MU101" s="15"/>
      <c r="MV101" s="15"/>
      <c r="MW101" s="15"/>
      <c r="MX101" s="15"/>
      <c r="MY101" s="15"/>
      <c r="MZ101" s="15"/>
      <c r="NA101" s="15"/>
      <c r="NB101" s="15"/>
      <c r="NC101" s="15"/>
      <c r="ND101" s="15"/>
      <c r="NE101" s="15"/>
      <c r="NF101" s="15"/>
      <c r="NG101" s="15"/>
      <c r="NH101" s="15"/>
      <c r="NI101" s="15"/>
      <c r="NJ101" s="15"/>
      <c r="NK101" s="15"/>
      <c r="NL101" s="15"/>
      <c r="NM101" s="15"/>
      <c r="NN101" s="15"/>
      <c r="NO101" s="15"/>
      <c r="NP101" s="15"/>
      <c r="NQ101" s="15"/>
      <c r="NR101" s="15"/>
      <c r="NS101" s="15"/>
      <c r="NT101" s="15"/>
      <c r="NU101" s="15"/>
      <c r="NV101" s="15"/>
      <c r="NW101" s="15"/>
      <c r="NX101" s="15"/>
      <c r="NY101" s="15"/>
      <c r="NZ101" s="15"/>
    </row>
    <row r="102" spans="2:390" ht="19.5" customHeight="1" x14ac:dyDescent="0.45">
      <c r="B102" s="1">
        <f t="shared" si="69"/>
        <v>3</v>
      </c>
      <c r="C102" s="1">
        <f t="shared" si="69"/>
        <v>3</v>
      </c>
      <c r="D102" s="1">
        <f>+D101+1</f>
        <v>4</v>
      </c>
      <c r="E102" s="59" t="str">
        <f t="shared" si="64"/>
        <v>3.3.4</v>
      </c>
      <c r="F102" s="23" t="s">
        <v>43</v>
      </c>
      <c r="G102" s="191">
        <v>2</v>
      </c>
      <c r="H102" s="52" t="s">
        <v>117</v>
      </c>
      <c r="I102" s="52" t="s">
        <v>158</v>
      </c>
      <c r="J102" s="52">
        <v>39</v>
      </c>
      <c r="K102" s="52">
        <v>0</v>
      </c>
      <c r="L102" s="52">
        <f>+J102-K102</f>
        <v>39</v>
      </c>
      <c r="M102" s="20">
        <v>2</v>
      </c>
      <c r="N102" s="20">
        <v>6</v>
      </c>
      <c r="O102" s="51">
        <f>+N102*M102</f>
        <v>12</v>
      </c>
      <c r="P102" s="51">
        <f>+SUM(AA102:NZ102)</f>
        <v>12</v>
      </c>
      <c r="Q102" s="51">
        <f>+O102-P102</f>
        <v>0</v>
      </c>
      <c r="R102" s="19">
        <v>46104</v>
      </c>
      <c r="S102" s="20">
        <v>8</v>
      </c>
      <c r="T102" s="21">
        <f t="shared" si="61"/>
        <v>46113</v>
      </c>
      <c r="U102" s="22">
        <f>+K102/J102</f>
        <v>0</v>
      </c>
      <c r="V102" s="199">
        <f t="shared" si="62"/>
        <v>0</v>
      </c>
      <c r="W102" s="158">
        <f t="shared" si="67"/>
        <v>0</v>
      </c>
      <c r="X102" s="159">
        <f t="shared" si="68"/>
        <v>0</v>
      </c>
      <c r="Y102" s="199">
        <f t="shared" si="63"/>
        <v>0</v>
      </c>
      <c r="Z102" s="36"/>
      <c r="AA102" s="15"/>
      <c r="AB102" s="15"/>
      <c r="AC102" s="15"/>
      <c r="AD102" s="15"/>
      <c r="AE102" s="15"/>
      <c r="AF102" s="15"/>
      <c r="AG102" s="184"/>
      <c r="AH102" s="15"/>
      <c r="AI102" s="15"/>
      <c r="AJ102" s="15"/>
      <c r="AK102" s="15"/>
      <c r="AL102" s="15"/>
      <c r="AM102" s="15"/>
      <c r="AN102" s="184"/>
      <c r="AO102" s="15"/>
      <c r="AP102" s="15"/>
      <c r="AQ102" s="15"/>
      <c r="AR102" s="15"/>
      <c r="AS102" s="15"/>
      <c r="AT102" s="15"/>
      <c r="AU102" s="184"/>
      <c r="AV102" s="15"/>
      <c r="AW102" s="15"/>
      <c r="AX102" s="15"/>
      <c r="AY102" s="15"/>
      <c r="AZ102" s="15"/>
      <c r="BA102" s="15"/>
      <c r="BB102" s="184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84"/>
      <c r="CE102" s="15"/>
      <c r="CF102" s="15"/>
      <c r="CG102" s="15"/>
      <c r="CH102" s="15"/>
      <c r="CI102" s="15"/>
      <c r="CJ102" s="15"/>
      <c r="CK102" s="184"/>
      <c r="CL102" s="15"/>
      <c r="CM102" s="15"/>
      <c r="CN102" s="15"/>
      <c r="CO102" s="15"/>
      <c r="CP102" s="15"/>
      <c r="CQ102" s="15"/>
      <c r="CR102" s="184"/>
      <c r="CS102" s="15"/>
      <c r="CT102" s="15"/>
      <c r="CU102" s="15"/>
      <c r="CV102" s="15"/>
      <c r="CW102" s="15"/>
      <c r="CX102" s="15"/>
      <c r="CY102" s="184"/>
      <c r="CZ102" s="15"/>
      <c r="DA102" s="15"/>
      <c r="DB102" s="15"/>
      <c r="DC102" s="15"/>
      <c r="DD102" s="15"/>
      <c r="DE102" s="15"/>
      <c r="DF102" s="184"/>
      <c r="DG102" s="15"/>
      <c r="DH102" s="15"/>
      <c r="DI102" s="15"/>
      <c r="DJ102" s="15"/>
      <c r="DK102" s="15"/>
      <c r="DL102" s="15"/>
      <c r="DM102" s="184"/>
      <c r="DN102" s="15"/>
      <c r="DO102" s="15"/>
      <c r="DP102" s="15"/>
      <c r="DQ102" s="15"/>
      <c r="DR102" s="15"/>
      <c r="DS102" s="15"/>
      <c r="DT102" s="184"/>
      <c r="DU102" s="15"/>
      <c r="DV102" s="15"/>
      <c r="DW102" s="15"/>
      <c r="DX102" s="15"/>
      <c r="DY102" s="15"/>
      <c r="DZ102" s="15"/>
      <c r="EA102" s="184"/>
      <c r="EB102" s="15"/>
      <c r="EC102" s="15"/>
      <c r="ED102" s="15"/>
      <c r="EE102" s="15"/>
      <c r="EF102" s="15"/>
      <c r="EG102" s="15"/>
      <c r="EH102" s="184"/>
      <c r="EI102" s="15"/>
      <c r="EJ102" s="15"/>
      <c r="EK102" s="15"/>
      <c r="EL102" s="15"/>
      <c r="EM102" s="15"/>
      <c r="EN102" s="15"/>
      <c r="EO102" s="184"/>
      <c r="EP102" s="15">
        <v>2</v>
      </c>
      <c r="EQ102" s="15">
        <v>2</v>
      </c>
      <c r="ER102" s="15">
        <v>2</v>
      </c>
      <c r="ES102" s="15"/>
      <c r="ET102" s="15"/>
      <c r="EU102" s="15"/>
      <c r="EV102" s="184"/>
      <c r="EW102" s="15">
        <v>2</v>
      </c>
      <c r="EX102" s="15">
        <v>2</v>
      </c>
      <c r="EY102" s="15">
        <v>2</v>
      </c>
      <c r="EZ102" s="15"/>
      <c r="FA102" s="15"/>
      <c r="FB102" s="15"/>
      <c r="FC102" s="184"/>
      <c r="FD102" s="15"/>
      <c r="FE102" s="15"/>
      <c r="FF102" s="15"/>
      <c r="FG102" s="15"/>
      <c r="FH102" s="15"/>
      <c r="FI102" s="15"/>
      <c r="FJ102" s="184"/>
      <c r="FK102" s="15"/>
      <c r="FL102" s="15"/>
      <c r="FM102" s="15"/>
      <c r="FN102" s="15"/>
      <c r="FO102" s="15"/>
      <c r="FP102" s="15"/>
      <c r="FQ102" s="184"/>
      <c r="FR102" s="15"/>
      <c r="FS102" s="15"/>
      <c r="FT102" s="15"/>
      <c r="FU102" s="15"/>
      <c r="FV102" s="15"/>
      <c r="FW102" s="178"/>
      <c r="FX102" s="184"/>
      <c r="FY102" s="181"/>
      <c r="FZ102" s="15"/>
      <c r="GA102" s="15"/>
      <c r="GB102" s="15"/>
      <c r="GC102" s="15"/>
      <c r="GD102" s="15"/>
      <c r="GE102" s="184"/>
      <c r="GF102" s="15"/>
      <c r="GG102" s="15"/>
      <c r="GH102" s="15"/>
      <c r="GI102" s="15"/>
      <c r="GJ102" s="15"/>
      <c r="GK102" s="15"/>
      <c r="GL102" s="184"/>
      <c r="GM102" s="15"/>
      <c r="GN102" s="15"/>
      <c r="GO102" s="15"/>
      <c r="GP102" s="15"/>
      <c r="GQ102" s="15"/>
      <c r="GR102" s="15"/>
      <c r="GS102" s="184"/>
      <c r="GT102" s="15"/>
      <c r="GU102" s="15"/>
      <c r="GV102" s="15"/>
      <c r="GW102" s="15"/>
      <c r="GX102" s="15"/>
      <c r="GY102" s="15"/>
      <c r="GZ102" s="184"/>
      <c r="HA102" s="15"/>
      <c r="HB102" s="15"/>
      <c r="HC102" s="15"/>
      <c r="HD102" s="15"/>
      <c r="HE102" s="15"/>
      <c r="HF102" s="15"/>
      <c r="HG102" s="184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  <c r="MG102" s="15"/>
      <c r="MH102" s="15"/>
      <c r="MI102" s="15"/>
      <c r="MJ102" s="15"/>
      <c r="MK102" s="15"/>
      <c r="ML102" s="15"/>
      <c r="MM102" s="15"/>
      <c r="MN102" s="15"/>
      <c r="MO102" s="15"/>
      <c r="MP102" s="15"/>
      <c r="MQ102" s="15"/>
      <c r="MR102" s="15"/>
      <c r="MS102" s="15"/>
      <c r="MT102" s="15"/>
      <c r="MU102" s="15"/>
      <c r="MV102" s="15"/>
      <c r="MW102" s="15"/>
      <c r="MX102" s="15"/>
      <c r="MY102" s="15"/>
      <c r="MZ102" s="15"/>
      <c r="NA102" s="15"/>
      <c r="NB102" s="15"/>
      <c r="NC102" s="15"/>
      <c r="ND102" s="15"/>
      <c r="NE102" s="15"/>
      <c r="NF102" s="15"/>
      <c r="NG102" s="15"/>
      <c r="NH102" s="15"/>
      <c r="NI102" s="15"/>
      <c r="NJ102" s="15"/>
      <c r="NK102" s="15"/>
      <c r="NL102" s="15"/>
      <c r="NM102" s="15"/>
      <c r="NN102" s="15"/>
      <c r="NO102" s="15"/>
      <c r="NP102" s="15"/>
      <c r="NQ102" s="15"/>
      <c r="NR102" s="15"/>
      <c r="NS102" s="15"/>
      <c r="NT102" s="15"/>
      <c r="NU102" s="15"/>
      <c r="NV102" s="15"/>
      <c r="NW102" s="15"/>
      <c r="NX102" s="15"/>
      <c r="NY102" s="15"/>
      <c r="NZ102" s="15"/>
    </row>
    <row r="103" spans="2:390" ht="19.5" customHeight="1" x14ac:dyDescent="0.45">
      <c r="B103" s="1">
        <f t="shared" si="69"/>
        <v>3</v>
      </c>
      <c r="C103" s="1">
        <f t="shared" si="69"/>
        <v>3</v>
      </c>
      <c r="D103" s="1">
        <f>+D102+1</f>
        <v>5</v>
      </c>
      <c r="E103" s="59" t="str">
        <f t="shared" si="64"/>
        <v>3.3.5</v>
      </c>
      <c r="F103" s="23" t="s">
        <v>42</v>
      </c>
      <c r="G103" s="191">
        <v>2.6</v>
      </c>
      <c r="H103" s="52" t="s">
        <v>117</v>
      </c>
      <c r="I103" s="52" t="s">
        <v>158</v>
      </c>
      <c r="J103" s="52">
        <v>30</v>
      </c>
      <c r="K103" s="52">
        <v>0</v>
      </c>
      <c r="L103" s="52">
        <f>+J103-K103</f>
        <v>30</v>
      </c>
      <c r="M103" s="20">
        <v>2</v>
      </c>
      <c r="N103" s="20">
        <v>6</v>
      </c>
      <c r="O103" s="51">
        <f>+N103*M103</f>
        <v>12</v>
      </c>
      <c r="P103" s="51">
        <f>+SUM(AA103:NZ103)</f>
        <v>12</v>
      </c>
      <c r="Q103" s="51">
        <f>+O103-P103</f>
        <v>0</v>
      </c>
      <c r="R103" s="19">
        <v>46104</v>
      </c>
      <c r="S103" s="20">
        <v>8</v>
      </c>
      <c r="T103" s="21">
        <f t="shared" si="61"/>
        <v>46113</v>
      </c>
      <c r="U103" s="22">
        <f>+K103/J103</f>
        <v>0</v>
      </c>
      <c r="V103" s="199">
        <f t="shared" si="62"/>
        <v>0</v>
      </c>
      <c r="W103" s="158">
        <f t="shared" si="67"/>
        <v>0</v>
      </c>
      <c r="X103" s="159">
        <f t="shared" si="68"/>
        <v>0</v>
      </c>
      <c r="Y103" s="199">
        <f t="shared" si="63"/>
        <v>0</v>
      </c>
      <c r="Z103" s="36"/>
      <c r="AA103" s="15"/>
      <c r="AB103" s="15"/>
      <c r="AC103" s="15"/>
      <c r="AD103" s="15"/>
      <c r="AE103" s="15"/>
      <c r="AF103" s="15"/>
      <c r="AG103" s="184"/>
      <c r="AH103" s="15"/>
      <c r="AI103" s="15"/>
      <c r="AJ103" s="15"/>
      <c r="AK103" s="15"/>
      <c r="AL103" s="15"/>
      <c r="AM103" s="15"/>
      <c r="AN103" s="184"/>
      <c r="AO103" s="15"/>
      <c r="AP103" s="15"/>
      <c r="AQ103" s="15"/>
      <c r="AR103" s="15"/>
      <c r="AS103" s="15"/>
      <c r="AT103" s="15"/>
      <c r="AU103" s="184"/>
      <c r="AV103" s="15"/>
      <c r="AW103" s="15"/>
      <c r="AX103" s="15"/>
      <c r="AY103" s="15"/>
      <c r="AZ103" s="15"/>
      <c r="BA103" s="15"/>
      <c r="BB103" s="184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84"/>
      <c r="CE103" s="15"/>
      <c r="CF103" s="15"/>
      <c r="CG103" s="15"/>
      <c r="CH103" s="15"/>
      <c r="CI103" s="15"/>
      <c r="CJ103" s="15"/>
      <c r="CK103" s="184"/>
      <c r="CL103" s="15"/>
      <c r="CM103" s="15"/>
      <c r="CN103" s="15"/>
      <c r="CO103" s="15"/>
      <c r="CP103" s="15"/>
      <c r="CQ103" s="15"/>
      <c r="CR103" s="184"/>
      <c r="CS103" s="15"/>
      <c r="CT103" s="15"/>
      <c r="CU103" s="15"/>
      <c r="CV103" s="15"/>
      <c r="CW103" s="15"/>
      <c r="CX103" s="15"/>
      <c r="CY103" s="184"/>
      <c r="CZ103" s="15"/>
      <c r="DA103" s="15"/>
      <c r="DB103" s="15"/>
      <c r="DC103" s="15"/>
      <c r="DD103" s="15"/>
      <c r="DE103" s="15"/>
      <c r="DF103" s="184"/>
      <c r="DG103" s="15"/>
      <c r="DH103" s="15"/>
      <c r="DI103" s="15"/>
      <c r="DJ103" s="15"/>
      <c r="DK103" s="15"/>
      <c r="DL103" s="15"/>
      <c r="DM103" s="184"/>
      <c r="DN103" s="15"/>
      <c r="DO103" s="15"/>
      <c r="DP103" s="15"/>
      <c r="DQ103" s="15"/>
      <c r="DR103" s="15"/>
      <c r="DS103" s="15"/>
      <c r="DT103" s="184"/>
      <c r="DU103" s="15"/>
      <c r="DV103" s="15"/>
      <c r="DW103" s="15"/>
      <c r="DX103" s="15"/>
      <c r="DY103" s="15"/>
      <c r="DZ103" s="15"/>
      <c r="EA103" s="184"/>
      <c r="EB103" s="15"/>
      <c r="EC103" s="15"/>
      <c r="ED103" s="15"/>
      <c r="EE103" s="15"/>
      <c r="EF103" s="15"/>
      <c r="EG103" s="15"/>
      <c r="EH103" s="184"/>
      <c r="EI103" s="15"/>
      <c r="EJ103" s="15"/>
      <c r="EK103" s="15"/>
      <c r="EL103" s="15"/>
      <c r="EM103" s="15"/>
      <c r="EN103" s="15"/>
      <c r="EO103" s="184"/>
      <c r="EP103" s="15">
        <v>2</v>
      </c>
      <c r="EQ103" s="15">
        <v>2</v>
      </c>
      <c r="ER103" s="15">
        <v>2</v>
      </c>
      <c r="ES103" s="15"/>
      <c r="ET103" s="15"/>
      <c r="EU103" s="15"/>
      <c r="EV103" s="184"/>
      <c r="EW103" s="15">
        <v>2</v>
      </c>
      <c r="EX103" s="15">
        <v>2</v>
      </c>
      <c r="EY103" s="15">
        <v>2</v>
      </c>
      <c r="EZ103" s="15"/>
      <c r="FA103" s="15"/>
      <c r="FB103" s="15"/>
      <c r="FC103" s="184"/>
      <c r="FD103" s="15"/>
      <c r="FE103" s="15"/>
      <c r="FF103" s="15"/>
      <c r="FG103" s="15"/>
      <c r="FH103" s="15"/>
      <c r="FI103" s="15"/>
      <c r="FJ103" s="184"/>
      <c r="FK103" s="15"/>
      <c r="FL103" s="15"/>
      <c r="FM103" s="15"/>
      <c r="FN103" s="15"/>
      <c r="FO103" s="15"/>
      <c r="FP103" s="15"/>
      <c r="FQ103" s="184"/>
      <c r="FR103" s="15"/>
      <c r="FS103" s="15"/>
      <c r="FT103" s="15"/>
      <c r="FU103" s="15"/>
      <c r="FV103" s="15"/>
      <c r="FW103" s="178"/>
      <c r="FX103" s="184"/>
      <c r="FY103" s="181"/>
      <c r="FZ103" s="15"/>
      <c r="GA103" s="15"/>
      <c r="GB103" s="15"/>
      <c r="GC103" s="15"/>
      <c r="GD103" s="15"/>
      <c r="GE103" s="184"/>
      <c r="GF103" s="15"/>
      <c r="GG103" s="15"/>
      <c r="GH103" s="15"/>
      <c r="GI103" s="15"/>
      <c r="GJ103" s="15"/>
      <c r="GK103" s="15"/>
      <c r="GL103" s="184"/>
      <c r="GM103" s="15"/>
      <c r="GN103" s="15"/>
      <c r="GO103" s="15"/>
      <c r="GP103" s="15"/>
      <c r="GQ103" s="15"/>
      <c r="GR103" s="15"/>
      <c r="GS103" s="184"/>
      <c r="GT103" s="15"/>
      <c r="GU103" s="15"/>
      <c r="GV103" s="15"/>
      <c r="GW103" s="15"/>
      <c r="GX103" s="15"/>
      <c r="GY103" s="15"/>
      <c r="GZ103" s="184"/>
      <c r="HA103" s="15"/>
      <c r="HB103" s="15"/>
      <c r="HC103" s="15"/>
      <c r="HD103" s="15"/>
      <c r="HE103" s="15"/>
      <c r="HF103" s="15"/>
      <c r="HG103" s="184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  <c r="MG103" s="15"/>
      <c r="MH103" s="15"/>
      <c r="MI103" s="15"/>
      <c r="MJ103" s="15"/>
      <c r="MK103" s="15"/>
      <c r="ML103" s="15"/>
      <c r="MM103" s="15"/>
      <c r="MN103" s="15"/>
      <c r="MO103" s="15"/>
      <c r="MP103" s="15"/>
      <c r="MQ103" s="15"/>
      <c r="MR103" s="15"/>
      <c r="MS103" s="15"/>
      <c r="MT103" s="15"/>
      <c r="MU103" s="15"/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15"/>
      <c r="NK103" s="15"/>
      <c r="NL103" s="15"/>
      <c r="NM103" s="15"/>
      <c r="NN103" s="15"/>
      <c r="NO103" s="15"/>
      <c r="NP103" s="15"/>
      <c r="NQ103" s="15"/>
      <c r="NR103" s="15"/>
      <c r="NS103" s="15"/>
      <c r="NT103" s="15"/>
      <c r="NU103" s="15"/>
      <c r="NV103" s="15"/>
      <c r="NW103" s="15"/>
      <c r="NX103" s="15"/>
      <c r="NY103" s="15"/>
      <c r="NZ103" s="15"/>
    </row>
    <row r="104" spans="2:390" ht="19.5" customHeight="1" x14ac:dyDescent="0.45">
      <c r="B104" s="1">
        <f>+B103</f>
        <v>3</v>
      </c>
      <c r="C104" s="1">
        <f>+C103+1</f>
        <v>4</v>
      </c>
      <c r="D104" s="1">
        <v>0</v>
      </c>
      <c r="E104" s="93" t="str">
        <f t="shared" si="64"/>
        <v>3.4.0</v>
      </c>
      <c r="F104" s="94" t="s">
        <v>44</v>
      </c>
      <c r="G104" s="94"/>
      <c r="H104" s="95"/>
      <c r="I104" s="95"/>
      <c r="J104" s="96"/>
      <c r="K104" s="96"/>
      <c r="L104" s="96"/>
      <c r="M104" s="94"/>
      <c r="N104" s="94"/>
      <c r="O104" s="95">
        <f>SUM(O105:O110)</f>
        <v>150</v>
      </c>
      <c r="P104" s="95"/>
      <c r="Q104" s="95"/>
      <c r="R104" s="168"/>
      <c r="S104" s="98"/>
      <c r="T104" s="163" t="str">
        <f t="shared" si="61"/>
        <v/>
      </c>
      <c r="U104" s="164">
        <f>+SUMPRODUCT(U105:U110,O105:O110)/O104</f>
        <v>0</v>
      </c>
      <c r="V104" s="200">
        <f t="shared" si="62"/>
        <v>0</v>
      </c>
      <c r="W104" s="158">
        <f t="shared" si="67"/>
        <v>0</v>
      </c>
      <c r="X104" s="159">
        <f t="shared" si="68"/>
        <v>0</v>
      </c>
      <c r="Y104" s="199">
        <f t="shared" si="63"/>
        <v>0</v>
      </c>
      <c r="Z104" s="36"/>
      <c r="AA104" s="15"/>
      <c r="AB104" s="15"/>
      <c r="AC104" s="15"/>
      <c r="AD104" s="15"/>
      <c r="AE104" s="15"/>
      <c r="AF104" s="15"/>
      <c r="AG104" s="184"/>
      <c r="AH104" s="15"/>
      <c r="AI104" s="15"/>
      <c r="AJ104" s="15"/>
      <c r="AK104" s="15"/>
      <c r="AL104" s="15"/>
      <c r="AM104" s="15"/>
      <c r="AN104" s="184"/>
      <c r="AO104" s="15"/>
      <c r="AP104" s="15"/>
      <c r="AQ104" s="15"/>
      <c r="AR104" s="15"/>
      <c r="AS104" s="15"/>
      <c r="AT104" s="15"/>
      <c r="AU104" s="184"/>
      <c r="AV104" s="15"/>
      <c r="AW104" s="15"/>
      <c r="AX104" s="15"/>
      <c r="AY104" s="15"/>
      <c r="AZ104" s="15"/>
      <c r="BA104" s="15"/>
      <c r="BB104" s="184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84"/>
      <c r="CE104" s="15"/>
      <c r="CF104" s="15"/>
      <c r="CG104" s="15"/>
      <c r="CH104" s="15"/>
      <c r="CI104" s="15"/>
      <c r="CJ104" s="15"/>
      <c r="CK104" s="184"/>
      <c r="CL104" s="15"/>
      <c r="CM104" s="15"/>
      <c r="CN104" s="15"/>
      <c r="CO104" s="15"/>
      <c r="CP104" s="15"/>
      <c r="CQ104" s="15"/>
      <c r="CR104" s="184"/>
      <c r="CS104" s="15"/>
      <c r="CT104" s="15"/>
      <c r="CU104" s="15"/>
      <c r="CV104" s="15"/>
      <c r="CW104" s="15"/>
      <c r="CX104" s="15"/>
      <c r="CY104" s="184"/>
      <c r="CZ104" s="15"/>
      <c r="DA104" s="15"/>
      <c r="DB104" s="15"/>
      <c r="DC104" s="15"/>
      <c r="DD104" s="15"/>
      <c r="DE104" s="15"/>
      <c r="DF104" s="184"/>
      <c r="DG104" s="15"/>
      <c r="DH104" s="15"/>
      <c r="DI104" s="15"/>
      <c r="DJ104" s="15"/>
      <c r="DK104" s="15"/>
      <c r="DL104" s="15"/>
      <c r="DM104" s="184"/>
      <c r="DN104" s="15"/>
      <c r="DO104" s="15"/>
      <c r="DP104" s="15"/>
      <c r="DQ104" s="15"/>
      <c r="DR104" s="15"/>
      <c r="DS104" s="15"/>
      <c r="DT104" s="184"/>
      <c r="DU104" s="15"/>
      <c r="DV104" s="15"/>
      <c r="DW104" s="15"/>
      <c r="DX104" s="15"/>
      <c r="DY104" s="15"/>
      <c r="DZ104" s="15"/>
      <c r="EA104" s="184"/>
      <c r="EB104" s="15"/>
      <c r="EC104" s="15"/>
      <c r="ED104" s="15"/>
      <c r="EE104" s="15"/>
      <c r="EF104" s="15"/>
      <c r="EG104" s="15"/>
      <c r="EH104" s="184"/>
      <c r="EI104" s="15"/>
      <c r="EJ104" s="15"/>
      <c r="EK104" s="15"/>
      <c r="EL104" s="15"/>
      <c r="EM104" s="15"/>
      <c r="EN104" s="15"/>
      <c r="EO104" s="184"/>
      <c r="EP104" s="15"/>
      <c r="EQ104" s="15"/>
      <c r="ER104" s="15"/>
      <c r="ES104" s="15"/>
      <c r="ET104" s="15"/>
      <c r="EU104" s="15"/>
      <c r="EV104" s="184"/>
      <c r="EW104" s="15"/>
      <c r="EX104" s="15"/>
      <c r="EY104" s="15"/>
      <c r="EZ104" s="15"/>
      <c r="FA104" s="15"/>
      <c r="FB104" s="15"/>
      <c r="FC104" s="184"/>
      <c r="FD104" s="15"/>
      <c r="FE104" s="15"/>
      <c r="FF104" s="15"/>
      <c r="FG104" s="15"/>
      <c r="FH104" s="15"/>
      <c r="FI104" s="15"/>
      <c r="FJ104" s="184"/>
      <c r="FK104" s="15"/>
      <c r="FL104" s="15"/>
      <c r="FM104" s="15"/>
      <c r="FN104" s="15"/>
      <c r="FO104" s="15"/>
      <c r="FP104" s="15"/>
      <c r="FQ104" s="184"/>
      <c r="FR104" s="15"/>
      <c r="FS104" s="15"/>
      <c r="FT104" s="15"/>
      <c r="FU104" s="15"/>
      <c r="FV104" s="15"/>
      <c r="FW104" s="178"/>
      <c r="FX104" s="184"/>
      <c r="FY104" s="181"/>
      <c r="FZ104" s="15"/>
      <c r="GA104" s="15"/>
      <c r="GB104" s="15"/>
      <c r="GC104" s="15"/>
      <c r="GD104" s="15"/>
      <c r="GE104" s="184"/>
      <c r="GF104" s="15"/>
      <c r="GG104" s="15"/>
      <c r="GH104" s="15"/>
      <c r="GI104" s="15"/>
      <c r="GJ104" s="15"/>
      <c r="GK104" s="15"/>
      <c r="GL104" s="184"/>
      <c r="GM104" s="15"/>
      <c r="GN104" s="15"/>
      <c r="GO104" s="15"/>
      <c r="GP104" s="15"/>
      <c r="GQ104" s="15"/>
      <c r="GR104" s="15"/>
      <c r="GS104" s="184"/>
      <c r="GT104" s="15"/>
      <c r="GU104" s="15"/>
      <c r="GV104" s="15"/>
      <c r="GW104" s="15"/>
      <c r="GX104" s="15"/>
      <c r="GY104" s="15"/>
      <c r="GZ104" s="184"/>
      <c r="HA104" s="15"/>
      <c r="HB104" s="15"/>
      <c r="HC104" s="15"/>
      <c r="HD104" s="15"/>
      <c r="HE104" s="15"/>
      <c r="HF104" s="15"/>
      <c r="HG104" s="184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  <c r="MG104" s="15"/>
      <c r="MH104" s="15"/>
      <c r="MI104" s="15"/>
      <c r="MJ104" s="15"/>
      <c r="MK104" s="15"/>
      <c r="ML104" s="15"/>
      <c r="MM104" s="15"/>
      <c r="MN104" s="15"/>
      <c r="MO104" s="15"/>
      <c r="MP104" s="15"/>
      <c r="MQ104" s="15"/>
      <c r="MR104" s="15"/>
      <c r="MS104" s="15"/>
      <c r="MT104" s="15"/>
      <c r="MU104" s="15"/>
      <c r="MV104" s="15"/>
      <c r="MW104" s="15"/>
      <c r="MX104" s="15"/>
      <c r="MY104" s="15"/>
      <c r="MZ104" s="15"/>
      <c r="NA104" s="15"/>
      <c r="NB104" s="15"/>
      <c r="NC104" s="15"/>
      <c r="ND104" s="15"/>
      <c r="NE104" s="15"/>
      <c r="NF104" s="15"/>
      <c r="NG104" s="15"/>
      <c r="NH104" s="15"/>
      <c r="NI104" s="15"/>
      <c r="NJ104" s="15"/>
      <c r="NK104" s="15"/>
      <c r="NL104" s="15"/>
      <c r="NM104" s="15"/>
      <c r="NN104" s="15"/>
      <c r="NO104" s="15"/>
      <c r="NP104" s="15"/>
      <c r="NQ104" s="15"/>
      <c r="NR104" s="15"/>
      <c r="NS104" s="15"/>
      <c r="NT104" s="15"/>
      <c r="NU104" s="15"/>
      <c r="NV104" s="15"/>
      <c r="NW104" s="15"/>
      <c r="NX104" s="15"/>
      <c r="NY104" s="15"/>
      <c r="NZ104" s="15"/>
    </row>
    <row r="105" spans="2:390" ht="19.5" customHeight="1" x14ac:dyDescent="0.45">
      <c r="B105" s="1">
        <f t="shared" ref="B105:B110" si="70">+B104</f>
        <v>3</v>
      </c>
      <c r="C105" s="1">
        <f t="shared" ref="C105:C110" si="71">+C104</f>
        <v>4</v>
      </c>
      <c r="D105" s="1">
        <f t="shared" ref="D105:D110" si="72">+D104+1</f>
        <v>1</v>
      </c>
      <c r="E105" s="84" t="str">
        <f t="shared" si="64"/>
        <v>3.4.1</v>
      </c>
      <c r="F105" s="85" t="s">
        <v>131</v>
      </c>
      <c r="G105" s="191">
        <v>2</v>
      </c>
      <c r="H105" s="52" t="s">
        <v>117</v>
      </c>
      <c r="I105" s="52" t="s">
        <v>157</v>
      </c>
      <c r="J105" s="52">
        <v>173</v>
      </c>
      <c r="K105" s="52">
        <v>0</v>
      </c>
      <c r="L105" s="52">
        <f t="shared" ref="L105:L110" si="73">+J105-K105</f>
        <v>173</v>
      </c>
      <c r="M105" s="20">
        <v>3</v>
      </c>
      <c r="N105" s="20">
        <v>18</v>
      </c>
      <c r="O105" s="51">
        <f>+N105*M105</f>
        <v>54</v>
      </c>
      <c r="P105" s="51">
        <f t="shared" ref="P105:P110" si="74">+SUM(AA105:NZ105)</f>
        <v>54</v>
      </c>
      <c r="Q105" s="51">
        <f t="shared" ref="Q105:Q110" si="75">+O105-P105</f>
        <v>0</v>
      </c>
      <c r="R105" s="79">
        <v>46048</v>
      </c>
      <c r="S105" s="80">
        <v>10</v>
      </c>
      <c r="T105" s="21">
        <f t="shared" si="61"/>
        <v>46059</v>
      </c>
      <c r="U105" s="22">
        <f>+K105/J105</f>
        <v>0</v>
      </c>
      <c r="V105" s="199">
        <f t="shared" si="62"/>
        <v>0</v>
      </c>
      <c r="W105" s="158">
        <f t="shared" si="67"/>
        <v>0</v>
      </c>
      <c r="X105" s="159">
        <f t="shared" si="68"/>
        <v>0</v>
      </c>
      <c r="Y105" s="199">
        <f t="shared" si="63"/>
        <v>0</v>
      </c>
      <c r="Z105" s="36"/>
      <c r="AA105" s="15"/>
      <c r="AB105" s="15"/>
      <c r="AC105" s="15"/>
      <c r="AD105" s="15"/>
      <c r="AE105" s="15"/>
      <c r="AF105" s="15"/>
      <c r="AG105" s="184"/>
      <c r="AH105" s="15"/>
      <c r="AI105" s="15"/>
      <c r="AJ105" s="15"/>
      <c r="AK105" s="15"/>
      <c r="AL105" s="15"/>
      <c r="AM105" s="15"/>
      <c r="AN105" s="184"/>
      <c r="AO105" s="15"/>
      <c r="AP105" s="15"/>
      <c r="AQ105" s="15"/>
      <c r="AR105" s="15"/>
      <c r="AS105" s="15"/>
      <c r="AT105" s="15"/>
      <c r="AU105" s="184"/>
      <c r="AV105" s="15"/>
      <c r="AW105" s="15"/>
      <c r="AX105" s="15"/>
      <c r="AY105" s="15"/>
      <c r="AZ105" s="15"/>
      <c r="BA105" s="15"/>
      <c r="BB105" s="184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84"/>
      <c r="CE105" s="15"/>
      <c r="CF105" s="15"/>
      <c r="CG105" s="15"/>
      <c r="CH105" s="15"/>
      <c r="CI105" s="15"/>
      <c r="CJ105" s="15"/>
      <c r="CK105" s="184"/>
      <c r="CL105" s="15">
        <v>6</v>
      </c>
      <c r="CM105" s="15">
        <v>6</v>
      </c>
      <c r="CN105" s="15">
        <v>6</v>
      </c>
      <c r="CO105" s="15">
        <v>6</v>
      </c>
      <c r="CP105" s="15">
        <v>6</v>
      </c>
      <c r="CQ105" s="15">
        <v>6</v>
      </c>
      <c r="CR105" s="184"/>
      <c r="CS105" s="15">
        <v>3</v>
      </c>
      <c r="CT105" s="15">
        <v>3</v>
      </c>
      <c r="CU105" s="15">
        <v>3</v>
      </c>
      <c r="CV105" s="15">
        <v>3</v>
      </c>
      <c r="CW105" s="15">
        <v>3</v>
      </c>
      <c r="CX105" s="15">
        <v>3</v>
      </c>
      <c r="CY105" s="184"/>
      <c r="CZ105" s="15"/>
      <c r="DA105" s="15"/>
      <c r="DB105" s="15"/>
      <c r="DC105" s="15"/>
      <c r="DD105" s="15"/>
      <c r="DE105" s="15"/>
      <c r="DF105" s="184"/>
      <c r="DG105" s="15"/>
      <c r="DH105" s="15"/>
      <c r="DI105" s="15"/>
      <c r="DJ105" s="15"/>
      <c r="DK105" s="15"/>
      <c r="DL105" s="15"/>
      <c r="DM105" s="184"/>
      <c r="DN105" s="15"/>
      <c r="DO105" s="15"/>
      <c r="DP105" s="15"/>
      <c r="DQ105" s="15"/>
      <c r="DR105" s="15"/>
      <c r="DS105" s="15"/>
      <c r="DT105" s="184"/>
      <c r="DU105" s="15"/>
      <c r="DV105" s="15"/>
      <c r="DW105" s="15"/>
      <c r="DX105" s="15"/>
      <c r="DY105" s="15"/>
      <c r="DZ105" s="15"/>
      <c r="EA105" s="184"/>
      <c r="EB105" s="15"/>
      <c r="EC105" s="15"/>
      <c r="ED105" s="15"/>
      <c r="EE105" s="15"/>
      <c r="EF105" s="15"/>
      <c r="EG105" s="15"/>
      <c r="EH105" s="184"/>
      <c r="EI105" s="15"/>
      <c r="EJ105" s="15"/>
      <c r="EK105" s="15"/>
      <c r="EL105" s="15"/>
      <c r="EM105" s="15"/>
      <c r="EN105" s="15"/>
      <c r="EO105" s="184"/>
      <c r="EP105" s="15"/>
      <c r="EQ105" s="15"/>
      <c r="ER105" s="15"/>
      <c r="ES105" s="15"/>
      <c r="ET105" s="15"/>
      <c r="EU105" s="15"/>
      <c r="EV105" s="184"/>
      <c r="EW105" s="15"/>
      <c r="EX105" s="15"/>
      <c r="EY105" s="15"/>
      <c r="EZ105" s="15"/>
      <c r="FA105" s="15"/>
      <c r="FB105" s="15"/>
      <c r="FC105" s="184"/>
      <c r="FD105" s="15"/>
      <c r="FE105" s="15"/>
      <c r="FF105" s="15"/>
      <c r="FG105" s="15"/>
      <c r="FH105" s="15"/>
      <c r="FI105" s="15"/>
      <c r="FJ105" s="184"/>
      <c r="FK105" s="15"/>
      <c r="FL105" s="15"/>
      <c r="FM105" s="15"/>
      <c r="FN105" s="15"/>
      <c r="FO105" s="15"/>
      <c r="FP105" s="15"/>
      <c r="FQ105" s="184"/>
      <c r="FR105" s="15"/>
      <c r="FS105" s="15"/>
      <c r="FT105" s="15"/>
      <c r="FU105" s="15"/>
      <c r="FV105" s="15"/>
      <c r="FW105" s="178"/>
      <c r="FX105" s="184"/>
      <c r="FY105" s="181"/>
      <c r="FZ105" s="15"/>
      <c r="GA105" s="15"/>
      <c r="GB105" s="15"/>
      <c r="GC105" s="15"/>
      <c r="GD105" s="15"/>
      <c r="GE105" s="184"/>
      <c r="GF105" s="15"/>
      <c r="GG105" s="15"/>
      <c r="GH105" s="15"/>
      <c r="GI105" s="15"/>
      <c r="GJ105" s="15"/>
      <c r="GK105" s="15"/>
      <c r="GL105" s="184"/>
      <c r="GM105" s="15"/>
      <c r="GN105" s="15"/>
      <c r="GO105" s="15"/>
      <c r="GP105" s="15"/>
      <c r="GQ105" s="15"/>
      <c r="GR105" s="15"/>
      <c r="GS105" s="184"/>
      <c r="GT105" s="15"/>
      <c r="GU105" s="15"/>
      <c r="GV105" s="15"/>
      <c r="GW105" s="15"/>
      <c r="GX105" s="15"/>
      <c r="GY105" s="15"/>
      <c r="GZ105" s="184"/>
      <c r="HA105" s="15"/>
      <c r="HB105" s="15"/>
      <c r="HC105" s="15"/>
      <c r="HD105" s="15"/>
      <c r="HE105" s="15"/>
      <c r="HF105" s="15"/>
      <c r="HG105" s="184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  <c r="MG105" s="15"/>
      <c r="MH105" s="15"/>
      <c r="MI105" s="15"/>
      <c r="MJ105" s="15"/>
      <c r="MK105" s="15"/>
      <c r="ML105" s="15"/>
      <c r="MM105" s="15"/>
      <c r="MN105" s="15"/>
      <c r="MO105" s="15"/>
      <c r="MP105" s="15"/>
      <c r="MQ105" s="15"/>
      <c r="MR105" s="15"/>
      <c r="MS105" s="15"/>
      <c r="MT105" s="15"/>
      <c r="MU105" s="15"/>
      <c r="MV105" s="15"/>
      <c r="MW105" s="15"/>
      <c r="MX105" s="15"/>
      <c r="MY105" s="15"/>
      <c r="MZ105" s="15"/>
      <c r="NA105" s="15"/>
      <c r="NB105" s="15"/>
      <c r="NC105" s="15"/>
      <c r="ND105" s="15"/>
      <c r="NE105" s="15"/>
      <c r="NF105" s="15"/>
      <c r="NG105" s="15"/>
      <c r="NH105" s="15"/>
      <c r="NI105" s="15"/>
      <c r="NJ105" s="15"/>
      <c r="NK105" s="15"/>
      <c r="NL105" s="15"/>
      <c r="NM105" s="15"/>
      <c r="NN105" s="15"/>
      <c r="NO105" s="15"/>
      <c r="NP105" s="15"/>
      <c r="NQ105" s="15"/>
      <c r="NR105" s="15"/>
      <c r="NS105" s="15"/>
      <c r="NT105" s="15"/>
      <c r="NU105" s="15"/>
      <c r="NV105" s="15"/>
      <c r="NW105" s="15"/>
      <c r="NX105" s="15"/>
      <c r="NY105" s="15"/>
      <c r="NZ105" s="15"/>
    </row>
    <row r="106" spans="2:390" ht="19.5" customHeight="1" x14ac:dyDescent="0.45">
      <c r="B106" s="1">
        <f t="shared" si="70"/>
        <v>3</v>
      </c>
      <c r="C106" s="1">
        <f t="shared" si="71"/>
        <v>4</v>
      </c>
      <c r="D106" s="1">
        <f t="shared" si="72"/>
        <v>2</v>
      </c>
      <c r="E106" s="84" t="str">
        <f t="shared" si="64"/>
        <v>3.4.2</v>
      </c>
      <c r="F106" s="85" t="s">
        <v>84</v>
      </c>
      <c r="G106" s="82"/>
      <c r="H106" s="73" t="s">
        <v>85</v>
      </c>
      <c r="I106" s="196"/>
      <c r="J106" s="126"/>
      <c r="K106" s="127"/>
      <c r="L106" s="127"/>
      <c r="M106" s="150"/>
      <c r="N106" s="150"/>
      <c r="O106" s="151"/>
      <c r="P106" s="51">
        <f t="shared" si="74"/>
        <v>0</v>
      </c>
      <c r="Q106" s="51">
        <f t="shared" si="75"/>
        <v>0</v>
      </c>
      <c r="R106" s="79"/>
      <c r="S106" s="80"/>
      <c r="T106" s="21" t="str">
        <f t="shared" si="61"/>
        <v/>
      </c>
      <c r="U106" s="22"/>
      <c r="V106" s="199">
        <f t="shared" si="62"/>
        <v>0</v>
      </c>
      <c r="W106" s="158"/>
      <c r="X106" s="159"/>
      <c r="Y106" s="199">
        <f t="shared" si="63"/>
        <v>0</v>
      </c>
      <c r="Z106" s="36"/>
      <c r="AA106" s="15"/>
      <c r="AB106" s="15"/>
      <c r="AC106" s="15"/>
      <c r="AD106" s="15"/>
      <c r="AE106" s="15"/>
      <c r="AF106" s="15"/>
      <c r="AG106" s="184"/>
      <c r="AH106" s="15"/>
      <c r="AI106" s="15"/>
      <c r="AJ106" s="15"/>
      <c r="AK106" s="15"/>
      <c r="AL106" s="15"/>
      <c r="AM106" s="15"/>
      <c r="AN106" s="184"/>
      <c r="AO106" s="15"/>
      <c r="AP106" s="15"/>
      <c r="AQ106" s="15"/>
      <c r="AR106" s="15"/>
      <c r="AS106" s="15"/>
      <c r="AT106" s="15"/>
      <c r="AU106" s="184"/>
      <c r="AV106" s="15"/>
      <c r="AW106" s="15"/>
      <c r="AX106" s="15"/>
      <c r="AY106" s="15"/>
      <c r="AZ106" s="15"/>
      <c r="BA106" s="15"/>
      <c r="BB106" s="184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84"/>
      <c r="CE106" s="15"/>
      <c r="CF106" s="15"/>
      <c r="CG106" s="15"/>
      <c r="CH106" s="15"/>
      <c r="CI106" s="15"/>
      <c r="CJ106" s="15"/>
      <c r="CK106" s="184"/>
      <c r="CL106" s="15"/>
      <c r="CM106" s="15"/>
      <c r="CN106" s="15"/>
      <c r="CO106" s="15"/>
      <c r="CP106" s="15"/>
      <c r="CQ106" s="15"/>
      <c r="CR106" s="184"/>
      <c r="CS106" s="15"/>
      <c r="CT106" s="15"/>
      <c r="CU106" s="15"/>
      <c r="CV106" s="15"/>
      <c r="CW106" s="15"/>
      <c r="CX106" s="15"/>
      <c r="CY106" s="184"/>
      <c r="CZ106" s="15"/>
      <c r="DA106" s="15"/>
      <c r="DB106" s="15"/>
      <c r="DC106" s="15"/>
      <c r="DD106" s="15"/>
      <c r="DE106" s="15"/>
      <c r="DF106" s="184"/>
      <c r="DG106" s="15"/>
      <c r="DH106" s="15"/>
      <c r="DI106" s="15"/>
      <c r="DJ106" s="15"/>
      <c r="DK106" s="15"/>
      <c r="DL106" s="15"/>
      <c r="DM106" s="184"/>
      <c r="DN106" s="15"/>
      <c r="DO106" s="15"/>
      <c r="DP106" s="15"/>
      <c r="DQ106" s="15"/>
      <c r="DR106" s="15"/>
      <c r="DS106" s="15"/>
      <c r="DT106" s="184"/>
      <c r="DU106" s="15"/>
      <c r="DV106" s="15"/>
      <c r="DW106" s="15"/>
      <c r="DX106" s="15"/>
      <c r="DY106" s="15"/>
      <c r="DZ106" s="15"/>
      <c r="EA106" s="184"/>
      <c r="EB106" s="15"/>
      <c r="EC106" s="15"/>
      <c r="ED106" s="15"/>
      <c r="EE106" s="15"/>
      <c r="EF106" s="15"/>
      <c r="EG106" s="15"/>
      <c r="EH106" s="184"/>
      <c r="EI106" s="15"/>
      <c r="EJ106" s="15"/>
      <c r="EK106" s="15"/>
      <c r="EL106" s="15"/>
      <c r="EM106" s="15"/>
      <c r="EN106" s="15"/>
      <c r="EO106" s="184"/>
      <c r="EP106" s="15"/>
      <c r="EQ106" s="15"/>
      <c r="ER106" s="15"/>
      <c r="ES106" s="15"/>
      <c r="ET106" s="15"/>
      <c r="EU106" s="15"/>
      <c r="EV106" s="184"/>
      <c r="EW106" s="15"/>
      <c r="EX106" s="15"/>
      <c r="EY106" s="15"/>
      <c r="EZ106" s="15"/>
      <c r="FA106" s="15"/>
      <c r="FB106" s="15"/>
      <c r="FC106" s="184"/>
      <c r="FD106" s="15"/>
      <c r="FE106" s="15"/>
      <c r="FF106" s="15"/>
      <c r="FG106" s="15"/>
      <c r="FH106" s="15"/>
      <c r="FI106" s="15"/>
      <c r="FJ106" s="184"/>
      <c r="FK106" s="15"/>
      <c r="FL106" s="15"/>
      <c r="FM106" s="15"/>
      <c r="FN106" s="15"/>
      <c r="FO106" s="15"/>
      <c r="FP106" s="15"/>
      <c r="FQ106" s="184"/>
      <c r="FR106" s="15"/>
      <c r="FS106" s="15"/>
      <c r="FT106" s="15"/>
      <c r="FU106" s="15"/>
      <c r="FV106" s="15"/>
      <c r="FW106" s="178"/>
      <c r="FX106" s="184"/>
      <c r="FY106" s="181"/>
      <c r="FZ106" s="15"/>
      <c r="GA106" s="15"/>
      <c r="GB106" s="15"/>
      <c r="GC106" s="15"/>
      <c r="GD106" s="15"/>
      <c r="GE106" s="184"/>
      <c r="GF106" s="15"/>
      <c r="GG106" s="15"/>
      <c r="GH106" s="15"/>
      <c r="GI106" s="15"/>
      <c r="GJ106" s="15"/>
      <c r="GK106" s="15"/>
      <c r="GL106" s="184"/>
      <c r="GM106" s="15"/>
      <c r="GN106" s="15"/>
      <c r="GO106" s="15"/>
      <c r="GP106" s="15"/>
      <c r="GQ106" s="15"/>
      <c r="GR106" s="15"/>
      <c r="GS106" s="184"/>
      <c r="GT106" s="15"/>
      <c r="GU106" s="15"/>
      <c r="GV106" s="15"/>
      <c r="GW106" s="15"/>
      <c r="GX106" s="15"/>
      <c r="GY106" s="15"/>
      <c r="GZ106" s="184"/>
      <c r="HA106" s="15"/>
      <c r="HB106" s="15"/>
      <c r="HC106" s="15"/>
      <c r="HD106" s="15"/>
      <c r="HE106" s="15"/>
      <c r="HF106" s="15"/>
      <c r="HG106" s="184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  <c r="MG106" s="15"/>
      <c r="MH106" s="15"/>
      <c r="MI106" s="15"/>
      <c r="MJ106" s="15"/>
      <c r="MK106" s="15"/>
      <c r="ML106" s="15"/>
      <c r="MM106" s="15"/>
      <c r="MN106" s="15"/>
      <c r="MO106" s="15"/>
      <c r="MP106" s="15"/>
      <c r="MQ106" s="15"/>
      <c r="MR106" s="15"/>
      <c r="MS106" s="15"/>
      <c r="MT106" s="15"/>
      <c r="MU106" s="15"/>
      <c r="MV106" s="15"/>
      <c r="MW106" s="15"/>
      <c r="MX106" s="15"/>
      <c r="MY106" s="15"/>
      <c r="MZ106" s="15"/>
      <c r="NA106" s="15"/>
      <c r="NB106" s="15"/>
      <c r="NC106" s="15"/>
      <c r="ND106" s="15"/>
      <c r="NE106" s="15"/>
      <c r="NF106" s="15"/>
      <c r="NG106" s="15"/>
      <c r="NH106" s="15"/>
      <c r="NI106" s="15"/>
      <c r="NJ106" s="15"/>
      <c r="NK106" s="15"/>
      <c r="NL106" s="15"/>
      <c r="NM106" s="15"/>
      <c r="NN106" s="15"/>
      <c r="NO106" s="15"/>
      <c r="NP106" s="15"/>
      <c r="NQ106" s="15"/>
      <c r="NR106" s="15"/>
      <c r="NS106" s="15"/>
      <c r="NT106" s="15"/>
      <c r="NU106" s="15"/>
      <c r="NV106" s="15"/>
      <c r="NW106" s="15"/>
      <c r="NX106" s="15"/>
      <c r="NY106" s="15"/>
      <c r="NZ106" s="15"/>
    </row>
    <row r="107" spans="2:390" ht="19.5" customHeight="1" x14ac:dyDescent="0.45">
      <c r="B107" s="1">
        <f t="shared" si="70"/>
        <v>3</v>
      </c>
      <c r="C107" s="1">
        <f t="shared" si="71"/>
        <v>4</v>
      </c>
      <c r="D107" s="1">
        <f t="shared" si="72"/>
        <v>3</v>
      </c>
      <c r="E107" s="84" t="str">
        <f t="shared" si="64"/>
        <v>3.4.3</v>
      </c>
      <c r="F107" s="85" t="s">
        <v>86</v>
      </c>
      <c r="G107" s="191">
        <v>2</v>
      </c>
      <c r="H107" s="52" t="s">
        <v>117</v>
      </c>
      <c r="I107" s="52" t="s">
        <v>158</v>
      </c>
      <c r="J107" s="52">
        <v>173</v>
      </c>
      <c r="K107" s="52">
        <v>0</v>
      </c>
      <c r="L107" s="52">
        <f t="shared" si="73"/>
        <v>173</v>
      </c>
      <c r="M107" s="20">
        <v>2</v>
      </c>
      <c r="N107" s="20">
        <v>6</v>
      </c>
      <c r="O107" s="51">
        <f>+N107*M107</f>
        <v>12</v>
      </c>
      <c r="P107" s="51">
        <f t="shared" si="74"/>
        <v>12</v>
      </c>
      <c r="Q107" s="51">
        <f t="shared" si="75"/>
        <v>0</v>
      </c>
      <c r="R107" s="79">
        <v>46111</v>
      </c>
      <c r="S107" s="80">
        <v>5</v>
      </c>
      <c r="T107" s="21">
        <f t="shared" si="61"/>
        <v>46115</v>
      </c>
      <c r="U107" s="22">
        <f>+K107/J107</f>
        <v>0</v>
      </c>
      <c r="V107" s="199">
        <f t="shared" si="62"/>
        <v>0</v>
      </c>
      <c r="W107" s="158">
        <f>SUMIFS($AA107:$NZ107, $AA$8:$NZ$8, $W$12)/$O107</f>
        <v>0</v>
      </c>
      <c r="X107" s="159">
        <f>SUMIF($AA$9:$NZ$9, "&lt;=" &amp; $W$11,$AA107:$NZ107)/$O107</f>
        <v>0</v>
      </c>
      <c r="Y107" s="199">
        <f t="shared" si="63"/>
        <v>0</v>
      </c>
      <c r="Z107" s="36"/>
      <c r="AA107" s="15"/>
      <c r="AB107" s="15"/>
      <c r="AC107" s="15"/>
      <c r="AD107" s="15"/>
      <c r="AE107" s="15"/>
      <c r="AF107" s="15"/>
      <c r="AG107" s="184"/>
      <c r="AH107" s="15"/>
      <c r="AI107" s="15"/>
      <c r="AJ107" s="15"/>
      <c r="AK107" s="15"/>
      <c r="AL107" s="15"/>
      <c r="AM107" s="15"/>
      <c r="AN107" s="184"/>
      <c r="AO107" s="15"/>
      <c r="AP107" s="15"/>
      <c r="AQ107" s="15"/>
      <c r="AR107" s="15"/>
      <c r="AS107" s="15"/>
      <c r="AT107" s="15"/>
      <c r="AU107" s="184"/>
      <c r="AV107" s="15"/>
      <c r="AW107" s="15"/>
      <c r="AX107" s="15"/>
      <c r="AY107" s="15"/>
      <c r="AZ107" s="15"/>
      <c r="BA107" s="15"/>
      <c r="BB107" s="184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84"/>
      <c r="CE107" s="15"/>
      <c r="CF107" s="15"/>
      <c r="CG107" s="15"/>
      <c r="CH107" s="15"/>
      <c r="CI107" s="15"/>
      <c r="CJ107" s="15"/>
      <c r="CK107" s="184"/>
      <c r="CL107" s="15"/>
      <c r="CM107" s="15"/>
      <c r="CN107" s="15"/>
      <c r="CO107" s="15"/>
      <c r="CP107" s="15"/>
      <c r="CQ107" s="15"/>
      <c r="CR107" s="184"/>
      <c r="CS107" s="15"/>
      <c r="CT107" s="15"/>
      <c r="CU107" s="15"/>
      <c r="CV107" s="15"/>
      <c r="CW107" s="15"/>
      <c r="CX107" s="15"/>
      <c r="CY107" s="184"/>
      <c r="CZ107" s="15"/>
      <c r="DA107" s="15"/>
      <c r="DB107" s="15"/>
      <c r="DC107" s="15"/>
      <c r="DD107" s="15"/>
      <c r="DE107" s="15"/>
      <c r="DF107" s="184"/>
      <c r="DG107" s="15"/>
      <c r="DH107" s="15"/>
      <c r="DI107" s="15"/>
      <c r="DJ107" s="15"/>
      <c r="DK107" s="15"/>
      <c r="DL107" s="15"/>
      <c r="DM107" s="184"/>
      <c r="DN107" s="15"/>
      <c r="DO107" s="15"/>
      <c r="DP107" s="15"/>
      <c r="DQ107" s="15"/>
      <c r="DR107" s="15"/>
      <c r="DS107" s="15"/>
      <c r="DT107" s="184"/>
      <c r="DU107" s="15"/>
      <c r="DV107" s="15"/>
      <c r="DW107" s="15"/>
      <c r="DX107" s="15"/>
      <c r="DY107" s="15"/>
      <c r="DZ107" s="15"/>
      <c r="EA107" s="184"/>
      <c r="EB107" s="15"/>
      <c r="EC107" s="15"/>
      <c r="ED107" s="15"/>
      <c r="EE107" s="15"/>
      <c r="EF107" s="15"/>
      <c r="EG107" s="15"/>
      <c r="EH107" s="184"/>
      <c r="EI107" s="15"/>
      <c r="EJ107" s="15"/>
      <c r="EK107" s="15"/>
      <c r="EL107" s="15"/>
      <c r="EM107" s="15"/>
      <c r="EN107" s="15"/>
      <c r="EO107" s="184"/>
      <c r="EP107" s="15"/>
      <c r="EQ107" s="15"/>
      <c r="ER107" s="15"/>
      <c r="ES107" s="15"/>
      <c r="ET107" s="15"/>
      <c r="EU107" s="15"/>
      <c r="EV107" s="184"/>
      <c r="EW107" s="15">
        <v>2</v>
      </c>
      <c r="EX107" s="15">
        <v>2</v>
      </c>
      <c r="EY107" s="15">
        <v>2</v>
      </c>
      <c r="EZ107" s="15">
        <v>2</v>
      </c>
      <c r="FA107" s="15">
        <v>2</v>
      </c>
      <c r="FB107" s="15">
        <v>2</v>
      </c>
      <c r="FC107" s="184"/>
      <c r="FD107" s="15"/>
      <c r="FE107" s="15"/>
      <c r="FF107" s="15"/>
      <c r="FG107" s="15"/>
      <c r="FH107" s="15"/>
      <c r="FI107" s="15"/>
      <c r="FJ107" s="184"/>
      <c r="FK107" s="15"/>
      <c r="FL107" s="15"/>
      <c r="FM107" s="15"/>
      <c r="FN107" s="15"/>
      <c r="FO107" s="15"/>
      <c r="FP107" s="15"/>
      <c r="FQ107" s="184"/>
      <c r="FR107" s="15"/>
      <c r="FS107" s="15"/>
      <c r="FT107" s="15"/>
      <c r="FU107" s="15"/>
      <c r="FV107" s="15"/>
      <c r="FW107" s="178"/>
      <c r="FX107" s="184"/>
      <c r="FY107" s="181"/>
      <c r="FZ107" s="15"/>
      <c r="GA107" s="15"/>
      <c r="GB107" s="15"/>
      <c r="GC107" s="15"/>
      <c r="GD107" s="15"/>
      <c r="GE107" s="184"/>
      <c r="GF107" s="15"/>
      <c r="GG107" s="15"/>
      <c r="GH107" s="15"/>
      <c r="GI107" s="15"/>
      <c r="GJ107" s="15"/>
      <c r="GK107" s="15"/>
      <c r="GL107" s="184"/>
      <c r="GM107" s="15"/>
      <c r="GN107" s="15"/>
      <c r="GO107" s="15"/>
      <c r="GP107" s="15"/>
      <c r="GQ107" s="15"/>
      <c r="GR107" s="15"/>
      <c r="GS107" s="184"/>
      <c r="GT107" s="15"/>
      <c r="GU107" s="15"/>
      <c r="GV107" s="15"/>
      <c r="GW107" s="15"/>
      <c r="GX107" s="15"/>
      <c r="GY107" s="15"/>
      <c r="GZ107" s="184"/>
      <c r="HA107" s="15"/>
      <c r="HB107" s="15"/>
      <c r="HC107" s="15"/>
      <c r="HD107" s="15"/>
      <c r="HE107" s="15"/>
      <c r="HF107" s="15"/>
      <c r="HG107" s="184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  <c r="MG107" s="15"/>
      <c r="MH107" s="15"/>
      <c r="MI107" s="15"/>
      <c r="MJ107" s="15"/>
      <c r="MK107" s="15"/>
      <c r="ML107" s="15"/>
      <c r="MM107" s="15"/>
      <c r="MN107" s="15"/>
      <c r="MO107" s="15"/>
      <c r="MP107" s="15"/>
      <c r="MQ107" s="15"/>
      <c r="MR107" s="15"/>
      <c r="MS107" s="15"/>
      <c r="MT107" s="15"/>
      <c r="MU107" s="15"/>
      <c r="MV107" s="15"/>
      <c r="MW107" s="15"/>
      <c r="MX107" s="15"/>
      <c r="MY107" s="15"/>
      <c r="MZ107" s="15"/>
      <c r="NA107" s="15"/>
      <c r="NB107" s="15"/>
      <c r="NC107" s="15"/>
      <c r="ND107" s="15"/>
      <c r="NE107" s="15"/>
      <c r="NF107" s="15"/>
      <c r="NG107" s="15"/>
      <c r="NH107" s="15"/>
      <c r="NI107" s="15"/>
      <c r="NJ107" s="15"/>
      <c r="NK107" s="15"/>
      <c r="NL107" s="15"/>
      <c r="NM107" s="15"/>
      <c r="NN107" s="15"/>
      <c r="NO107" s="15"/>
      <c r="NP107" s="15"/>
      <c r="NQ107" s="15"/>
      <c r="NR107" s="15"/>
      <c r="NS107" s="15"/>
      <c r="NT107" s="15"/>
      <c r="NU107" s="15"/>
      <c r="NV107" s="15"/>
      <c r="NW107" s="15"/>
      <c r="NX107" s="15"/>
      <c r="NY107" s="15"/>
      <c r="NZ107" s="15"/>
    </row>
    <row r="108" spans="2:390" ht="19.5" customHeight="1" x14ac:dyDescent="0.45">
      <c r="B108" s="1">
        <f t="shared" si="70"/>
        <v>3</v>
      </c>
      <c r="C108" s="1">
        <f t="shared" si="71"/>
        <v>4</v>
      </c>
      <c r="D108" s="1">
        <f t="shared" si="72"/>
        <v>4</v>
      </c>
      <c r="E108" s="84" t="str">
        <f t="shared" si="64"/>
        <v>3.4.4</v>
      </c>
      <c r="F108" s="85" t="s">
        <v>45</v>
      </c>
      <c r="G108" s="191">
        <v>2</v>
      </c>
      <c r="H108" s="52" t="s">
        <v>117</v>
      </c>
      <c r="I108" s="52" t="s">
        <v>158</v>
      </c>
      <c r="J108" s="52">
        <v>62</v>
      </c>
      <c r="K108" s="52">
        <v>0</v>
      </c>
      <c r="L108" s="52">
        <f t="shared" si="73"/>
        <v>62</v>
      </c>
      <c r="M108" s="20">
        <v>2</v>
      </c>
      <c r="N108" s="20">
        <v>6</v>
      </c>
      <c r="O108" s="51">
        <f>+N108*M108</f>
        <v>12</v>
      </c>
      <c r="P108" s="51">
        <f t="shared" si="74"/>
        <v>12</v>
      </c>
      <c r="Q108" s="51">
        <f t="shared" si="75"/>
        <v>0</v>
      </c>
      <c r="R108" s="79">
        <v>46111</v>
      </c>
      <c r="S108" s="80">
        <v>5</v>
      </c>
      <c r="T108" s="21">
        <f t="shared" si="61"/>
        <v>46115</v>
      </c>
      <c r="U108" s="22">
        <f>+K108/J108</f>
        <v>0</v>
      </c>
      <c r="V108" s="199">
        <f t="shared" si="62"/>
        <v>0</v>
      </c>
      <c r="W108" s="158">
        <f>SUMIFS($AA108:$NZ108, $AA$8:$NZ$8, $W$12)/$O108</f>
        <v>0</v>
      </c>
      <c r="X108" s="159">
        <f>SUMIF($AA$9:$NZ$9, "&lt;=" &amp; $W$11,$AA108:$NZ108)/$O108</f>
        <v>0</v>
      </c>
      <c r="Y108" s="199">
        <f t="shared" si="63"/>
        <v>0</v>
      </c>
      <c r="Z108" s="36"/>
      <c r="AA108" s="15"/>
      <c r="AB108" s="15"/>
      <c r="AC108" s="15"/>
      <c r="AD108" s="15"/>
      <c r="AE108" s="15"/>
      <c r="AF108" s="15"/>
      <c r="AG108" s="184"/>
      <c r="AH108" s="15"/>
      <c r="AI108" s="15"/>
      <c r="AJ108" s="15"/>
      <c r="AK108" s="15"/>
      <c r="AL108" s="15"/>
      <c r="AM108" s="15"/>
      <c r="AN108" s="184"/>
      <c r="AO108" s="15"/>
      <c r="AP108" s="15"/>
      <c r="AQ108" s="15"/>
      <c r="AR108" s="15"/>
      <c r="AS108" s="15"/>
      <c r="AT108" s="15"/>
      <c r="AU108" s="184"/>
      <c r="AV108" s="15"/>
      <c r="AW108" s="15"/>
      <c r="AX108" s="15"/>
      <c r="AY108" s="15"/>
      <c r="AZ108" s="15"/>
      <c r="BA108" s="15"/>
      <c r="BB108" s="184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84"/>
      <c r="CE108" s="15"/>
      <c r="CF108" s="15"/>
      <c r="CG108" s="15"/>
      <c r="CH108" s="15"/>
      <c r="CI108" s="15"/>
      <c r="CJ108" s="15"/>
      <c r="CK108" s="184"/>
      <c r="CL108" s="15"/>
      <c r="CM108" s="15"/>
      <c r="CN108" s="15"/>
      <c r="CO108" s="15"/>
      <c r="CP108" s="15"/>
      <c r="CQ108" s="15"/>
      <c r="CR108" s="184"/>
      <c r="CS108" s="15"/>
      <c r="CT108" s="15"/>
      <c r="CU108" s="15"/>
      <c r="CV108" s="15"/>
      <c r="CW108" s="15"/>
      <c r="CX108" s="15"/>
      <c r="CY108" s="184"/>
      <c r="CZ108" s="15"/>
      <c r="DA108" s="15"/>
      <c r="DB108" s="15"/>
      <c r="DC108" s="15"/>
      <c r="DD108" s="15"/>
      <c r="DE108" s="15"/>
      <c r="DF108" s="184"/>
      <c r="DG108" s="15"/>
      <c r="DH108" s="15"/>
      <c r="DI108" s="15"/>
      <c r="DJ108" s="15"/>
      <c r="DK108" s="15"/>
      <c r="DL108" s="15"/>
      <c r="DM108" s="184"/>
      <c r="DN108" s="15"/>
      <c r="DO108" s="15"/>
      <c r="DP108" s="15"/>
      <c r="DQ108" s="15"/>
      <c r="DR108" s="15"/>
      <c r="DS108" s="15"/>
      <c r="DT108" s="184"/>
      <c r="DU108" s="15"/>
      <c r="DV108" s="15"/>
      <c r="DW108" s="15"/>
      <c r="DX108" s="15"/>
      <c r="DY108" s="15"/>
      <c r="DZ108" s="15"/>
      <c r="EA108" s="184"/>
      <c r="EB108" s="15"/>
      <c r="EC108" s="15"/>
      <c r="ED108" s="15"/>
      <c r="EE108" s="15"/>
      <c r="EF108" s="15"/>
      <c r="EG108" s="15"/>
      <c r="EH108" s="184"/>
      <c r="EI108" s="15"/>
      <c r="EJ108" s="15"/>
      <c r="EK108" s="15"/>
      <c r="EL108" s="15"/>
      <c r="EM108" s="15"/>
      <c r="EN108" s="15"/>
      <c r="EO108" s="184"/>
      <c r="EP108" s="15"/>
      <c r="EQ108" s="15"/>
      <c r="ER108" s="15"/>
      <c r="ES108" s="15"/>
      <c r="ET108" s="15"/>
      <c r="EU108" s="15"/>
      <c r="EV108" s="184"/>
      <c r="EW108" s="15">
        <v>2</v>
      </c>
      <c r="EX108" s="15">
        <v>2</v>
      </c>
      <c r="EY108" s="15">
        <v>2</v>
      </c>
      <c r="EZ108" s="15">
        <v>2</v>
      </c>
      <c r="FA108" s="15">
        <v>2</v>
      </c>
      <c r="FB108" s="15">
        <v>2</v>
      </c>
      <c r="FC108" s="184"/>
      <c r="FD108" s="15"/>
      <c r="FE108" s="15"/>
      <c r="FF108" s="15"/>
      <c r="FG108" s="15"/>
      <c r="FH108" s="15"/>
      <c r="FI108" s="15"/>
      <c r="FJ108" s="184"/>
      <c r="FK108" s="15"/>
      <c r="FL108" s="15"/>
      <c r="FM108" s="15"/>
      <c r="FN108" s="15"/>
      <c r="FO108" s="15"/>
      <c r="FP108" s="15"/>
      <c r="FQ108" s="184"/>
      <c r="FR108" s="15"/>
      <c r="FS108" s="15"/>
      <c r="FT108" s="15"/>
      <c r="FU108" s="15"/>
      <c r="FV108" s="15"/>
      <c r="FW108" s="178"/>
      <c r="FX108" s="184"/>
      <c r="FY108" s="181"/>
      <c r="FZ108" s="15"/>
      <c r="GA108" s="15"/>
      <c r="GB108" s="15"/>
      <c r="GC108" s="15"/>
      <c r="GD108" s="15"/>
      <c r="GE108" s="184"/>
      <c r="GF108" s="15"/>
      <c r="GG108" s="15"/>
      <c r="GH108" s="15"/>
      <c r="GI108" s="15"/>
      <c r="GJ108" s="15"/>
      <c r="GK108" s="15"/>
      <c r="GL108" s="184"/>
      <c r="GM108" s="15"/>
      <c r="GN108" s="15"/>
      <c r="GO108" s="15"/>
      <c r="GP108" s="15"/>
      <c r="GQ108" s="15"/>
      <c r="GR108" s="15"/>
      <c r="GS108" s="184"/>
      <c r="GT108" s="15"/>
      <c r="GU108" s="15"/>
      <c r="GV108" s="15"/>
      <c r="GW108" s="15"/>
      <c r="GX108" s="15"/>
      <c r="GY108" s="15"/>
      <c r="GZ108" s="184"/>
      <c r="HA108" s="15"/>
      <c r="HB108" s="15"/>
      <c r="HC108" s="15"/>
      <c r="HD108" s="15"/>
      <c r="HE108" s="15"/>
      <c r="HF108" s="15"/>
      <c r="HG108" s="184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  <c r="MG108" s="15"/>
      <c r="MH108" s="15"/>
      <c r="MI108" s="15"/>
      <c r="MJ108" s="15"/>
      <c r="MK108" s="15"/>
      <c r="ML108" s="15"/>
      <c r="MM108" s="15"/>
      <c r="MN108" s="15"/>
      <c r="MO108" s="15"/>
      <c r="MP108" s="15"/>
      <c r="MQ108" s="15"/>
      <c r="MR108" s="15"/>
      <c r="MS108" s="15"/>
      <c r="MT108" s="15"/>
      <c r="MU108" s="15"/>
      <c r="MV108" s="15"/>
      <c r="MW108" s="15"/>
      <c r="MX108" s="15"/>
      <c r="MY108" s="15"/>
      <c r="MZ108" s="15"/>
      <c r="NA108" s="15"/>
      <c r="NB108" s="15"/>
      <c r="NC108" s="15"/>
      <c r="ND108" s="15"/>
      <c r="NE108" s="15"/>
      <c r="NF108" s="15"/>
      <c r="NG108" s="15"/>
      <c r="NH108" s="15"/>
      <c r="NI108" s="15"/>
      <c r="NJ108" s="15"/>
      <c r="NK108" s="15"/>
      <c r="NL108" s="15"/>
      <c r="NM108" s="15"/>
      <c r="NN108" s="15"/>
      <c r="NO108" s="15"/>
      <c r="NP108" s="15"/>
      <c r="NQ108" s="15"/>
      <c r="NR108" s="15"/>
      <c r="NS108" s="15"/>
      <c r="NT108" s="15"/>
      <c r="NU108" s="15"/>
      <c r="NV108" s="15"/>
      <c r="NW108" s="15"/>
      <c r="NX108" s="15"/>
      <c r="NY108" s="15"/>
      <c r="NZ108" s="15"/>
    </row>
    <row r="109" spans="2:390" ht="19.5" customHeight="1" x14ac:dyDescent="0.45">
      <c r="B109" s="1">
        <f t="shared" si="70"/>
        <v>3</v>
      </c>
      <c r="C109" s="1">
        <f t="shared" si="71"/>
        <v>4</v>
      </c>
      <c r="D109" s="1">
        <f t="shared" si="72"/>
        <v>5</v>
      </c>
      <c r="E109" s="84" t="str">
        <f t="shared" si="64"/>
        <v>3.4.5</v>
      </c>
      <c r="F109" s="85" t="s">
        <v>87</v>
      </c>
      <c r="G109" s="191">
        <v>2</v>
      </c>
      <c r="H109" s="52" t="s">
        <v>117</v>
      </c>
      <c r="I109" s="52" t="s">
        <v>158</v>
      </c>
      <c r="J109" s="52">
        <v>62</v>
      </c>
      <c r="K109" s="52">
        <v>0</v>
      </c>
      <c r="L109" s="52">
        <f t="shared" si="73"/>
        <v>62</v>
      </c>
      <c r="M109" s="20">
        <v>2</v>
      </c>
      <c r="N109" s="20">
        <v>12</v>
      </c>
      <c r="O109" s="51">
        <f>+N109*M109</f>
        <v>24</v>
      </c>
      <c r="P109" s="51">
        <f t="shared" si="74"/>
        <v>24</v>
      </c>
      <c r="Q109" s="51">
        <f t="shared" si="75"/>
        <v>0</v>
      </c>
      <c r="R109" s="79">
        <v>46114</v>
      </c>
      <c r="S109" s="80">
        <v>5</v>
      </c>
      <c r="T109" s="21">
        <f t="shared" si="61"/>
        <v>46120</v>
      </c>
      <c r="U109" s="22">
        <f>+K109/J109</f>
        <v>0</v>
      </c>
      <c r="V109" s="199">
        <f t="shared" si="62"/>
        <v>0</v>
      </c>
      <c r="W109" s="158">
        <f>SUMIFS($AA109:$NZ109, $AA$8:$NZ$8, $W$12)/$O109</f>
        <v>0</v>
      </c>
      <c r="X109" s="159">
        <f>SUMIF($AA$9:$NZ$9, "&lt;=" &amp; $W$11,$AA109:$NZ109)/$O109</f>
        <v>0</v>
      </c>
      <c r="Y109" s="199">
        <f t="shared" si="63"/>
        <v>0</v>
      </c>
      <c r="Z109" s="36"/>
      <c r="AA109" s="15"/>
      <c r="AB109" s="15"/>
      <c r="AC109" s="15"/>
      <c r="AD109" s="15"/>
      <c r="AE109" s="15"/>
      <c r="AF109" s="15"/>
      <c r="AG109" s="184"/>
      <c r="AH109" s="15"/>
      <c r="AI109" s="15"/>
      <c r="AJ109" s="15"/>
      <c r="AK109" s="15"/>
      <c r="AL109" s="15"/>
      <c r="AM109" s="15"/>
      <c r="AN109" s="184"/>
      <c r="AO109" s="15"/>
      <c r="AP109" s="15"/>
      <c r="AQ109" s="15"/>
      <c r="AR109" s="15"/>
      <c r="AS109" s="15"/>
      <c r="AT109" s="15"/>
      <c r="AU109" s="184"/>
      <c r="AV109" s="15"/>
      <c r="AW109" s="15"/>
      <c r="AX109" s="15"/>
      <c r="AY109" s="15"/>
      <c r="AZ109" s="15"/>
      <c r="BA109" s="15"/>
      <c r="BB109" s="184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84"/>
      <c r="CE109" s="15"/>
      <c r="CF109" s="15"/>
      <c r="CG109" s="15"/>
      <c r="CH109" s="15"/>
      <c r="CI109" s="15"/>
      <c r="CJ109" s="15"/>
      <c r="CK109" s="184"/>
      <c r="CL109" s="15"/>
      <c r="CM109" s="15"/>
      <c r="CN109" s="15"/>
      <c r="CO109" s="15"/>
      <c r="CP109" s="15"/>
      <c r="CQ109" s="15"/>
      <c r="CR109" s="184"/>
      <c r="CS109" s="15"/>
      <c r="CT109" s="15"/>
      <c r="CU109" s="15"/>
      <c r="CV109" s="15"/>
      <c r="CW109" s="15"/>
      <c r="CX109" s="15"/>
      <c r="CY109" s="184"/>
      <c r="CZ109" s="15"/>
      <c r="DA109" s="15"/>
      <c r="DB109" s="15"/>
      <c r="DC109" s="15"/>
      <c r="DD109" s="15"/>
      <c r="DE109" s="15"/>
      <c r="DF109" s="184"/>
      <c r="DG109" s="15"/>
      <c r="DH109" s="15"/>
      <c r="DI109" s="15"/>
      <c r="DJ109" s="15"/>
      <c r="DK109" s="15"/>
      <c r="DL109" s="15"/>
      <c r="DM109" s="184"/>
      <c r="DN109" s="15"/>
      <c r="DO109" s="15"/>
      <c r="DP109" s="15"/>
      <c r="DQ109" s="15"/>
      <c r="DR109" s="15"/>
      <c r="DS109" s="15"/>
      <c r="DT109" s="184"/>
      <c r="DU109" s="15"/>
      <c r="DV109" s="15"/>
      <c r="DW109" s="15"/>
      <c r="DX109" s="15"/>
      <c r="DY109" s="15"/>
      <c r="DZ109" s="15"/>
      <c r="EA109" s="184"/>
      <c r="EB109" s="15"/>
      <c r="EC109" s="15"/>
      <c r="ED109" s="15"/>
      <c r="EE109" s="15"/>
      <c r="EF109" s="15"/>
      <c r="EG109" s="15"/>
      <c r="EH109" s="184"/>
      <c r="EI109" s="15"/>
      <c r="EJ109" s="15"/>
      <c r="EK109" s="15"/>
      <c r="EL109" s="15"/>
      <c r="EM109" s="15"/>
      <c r="EN109" s="15"/>
      <c r="EO109" s="184"/>
      <c r="EP109" s="15"/>
      <c r="EQ109" s="15"/>
      <c r="ER109" s="15"/>
      <c r="ES109" s="15"/>
      <c r="ET109" s="15"/>
      <c r="EU109" s="15"/>
      <c r="EV109" s="184"/>
      <c r="EW109" s="15"/>
      <c r="EX109" s="15"/>
      <c r="EY109" s="15"/>
      <c r="EZ109" s="15">
        <v>4</v>
      </c>
      <c r="FA109" s="15">
        <v>4</v>
      </c>
      <c r="FB109" s="15">
        <v>4</v>
      </c>
      <c r="FC109" s="184"/>
      <c r="FD109" s="15">
        <v>4</v>
      </c>
      <c r="FE109" s="15">
        <v>4</v>
      </c>
      <c r="FF109" s="15">
        <v>4</v>
      </c>
      <c r="FG109" s="15"/>
      <c r="FH109" s="15"/>
      <c r="FI109" s="15"/>
      <c r="FJ109" s="184"/>
      <c r="FK109" s="15"/>
      <c r="FL109" s="15"/>
      <c r="FM109" s="15"/>
      <c r="FN109" s="15"/>
      <c r="FO109" s="15"/>
      <c r="FP109" s="15"/>
      <c r="FQ109" s="184"/>
      <c r="FR109" s="15"/>
      <c r="FS109" s="15"/>
      <c r="FT109" s="15"/>
      <c r="FU109" s="15"/>
      <c r="FV109" s="15"/>
      <c r="FW109" s="178"/>
      <c r="FX109" s="184"/>
      <c r="FY109" s="181"/>
      <c r="FZ109" s="15"/>
      <c r="GA109" s="15"/>
      <c r="GB109" s="15"/>
      <c r="GC109" s="15"/>
      <c r="GD109" s="15"/>
      <c r="GE109" s="184"/>
      <c r="GF109" s="15"/>
      <c r="GG109" s="15"/>
      <c r="GH109" s="15"/>
      <c r="GI109" s="15"/>
      <c r="GJ109" s="15"/>
      <c r="GK109" s="15"/>
      <c r="GL109" s="184"/>
      <c r="GM109" s="15"/>
      <c r="GN109" s="15"/>
      <c r="GO109" s="15"/>
      <c r="GP109" s="15"/>
      <c r="GQ109" s="15"/>
      <c r="GR109" s="15"/>
      <c r="GS109" s="184"/>
      <c r="GT109" s="15"/>
      <c r="GU109" s="15"/>
      <c r="GV109" s="15"/>
      <c r="GW109" s="15"/>
      <c r="GX109" s="15"/>
      <c r="GY109" s="15"/>
      <c r="GZ109" s="184"/>
      <c r="HA109" s="15"/>
      <c r="HB109" s="15"/>
      <c r="HC109" s="15"/>
      <c r="HD109" s="15"/>
      <c r="HE109" s="15"/>
      <c r="HF109" s="15"/>
      <c r="HG109" s="184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/>
      <c r="LI109" s="15"/>
      <c r="LJ109" s="15"/>
      <c r="LK109" s="15"/>
      <c r="LL109" s="15"/>
      <c r="LM109" s="15"/>
      <c r="LN109" s="15"/>
      <c r="LO109" s="15"/>
      <c r="LP109" s="15"/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  <c r="MG109" s="15"/>
      <c r="MH109" s="15"/>
      <c r="MI109" s="15"/>
      <c r="MJ109" s="15"/>
      <c r="MK109" s="15"/>
      <c r="ML109" s="15"/>
      <c r="MM109" s="15"/>
      <c r="MN109" s="15"/>
      <c r="MO109" s="15"/>
      <c r="MP109" s="15"/>
      <c r="MQ109" s="15"/>
      <c r="MR109" s="15"/>
      <c r="MS109" s="15"/>
      <c r="MT109" s="15"/>
      <c r="MU109" s="15"/>
      <c r="MV109" s="15"/>
      <c r="MW109" s="15"/>
      <c r="MX109" s="15"/>
      <c r="MY109" s="15"/>
      <c r="MZ109" s="15"/>
      <c r="NA109" s="15"/>
      <c r="NB109" s="15"/>
      <c r="NC109" s="15"/>
      <c r="ND109" s="15"/>
      <c r="NE109" s="15"/>
      <c r="NF109" s="15"/>
      <c r="NG109" s="15"/>
      <c r="NH109" s="15"/>
      <c r="NI109" s="15"/>
      <c r="NJ109" s="15"/>
      <c r="NK109" s="15"/>
      <c r="NL109" s="15"/>
      <c r="NM109" s="15"/>
      <c r="NN109" s="15"/>
      <c r="NO109" s="15"/>
      <c r="NP109" s="15"/>
      <c r="NQ109" s="15"/>
      <c r="NR109" s="15"/>
      <c r="NS109" s="15"/>
      <c r="NT109" s="15"/>
      <c r="NU109" s="15"/>
      <c r="NV109" s="15"/>
      <c r="NW109" s="15"/>
      <c r="NX109" s="15"/>
      <c r="NY109" s="15"/>
      <c r="NZ109" s="15"/>
    </row>
    <row r="110" spans="2:390" ht="19.5" customHeight="1" x14ac:dyDescent="0.45">
      <c r="B110" s="1">
        <f t="shared" si="70"/>
        <v>3</v>
      </c>
      <c r="C110" s="1">
        <f t="shared" si="71"/>
        <v>4</v>
      </c>
      <c r="D110" s="1">
        <f t="shared" si="72"/>
        <v>6</v>
      </c>
      <c r="E110" s="84" t="str">
        <f t="shared" si="64"/>
        <v>3.4.6</v>
      </c>
      <c r="F110" s="85" t="s">
        <v>23</v>
      </c>
      <c r="G110" s="191">
        <v>2.8</v>
      </c>
      <c r="H110" s="52" t="s">
        <v>117</v>
      </c>
      <c r="I110" s="52" t="s">
        <v>158</v>
      </c>
      <c r="J110" s="52">
        <v>103</v>
      </c>
      <c r="K110" s="52">
        <v>0</v>
      </c>
      <c r="L110" s="52">
        <f t="shared" si="73"/>
        <v>103</v>
      </c>
      <c r="M110" s="20">
        <v>4</v>
      </c>
      <c r="N110" s="20">
        <v>12</v>
      </c>
      <c r="O110" s="51">
        <f>+N110*M110</f>
        <v>48</v>
      </c>
      <c r="P110" s="51">
        <f t="shared" si="74"/>
        <v>48</v>
      </c>
      <c r="Q110" s="51">
        <f t="shared" si="75"/>
        <v>0</v>
      </c>
      <c r="R110" s="79">
        <v>46118</v>
      </c>
      <c r="S110" s="80">
        <v>10</v>
      </c>
      <c r="T110" s="21">
        <f t="shared" si="61"/>
        <v>46129</v>
      </c>
      <c r="U110" s="22">
        <f>+K110/J110</f>
        <v>0</v>
      </c>
      <c r="V110" s="199">
        <f t="shared" si="62"/>
        <v>0</v>
      </c>
      <c r="W110" s="158">
        <f>SUMIFS($AA110:$NZ110, $AA$8:$NZ$8, $W$12)/$O110</f>
        <v>0</v>
      </c>
      <c r="X110" s="159">
        <f>SUMIF($AA$9:$NZ$9, "&lt;=" &amp; $W$11,$AA110:$NZ110)/$O110</f>
        <v>0</v>
      </c>
      <c r="Y110" s="199">
        <f t="shared" si="63"/>
        <v>0</v>
      </c>
      <c r="Z110" s="36"/>
      <c r="AA110" s="15"/>
      <c r="AB110" s="15"/>
      <c r="AC110" s="15"/>
      <c r="AD110" s="15"/>
      <c r="AE110" s="15"/>
      <c r="AF110" s="15"/>
      <c r="AG110" s="184"/>
      <c r="AH110" s="15"/>
      <c r="AI110" s="15"/>
      <c r="AJ110" s="15"/>
      <c r="AK110" s="15"/>
      <c r="AL110" s="15"/>
      <c r="AM110" s="15"/>
      <c r="AN110" s="184"/>
      <c r="AO110" s="15"/>
      <c r="AP110" s="15"/>
      <c r="AQ110" s="15"/>
      <c r="AR110" s="15"/>
      <c r="AS110" s="15"/>
      <c r="AT110" s="15"/>
      <c r="AU110" s="184"/>
      <c r="AV110" s="15"/>
      <c r="AW110" s="15"/>
      <c r="AX110" s="15"/>
      <c r="AY110" s="15"/>
      <c r="AZ110" s="15"/>
      <c r="BA110" s="15"/>
      <c r="BB110" s="184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84"/>
      <c r="CE110" s="15"/>
      <c r="CF110" s="15"/>
      <c r="CG110" s="15"/>
      <c r="CH110" s="15"/>
      <c r="CI110" s="15"/>
      <c r="CJ110" s="15"/>
      <c r="CK110" s="184"/>
      <c r="CL110" s="15"/>
      <c r="CM110" s="15"/>
      <c r="CN110" s="15"/>
      <c r="CO110" s="15"/>
      <c r="CP110" s="15"/>
      <c r="CQ110" s="15"/>
      <c r="CR110" s="184"/>
      <c r="CS110" s="15"/>
      <c r="CT110" s="15"/>
      <c r="CU110" s="15"/>
      <c r="CV110" s="15"/>
      <c r="CW110" s="15"/>
      <c r="CX110" s="15"/>
      <c r="CY110" s="184"/>
      <c r="CZ110" s="15"/>
      <c r="DA110" s="15"/>
      <c r="DB110" s="15"/>
      <c r="DC110" s="15"/>
      <c r="DD110" s="15"/>
      <c r="DE110" s="15"/>
      <c r="DF110" s="184"/>
      <c r="DG110" s="15"/>
      <c r="DH110" s="15"/>
      <c r="DI110" s="15"/>
      <c r="DJ110" s="15"/>
      <c r="DK110" s="15"/>
      <c r="DL110" s="15"/>
      <c r="DM110" s="184"/>
      <c r="DN110" s="15"/>
      <c r="DO110" s="15"/>
      <c r="DP110" s="15"/>
      <c r="DQ110" s="15"/>
      <c r="DR110" s="15"/>
      <c r="DS110" s="15"/>
      <c r="DT110" s="184"/>
      <c r="DU110" s="15"/>
      <c r="DV110" s="15"/>
      <c r="DW110" s="15"/>
      <c r="DX110" s="15"/>
      <c r="DY110" s="15"/>
      <c r="DZ110" s="15"/>
      <c r="EA110" s="184"/>
      <c r="EB110" s="15"/>
      <c r="EC110" s="15"/>
      <c r="ED110" s="15"/>
      <c r="EE110" s="15"/>
      <c r="EF110" s="15"/>
      <c r="EG110" s="15"/>
      <c r="EH110" s="184"/>
      <c r="EI110" s="15"/>
      <c r="EJ110" s="15"/>
      <c r="EK110" s="15"/>
      <c r="EL110" s="15"/>
      <c r="EM110" s="15"/>
      <c r="EN110" s="15"/>
      <c r="EO110" s="184"/>
      <c r="EP110" s="15"/>
      <c r="EQ110" s="15"/>
      <c r="ER110" s="15"/>
      <c r="ES110" s="15"/>
      <c r="ET110" s="15"/>
      <c r="EU110" s="15"/>
      <c r="EV110" s="184"/>
      <c r="EW110" s="15"/>
      <c r="EX110" s="15"/>
      <c r="EY110" s="15"/>
      <c r="EZ110" s="15"/>
      <c r="FA110" s="15"/>
      <c r="FB110" s="15"/>
      <c r="FC110" s="184"/>
      <c r="FD110" s="15">
        <v>4</v>
      </c>
      <c r="FE110" s="15">
        <v>4</v>
      </c>
      <c r="FF110" s="15">
        <v>4</v>
      </c>
      <c r="FG110" s="15">
        <v>4</v>
      </c>
      <c r="FH110" s="15">
        <v>4</v>
      </c>
      <c r="FI110" s="15">
        <v>4</v>
      </c>
      <c r="FJ110" s="184"/>
      <c r="FK110" s="15">
        <v>4</v>
      </c>
      <c r="FL110" s="15">
        <v>4</v>
      </c>
      <c r="FM110" s="15">
        <v>4</v>
      </c>
      <c r="FN110" s="15">
        <v>4</v>
      </c>
      <c r="FO110" s="15">
        <v>4</v>
      </c>
      <c r="FP110" s="15">
        <v>4</v>
      </c>
      <c r="FQ110" s="184"/>
      <c r="FR110" s="15"/>
      <c r="FS110" s="15"/>
      <c r="FT110" s="15"/>
      <c r="FU110" s="15"/>
      <c r="FV110" s="15"/>
      <c r="FW110" s="178"/>
      <c r="FX110" s="184"/>
      <c r="FY110" s="181"/>
      <c r="FZ110" s="15"/>
      <c r="GA110" s="15"/>
      <c r="GB110" s="15"/>
      <c r="GC110" s="15"/>
      <c r="GD110" s="15"/>
      <c r="GE110" s="184"/>
      <c r="GF110" s="15"/>
      <c r="GG110" s="15"/>
      <c r="GH110" s="15"/>
      <c r="GI110" s="15"/>
      <c r="GJ110" s="15"/>
      <c r="GK110" s="15"/>
      <c r="GL110" s="184"/>
      <c r="GM110" s="15"/>
      <c r="GN110" s="15"/>
      <c r="GO110" s="15"/>
      <c r="GP110" s="15"/>
      <c r="GQ110" s="15"/>
      <c r="GR110" s="15"/>
      <c r="GS110" s="184"/>
      <c r="GT110" s="15"/>
      <c r="GU110" s="15"/>
      <c r="GV110" s="15"/>
      <c r="GW110" s="15"/>
      <c r="GX110" s="15"/>
      <c r="GY110" s="15"/>
      <c r="GZ110" s="184"/>
      <c r="HA110" s="15"/>
      <c r="HB110" s="15"/>
      <c r="HC110" s="15"/>
      <c r="HD110" s="15"/>
      <c r="HE110" s="15"/>
      <c r="HF110" s="15"/>
      <c r="HG110" s="184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/>
      <c r="LI110" s="15"/>
      <c r="LJ110" s="15"/>
      <c r="LK110" s="15"/>
      <c r="LL110" s="15"/>
      <c r="LM110" s="15"/>
      <c r="LN110" s="15"/>
      <c r="LO110" s="15"/>
      <c r="LP110" s="15"/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  <c r="MG110" s="15"/>
      <c r="MH110" s="15"/>
      <c r="MI110" s="15"/>
      <c r="MJ110" s="15"/>
      <c r="MK110" s="15"/>
      <c r="ML110" s="15"/>
      <c r="MM110" s="15"/>
      <c r="MN110" s="15"/>
      <c r="MO110" s="15"/>
      <c r="MP110" s="15"/>
      <c r="MQ110" s="15"/>
      <c r="MR110" s="15"/>
      <c r="MS110" s="15"/>
      <c r="MT110" s="15"/>
      <c r="MU110" s="15"/>
      <c r="MV110" s="15"/>
      <c r="MW110" s="15"/>
      <c r="MX110" s="15"/>
      <c r="MY110" s="15"/>
      <c r="MZ110" s="15"/>
      <c r="NA110" s="15"/>
      <c r="NB110" s="15"/>
      <c r="NC110" s="15"/>
      <c r="ND110" s="15"/>
      <c r="NE110" s="15"/>
      <c r="NF110" s="15"/>
      <c r="NG110" s="15"/>
      <c r="NH110" s="15"/>
      <c r="NI110" s="15"/>
      <c r="NJ110" s="15"/>
      <c r="NK110" s="15"/>
      <c r="NL110" s="15"/>
      <c r="NM110" s="15"/>
      <c r="NN110" s="15"/>
      <c r="NO110" s="15"/>
      <c r="NP110" s="15"/>
      <c r="NQ110" s="15"/>
      <c r="NR110" s="15"/>
      <c r="NS110" s="15"/>
      <c r="NT110" s="15"/>
      <c r="NU110" s="15"/>
      <c r="NV110" s="15"/>
      <c r="NW110" s="15"/>
      <c r="NX110" s="15"/>
      <c r="NY110" s="15"/>
      <c r="NZ110" s="15"/>
    </row>
    <row r="111" spans="2:390" ht="19.5" customHeight="1" x14ac:dyDescent="0.45">
      <c r="B111" s="1">
        <f>+B110</f>
        <v>3</v>
      </c>
      <c r="C111" s="1">
        <f>+C110+1</f>
        <v>5</v>
      </c>
      <c r="D111" s="1">
        <v>0</v>
      </c>
      <c r="E111" s="93" t="str">
        <f t="shared" si="64"/>
        <v>3.5.0</v>
      </c>
      <c r="F111" s="94" t="s">
        <v>64</v>
      </c>
      <c r="G111" s="108"/>
      <c r="H111" s="109"/>
      <c r="I111" s="109"/>
      <c r="J111" s="110"/>
      <c r="K111" s="110"/>
      <c r="L111" s="110"/>
      <c r="M111" s="108"/>
      <c r="N111" s="108"/>
      <c r="O111" s="95">
        <f>SUM(O112:O118)</f>
        <v>168</v>
      </c>
      <c r="P111" s="95"/>
      <c r="Q111" s="95"/>
      <c r="R111" s="166"/>
      <c r="S111" s="167"/>
      <c r="T111" s="163" t="str">
        <f t="shared" si="61"/>
        <v/>
      </c>
      <c r="U111" s="164">
        <f>+SUMPRODUCT(U112:U118,O112:O118)/O111</f>
        <v>0</v>
      </c>
      <c r="V111" s="200">
        <f t="shared" si="62"/>
        <v>0</v>
      </c>
      <c r="W111" s="158">
        <f>SUMIFS($AA111:$NZ111, $AA$8:$NZ$8, $W$12)/$O111</f>
        <v>0</v>
      </c>
      <c r="X111" s="159">
        <f>SUMIF($AA$9:$NZ$9, "&lt;=" &amp; $W$11,$AA111:$NZ111)/$O111</f>
        <v>0</v>
      </c>
      <c r="Y111" s="199">
        <f t="shared" si="63"/>
        <v>0</v>
      </c>
      <c r="Z111" s="36"/>
      <c r="AA111" s="15"/>
      <c r="AB111" s="15"/>
      <c r="AC111" s="15"/>
      <c r="AD111" s="15"/>
      <c r="AE111" s="15"/>
      <c r="AF111" s="15"/>
      <c r="AG111" s="184"/>
      <c r="AH111" s="15"/>
      <c r="AI111" s="15"/>
      <c r="AJ111" s="15"/>
      <c r="AK111" s="15"/>
      <c r="AL111" s="15"/>
      <c r="AM111" s="15"/>
      <c r="AN111" s="184"/>
      <c r="AO111" s="15"/>
      <c r="AP111" s="15"/>
      <c r="AQ111" s="15"/>
      <c r="AR111" s="15"/>
      <c r="AS111" s="15"/>
      <c r="AT111" s="15"/>
      <c r="AU111" s="184"/>
      <c r="AV111" s="15"/>
      <c r="AW111" s="15"/>
      <c r="AX111" s="15"/>
      <c r="AY111" s="15"/>
      <c r="AZ111" s="15"/>
      <c r="BA111" s="15"/>
      <c r="BB111" s="184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84"/>
      <c r="CE111" s="15"/>
      <c r="CF111" s="15"/>
      <c r="CG111" s="15"/>
      <c r="CH111" s="15"/>
      <c r="CI111" s="15"/>
      <c r="CJ111" s="15"/>
      <c r="CK111" s="184"/>
      <c r="CL111" s="15"/>
      <c r="CM111" s="15"/>
      <c r="CN111" s="15"/>
      <c r="CO111" s="15"/>
      <c r="CP111" s="15"/>
      <c r="CQ111" s="15"/>
      <c r="CR111" s="184"/>
      <c r="CS111" s="15"/>
      <c r="CT111" s="15"/>
      <c r="CU111" s="15"/>
      <c r="CV111" s="15"/>
      <c r="CW111" s="15"/>
      <c r="CX111" s="15"/>
      <c r="CY111" s="184"/>
      <c r="CZ111" s="15"/>
      <c r="DA111" s="15"/>
      <c r="DB111" s="15"/>
      <c r="DC111" s="15"/>
      <c r="DD111" s="15"/>
      <c r="DE111" s="15"/>
      <c r="DF111" s="184"/>
      <c r="DG111" s="15"/>
      <c r="DH111" s="15"/>
      <c r="DI111" s="15"/>
      <c r="DJ111" s="15"/>
      <c r="DK111" s="15"/>
      <c r="DL111" s="15"/>
      <c r="DM111" s="184"/>
      <c r="DN111" s="15"/>
      <c r="DO111" s="15"/>
      <c r="DP111" s="15"/>
      <c r="DQ111" s="15"/>
      <c r="DR111" s="15"/>
      <c r="DS111" s="15"/>
      <c r="DT111" s="184"/>
      <c r="DU111" s="15"/>
      <c r="DV111" s="15"/>
      <c r="DW111" s="15"/>
      <c r="DX111" s="15"/>
      <c r="DY111" s="15"/>
      <c r="DZ111" s="15"/>
      <c r="EA111" s="184"/>
      <c r="EB111" s="15"/>
      <c r="EC111" s="15"/>
      <c r="ED111" s="15"/>
      <c r="EE111" s="15"/>
      <c r="EF111" s="15"/>
      <c r="EG111" s="15"/>
      <c r="EH111" s="184"/>
      <c r="EI111" s="15"/>
      <c r="EJ111" s="15"/>
      <c r="EK111" s="15"/>
      <c r="EL111" s="15"/>
      <c r="EM111" s="15"/>
      <c r="EN111" s="15"/>
      <c r="EO111" s="184"/>
      <c r="EP111" s="15"/>
      <c r="EQ111" s="15"/>
      <c r="ER111" s="15"/>
      <c r="ES111" s="15"/>
      <c r="ET111" s="15"/>
      <c r="EU111" s="15"/>
      <c r="EV111" s="184"/>
      <c r="EW111" s="15"/>
      <c r="EX111" s="15"/>
      <c r="EY111" s="15"/>
      <c r="EZ111" s="15"/>
      <c r="FA111" s="15"/>
      <c r="FB111" s="15"/>
      <c r="FC111" s="184"/>
      <c r="FD111" s="15"/>
      <c r="FE111" s="15"/>
      <c r="FF111" s="15"/>
      <c r="FG111" s="15"/>
      <c r="FH111" s="15"/>
      <c r="FI111" s="15"/>
      <c r="FJ111" s="184"/>
      <c r="FK111" s="15"/>
      <c r="FL111" s="15"/>
      <c r="FM111" s="15"/>
      <c r="FN111" s="15"/>
      <c r="FO111" s="15"/>
      <c r="FP111" s="15"/>
      <c r="FQ111" s="184"/>
      <c r="FR111" s="15"/>
      <c r="FS111" s="15"/>
      <c r="FT111" s="15"/>
      <c r="FU111" s="15"/>
      <c r="FV111" s="15"/>
      <c r="FW111" s="178"/>
      <c r="FX111" s="184"/>
      <c r="FY111" s="181"/>
      <c r="FZ111" s="15"/>
      <c r="GA111" s="15"/>
      <c r="GB111" s="15"/>
      <c r="GC111" s="15"/>
      <c r="GD111" s="15"/>
      <c r="GE111" s="184"/>
      <c r="GF111" s="15"/>
      <c r="GG111" s="15"/>
      <c r="GH111" s="15"/>
      <c r="GI111" s="15"/>
      <c r="GJ111" s="15"/>
      <c r="GK111" s="15"/>
      <c r="GL111" s="184"/>
      <c r="GM111" s="15"/>
      <c r="GN111" s="15"/>
      <c r="GO111" s="15"/>
      <c r="GP111" s="15"/>
      <c r="GQ111" s="15"/>
      <c r="GR111" s="15"/>
      <c r="GS111" s="184"/>
      <c r="GT111" s="15"/>
      <c r="GU111" s="15"/>
      <c r="GV111" s="15"/>
      <c r="GW111" s="15"/>
      <c r="GX111" s="15"/>
      <c r="GY111" s="15"/>
      <c r="GZ111" s="184"/>
      <c r="HA111" s="15"/>
      <c r="HB111" s="15"/>
      <c r="HC111" s="15"/>
      <c r="HD111" s="15"/>
      <c r="HE111" s="15"/>
      <c r="HF111" s="15"/>
      <c r="HG111" s="184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/>
      <c r="LI111" s="15"/>
      <c r="LJ111" s="15"/>
      <c r="LK111" s="15"/>
      <c r="LL111" s="15"/>
      <c r="LM111" s="15"/>
      <c r="LN111" s="15"/>
      <c r="LO111" s="15"/>
      <c r="LP111" s="15"/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  <c r="MG111" s="15"/>
      <c r="MH111" s="15"/>
      <c r="MI111" s="15"/>
      <c r="MJ111" s="15"/>
      <c r="MK111" s="15"/>
      <c r="ML111" s="15"/>
      <c r="MM111" s="15"/>
      <c r="MN111" s="15"/>
      <c r="MO111" s="15"/>
      <c r="MP111" s="15"/>
      <c r="MQ111" s="15"/>
      <c r="MR111" s="15"/>
      <c r="MS111" s="15"/>
      <c r="MT111" s="15"/>
      <c r="MU111" s="15"/>
      <c r="MV111" s="15"/>
      <c r="MW111" s="15"/>
      <c r="MX111" s="15"/>
      <c r="MY111" s="15"/>
      <c r="MZ111" s="15"/>
      <c r="NA111" s="15"/>
      <c r="NB111" s="15"/>
      <c r="NC111" s="15"/>
      <c r="ND111" s="15"/>
      <c r="NE111" s="15"/>
      <c r="NF111" s="15"/>
      <c r="NG111" s="15"/>
      <c r="NH111" s="15"/>
      <c r="NI111" s="15"/>
      <c r="NJ111" s="15"/>
      <c r="NK111" s="15"/>
      <c r="NL111" s="15"/>
      <c r="NM111" s="15"/>
      <c r="NN111" s="15"/>
      <c r="NO111" s="15"/>
      <c r="NP111" s="15"/>
      <c r="NQ111" s="15"/>
      <c r="NR111" s="15"/>
      <c r="NS111" s="15"/>
      <c r="NT111" s="15"/>
      <c r="NU111" s="15"/>
      <c r="NV111" s="15"/>
      <c r="NW111" s="15"/>
      <c r="NX111" s="15"/>
      <c r="NY111" s="15"/>
      <c r="NZ111" s="15"/>
    </row>
    <row r="112" spans="2:390" ht="19.5" customHeight="1" x14ac:dyDescent="0.45">
      <c r="B112" s="1">
        <f t="shared" ref="B112:B118" si="76">+B111</f>
        <v>3</v>
      </c>
      <c r="C112" s="1">
        <f t="shared" ref="C112:C118" si="77">+C111</f>
        <v>5</v>
      </c>
      <c r="D112" s="1">
        <f t="shared" ref="D112:D118" si="78">+D111+1</f>
        <v>1</v>
      </c>
      <c r="E112" s="59" t="str">
        <f t="shared" si="64"/>
        <v>3.5.1</v>
      </c>
      <c r="F112" s="23" t="s">
        <v>154</v>
      </c>
      <c r="G112" s="82"/>
      <c r="H112" s="52" t="s">
        <v>117</v>
      </c>
      <c r="I112" s="52"/>
      <c r="J112" s="61">
        <v>1</v>
      </c>
      <c r="K112" s="52">
        <v>0</v>
      </c>
      <c r="L112" s="52">
        <f t="shared" ref="L112:L118" si="79">+J112-K112</f>
        <v>1</v>
      </c>
      <c r="M112" s="141"/>
      <c r="N112" s="142"/>
      <c r="O112" s="143"/>
      <c r="P112" s="143"/>
      <c r="Q112" s="143"/>
      <c r="R112" s="153"/>
      <c r="S112" s="154"/>
      <c r="T112" s="155" t="str">
        <f t="shared" si="61"/>
        <v/>
      </c>
      <c r="U112" s="22">
        <f t="shared" ref="U112:U118" si="80">+K112/J112</f>
        <v>0</v>
      </c>
      <c r="V112" s="199">
        <f t="shared" si="62"/>
        <v>0</v>
      </c>
      <c r="W112" s="158"/>
      <c r="X112" s="159"/>
      <c r="Y112" s="199">
        <f t="shared" si="63"/>
        <v>0</v>
      </c>
      <c r="Z112" s="36"/>
      <c r="AA112" s="15"/>
      <c r="AB112" s="15"/>
      <c r="AC112" s="15"/>
      <c r="AD112" s="15"/>
      <c r="AE112" s="15"/>
      <c r="AF112" s="15"/>
      <c r="AG112" s="184"/>
      <c r="AH112" s="15"/>
      <c r="AI112" s="15"/>
      <c r="AJ112" s="15"/>
      <c r="AK112" s="15"/>
      <c r="AL112" s="15"/>
      <c r="AM112" s="15"/>
      <c r="AN112" s="184"/>
      <c r="AO112" s="15"/>
      <c r="AP112" s="15"/>
      <c r="AQ112" s="15"/>
      <c r="AR112" s="15"/>
      <c r="AS112" s="15"/>
      <c r="AT112" s="15"/>
      <c r="AU112" s="184"/>
      <c r="AV112" s="15"/>
      <c r="AW112" s="15"/>
      <c r="AX112" s="15"/>
      <c r="AY112" s="15"/>
      <c r="AZ112" s="15"/>
      <c r="BA112" s="15"/>
      <c r="BB112" s="184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84"/>
      <c r="CE112" s="15"/>
      <c r="CF112" s="15"/>
      <c r="CG112" s="15"/>
      <c r="CH112" s="15"/>
      <c r="CI112" s="15"/>
      <c r="CJ112" s="15"/>
      <c r="CK112" s="184"/>
      <c r="CL112" s="15"/>
      <c r="CM112" s="15"/>
      <c r="CN112" s="15"/>
      <c r="CO112" s="15"/>
      <c r="CP112" s="15"/>
      <c r="CQ112" s="15"/>
      <c r="CR112" s="184"/>
      <c r="CS112" s="15"/>
      <c r="CT112" s="15"/>
      <c r="CU112" s="15"/>
      <c r="CV112" s="15"/>
      <c r="CW112" s="15"/>
      <c r="CX112" s="15"/>
      <c r="CY112" s="184"/>
      <c r="CZ112" s="15"/>
      <c r="DA112" s="15"/>
      <c r="DB112" s="15"/>
      <c r="DC112" s="15"/>
      <c r="DD112" s="15"/>
      <c r="DE112" s="15"/>
      <c r="DF112" s="184"/>
      <c r="DG112" s="15"/>
      <c r="DH112" s="15"/>
      <c r="DI112" s="15"/>
      <c r="DJ112" s="15"/>
      <c r="DK112" s="15"/>
      <c r="DL112" s="15"/>
      <c r="DM112" s="184"/>
      <c r="DN112" s="15"/>
      <c r="DO112" s="15"/>
      <c r="DP112" s="15"/>
      <c r="DQ112" s="15"/>
      <c r="DR112" s="15"/>
      <c r="DS112" s="15"/>
      <c r="DT112" s="184"/>
      <c r="DU112" s="15"/>
      <c r="DV112" s="15"/>
      <c r="DW112" s="15"/>
      <c r="DX112" s="15"/>
      <c r="DY112" s="15"/>
      <c r="DZ112" s="15"/>
      <c r="EA112" s="184"/>
      <c r="EB112" s="15"/>
      <c r="EC112" s="15"/>
      <c r="ED112" s="15"/>
      <c r="EE112" s="15"/>
      <c r="EF112" s="15"/>
      <c r="EG112" s="15"/>
      <c r="EH112" s="184"/>
      <c r="EI112" s="15"/>
      <c r="EJ112" s="15"/>
      <c r="EK112" s="15"/>
      <c r="EL112" s="15"/>
      <c r="EM112" s="15"/>
      <c r="EN112" s="15"/>
      <c r="EO112" s="184"/>
      <c r="EP112" s="15"/>
      <c r="EQ112" s="15"/>
      <c r="ER112" s="15"/>
      <c r="ES112" s="15"/>
      <c r="ET112" s="15"/>
      <c r="EU112" s="15"/>
      <c r="EV112" s="184"/>
      <c r="EW112" s="15"/>
      <c r="EX112" s="15"/>
      <c r="EY112" s="15"/>
      <c r="EZ112" s="15"/>
      <c r="FA112" s="15"/>
      <c r="FB112" s="15"/>
      <c r="FC112" s="184"/>
      <c r="FD112" s="15"/>
      <c r="FE112" s="15"/>
      <c r="FF112" s="15"/>
      <c r="FG112" s="15"/>
      <c r="FH112" s="15"/>
      <c r="FI112" s="15"/>
      <c r="FJ112" s="184"/>
      <c r="FK112" s="15"/>
      <c r="FL112" s="15"/>
      <c r="FM112" s="15"/>
      <c r="FN112" s="15"/>
      <c r="FO112" s="15"/>
      <c r="FP112" s="15"/>
      <c r="FQ112" s="184"/>
      <c r="FR112" s="15"/>
      <c r="FS112" s="15"/>
      <c r="FT112" s="15"/>
      <c r="FU112" s="15"/>
      <c r="FV112" s="15"/>
      <c r="FW112" s="178"/>
      <c r="FX112" s="184"/>
      <c r="FY112" s="181"/>
      <c r="FZ112" s="15"/>
      <c r="GA112" s="15"/>
      <c r="GB112" s="15"/>
      <c r="GC112" s="15"/>
      <c r="GD112" s="15"/>
      <c r="GE112" s="184"/>
      <c r="GF112" s="15"/>
      <c r="GG112" s="15"/>
      <c r="GH112" s="15"/>
      <c r="GI112" s="15"/>
      <c r="GJ112" s="15"/>
      <c r="GK112" s="15"/>
      <c r="GL112" s="184"/>
      <c r="GM112" s="15"/>
      <c r="GN112" s="15"/>
      <c r="GO112" s="15"/>
      <c r="GP112" s="15"/>
      <c r="GQ112" s="15"/>
      <c r="GR112" s="15"/>
      <c r="GS112" s="184"/>
      <c r="GT112" s="15"/>
      <c r="GU112" s="15"/>
      <c r="GV112" s="15"/>
      <c r="GW112" s="15"/>
      <c r="GX112" s="15"/>
      <c r="GY112" s="15"/>
      <c r="GZ112" s="184"/>
      <c r="HA112" s="15"/>
      <c r="HB112" s="15"/>
      <c r="HC112" s="15"/>
      <c r="HD112" s="15"/>
      <c r="HE112" s="15"/>
      <c r="HF112" s="15"/>
      <c r="HG112" s="184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  <c r="MH112" s="15"/>
      <c r="MI112" s="15"/>
      <c r="MJ112" s="15"/>
      <c r="MK112" s="15"/>
      <c r="ML112" s="15"/>
      <c r="MM112" s="15"/>
      <c r="MN112" s="15"/>
      <c r="MO112" s="15"/>
      <c r="MP112" s="15"/>
      <c r="MQ112" s="15"/>
      <c r="MR112" s="15"/>
      <c r="MS112" s="15"/>
      <c r="MT112" s="15"/>
      <c r="MU112" s="15"/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</row>
    <row r="113" spans="2:390" ht="19.5" customHeight="1" x14ac:dyDescent="0.45">
      <c r="B113" s="1">
        <f t="shared" si="76"/>
        <v>3</v>
      </c>
      <c r="C113" s="1">
        <f t="shared" si="77"/>
        <v>5</v>
      </c>
      <c r="D113" s="1">
        <f t="shared" si="78"/>
        <v>2</v>
      </c>
      <c r="E113" s="59" t="str">
        <f t="shared" si="64"/>
        <v>3.5.2</v>
      </c>
      <c r="F113" s="86" t="s">
        <v>98</v>
      </c>
      <c r="G113" s="82"/>
      <c r="H113" s="52" t="s">
        <v>117</v>
      </c>
      <c r="I113" s="52"/>
      <c r="J113" s="61">
        <v>1</v>
      </c>
      <c r="K113" s="52">
        <v>0</v>
      </c>
      <c r="L113" s="52">
        <f t="shared" si="79"/>
        <v>1</v>
      </c>
      <c r="M113" s="144"/>
      <c r="N113" s="145"/>
      <c r="O113" s="146"/>
      <c r="P113" s="146"/>
      <c r="Q113" s="146"/>
      <c r="R113" s="153"/>
      <c r="S113" s="154"/>
      <c r="T113" s="155" t="str">
        <f t="shared" si="61"/>
        <v/>
      </c>
      <c r="U113" s="22">
        <f t="shared" si="80"/>
        <v>0</v>
      </c>
      <c r="V113" s="199">
        <f t="shared" si="62"/>
        <v>0</v>
      </c>
      <c r="W113" s="158"/>
      <c r="X113" s="159"/>
      <c r="Y113" s="199">
        <f t="shared" si="63"/>
        <v>0</v>
      </c>
      <c r="Z113" s="36"/>
      <c r="AA113" s="15"/>
      <c r="AB113" s="15"/>
      <c r="AC113" s="15"/>
      <c r="AD113" s="15"/>
      <c r="AE113" s="15"/>
      <c r="AF113" s="15"/>
      <c r="AG113" s="184"/>
      <c r="AH113" s="15"/>
      <c r="AI113" s="15"/>
      <c r="AJ113" s="15"/>
      <c r="AK113" s="15"/>
      <c r="AL113" s="15"/>
      <c r="AM113" s="15"/>
      <c r="AN113" s="184"/>
      <c r="AO113" s="15"/>
      <c r="AP113" s="15"/>
      <c r="AQ113" s="15"/>
      <c r="AR113" s="15"/>
      <c r="AS113" s="15"/>
      <c r="AT113" s="15"/>
      <c r="AU113" s="184"/>
      <c r="AV113" s="15"/>
      <c r="AW113" s="15"/>
      <c r="AX113" s="15"/>
      <c r="AY113" s="15"/>
      <c r="AZ113" s="15"/>
      <c r="BA113" s="15"/>
      <c r="BB113" s="184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84"/>
      <c r="CE113" s="15"/>
      <c r="CF113" s="15"/>
      <c r="CG113" s="15"/>
      <c r="CH113" s="15"/>
      <c r="CI113" s="15"/>
      <c r="CJ113" s="15"/>
      <c r="CK113" s="184"/>
      <c r="CL113" s="15"/>
      <c r="CM113" s="15"/>
      <c r="CN113" s="15"/>
      <c r="CO113" s="15"/>
      <c r="CP113" s="15"/>
      <c r="CQ113" s="15"/>
      <c r="CR113" s="184"/>
      <c r="CS113" s="15"/>
      <c r="CT113" s="15"/>
      <c r="CU113" s="15"/>
      <c r="CV113" s="15"/>
      <c r="CW113" s="15"/>
      <c r="CX113" s="15"/>
      <c r="CY113" s="184"/>
      <c r="CZ113" s="15"/>
      <c r="DA113" s="15"/>
      <c r="DB113" s="15"/>
      <c r="DC113" s="15"/>
      <c r="DD113" s="15"/>
      <c r="DE113" s="15"/>
      <c r="DF113" s="184"/>
      <c r="DG113" s="15"/>
      <c r="DH113" s="15"/>
      <c r="DI113" s="15"/>
      <c r="DJ113" s="15"/>
      <c r="DK113" s="15"/>
      <c r="DL113" s="15"/>
      <c r="DM113" s="184"/>
      <c r="DN113" s="15"/>
      <c r="DO113" s="15"/>
      <c r="DP113" s="15"/>
      <c r="DQ113" s="15"/>
      <c r="DR113" s="15"/>
      <c r="DS113" s="15"/>
      <c r="DT113" s="184"/>
      <c r="DU113" s="15"/>
      <c r="DV113" s="15"/>
      <c r="DW113" s="15"/>
      <c r="DX113" s="15"/>
      <c r="DY113" s="15"/>
      <c r="DZ113" s="15"/>
      <c r="EA113" s="184"/>
      <c r="EB113" s="15"/>
      <c r="EC113" s="15"/>
      <c r="ED113" s="15"/>
      <c r="EE113" s="15"/>
      <c r="EF113" s="15"/>
      <c r="EG113" s="15"/>
      <c r="EH113" s="184"/>
      <c r="EI113" s="15"/>
      <c r="EJ113" s="15"/>
      <c r="EK113" s="15"/>
      <c r="EL113" s="15"/>
      <c r="EM113" s="15"/>
      <c r="EN113" s="15"/>
      <c r="EO113" s="184"/>
      <c r="EP113" s="15"/>
      <c r="EQ113" s="15"/>
      <c r="ER113" s="15"/>
      <c r="ES113" s="15"/>
      <c r="ET113" s="15"/>
      <c r="EU113" s="15"/>
      <c r="EV113" s="184"/>
      <c r="EW113" s="15"/>
      <c r="EX113" s="15"/>
      <c r="EY113" s="15"/>
      <c r="EZ113" s="15"/>
      <c r="FA113" s="15"/>
      <c r="FB113" s="15"/>
      <c r="FC113" s="184"/>
      <c r="FD113" s="15"/>
      <c r="FE113" s="15"/>
      <c r="FF113" s="15"/>
      <c r="FG113" s="15"/>
      <c r="FH113" s="15"/>
      <c r="FI113" s="15"/>
      <c r="FJ113" s="184"/>
      <c r="FK113" s="15"/>
      <c r="FL113" s="15"/>
      <c r="FM113" s="15"/>
      <c r="FN113" s="15"/>
      <c r="FO113" s="15"/>
      <c r="FP113" s="15"/>
      <c r="FQ113" s="184"/>
      <c r="FR113" s="15"/>
      <c r="FS113" s="15"/>
      <c r="FT113" s="15"/>
      <c r="FU113" s="15"/>
      <c r="FV113" s="15"/>
      <c r="FW113" s="178"/>
      <c r="FX113" s="184"/>
      <c r="FY113" s="181"/>
      <c r="FZ113" s="15"/>
      <c r="GA113" s="15"/>
      <c r="GB113" s="15"/>
      <c r="GC113" s="15"/>
      <c r="GD113" s="15"/>
      <c r="GE113" s="184"/>
      <c r="GF113" s="15"/>
      <c r="GG113" s="15"/>
      <c r="GH113" s="15"/>
      <c r="GI113" s="15"/>
      <c r="GJ113" s="15"/>
      <c r="GK113" s="15"/>
      <c r="GL113" s="184"/>
      <c r="GM113" s="15"/>
      <c r="GN113" s="15"/>
      <c r="GO113" s="15"/>
      <c r="GP113" s="15"/>
      <c r="GQ113" s="15"/>
      <c r="GR113" s="15"/>
      <c r="GS113" s="184"/>
      <c r="GT113" s="15"/>
      <c r="GU113" s="15"/>
      <c r="GV113" s="15"/>
      <c r="GW113" s="15"/>
      <c r="GX113" s="15"/>
      <c r="GY113" s="15"/>
      <c r="GZ113" s="184"/>
      <c r="HA113" s="15"/>
      <c r="HB113" s="15"/>
      <c r="HC113" s="15"/>
      <c r="HD113" s="15"/>
      <c r="HE113" s="15"/>
      <c r="HF113" s="15"/>
      <c r="HG113" s="184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/>
      <c r="LI113" s="15"/>
      <c r="LJ113" s="15"/>
      <c r="LK113" s="15"/>
      <c r="LL113" s="15"/>
      <c r="LM113" s="15"/>
      <c r="LN113" s="15"/>
      <c r="LO113" s="15"/>
      <c r="LP113" s="15"/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  <c r="MG113" s="15"/>
      <c r="MH113" s="15"/>
      <c r="MI113" s="15"/>
      <c r="MJ113" s="15"/>
      <c r="MK113" s="15"/>
      <c r="ML113" s="15"/>
      <c r="MM113" s="15"/>
      <c r="MN113" s="15"/>
      <c r="MO113" s="15"/>
      <c r="MP113" s="15"/>
      <c r="MQ113" s="15"/>
      <c r="MR113" s="15"/>
      <c r="MS113" s="15"/>
      <c r="MT113" s="15"/>
      <c r="MU113" s="15"/>
      <c r="MV113" s="15"/>
      <c r="MW113" s="15"/>
      <c r="MX113" s="15"/>
      <c r="MY113" s="15"/>
      <c r="MZ113" s="15"/>
      <c r="NA113" s="15"/>
      <c r="NB113" s="15"/>
      <c r="NC113" s="15"/>
      <c r="ND113" s="15"/>
      <c r="NE113" s="15"/>
      <c r="NF113" s="15"/>
      <c r="NG113" s="15"/>
      <c r="NH113" s="15"/>
      <c r="NI113" s="15"/>
      <c r="NJ113" s="15"/>
      <c r="NK113" s="15"/>
      <c r="NL113" s="15"/>
      <c r="NM113" s="15"/>
      <c r="NN113" s="15"/>
      <c r="NO113" s="15"/>
      <c r="NP113" s="15"/>
      <c r="NQ113" s="15"/>
      <c r="NR113" s="15"/>
      <c r="NS113" s="15"/>
      <c r="NT113" s="15"/>
      <c r="NU113" s="15"/>
      <c r="NV113" s="15"/>
      <c r="NW113" s="15"/>
      <c r="NX113" s="15"/>
      <c r="NY113" s="15"/>
      <c r="NZ113" s="15"/>
    </row>
    <row r="114" spans="2:390" ht="19.5" customHeight="1" x14ac:dyDescent="0.45">
      <c r="B114" s="1">
        <f t="shared" si="76"/>
        <v>3</v>
      </c>
      <c r="C114" s="1">
        <f t="shared" si="77"/>
        <v>5</v>
      </c>
      <c r="D114" s="1">
        <f t="shared" si="78"/>
        <v>3</v>
      </c>
      <c r="E114" s="59" t="str">
        <f t="shared" si="64"/>
        <v>3.5.3</v>
      </c>
      <c r="F114" s="86" t="s">
        <v>90</v>
      </c>
      <c r="G114" s="82"/>
      <c r="H114" s="52" t="s">
        <v>117</v>
      </c>
      <c r="I114" s="52"/>
      <c r="J114" s="61">
        <v>1</v>
      </c>
      <c r="K114" s="52">
        <v>0</v>
      </c>
      <c r="L114" s="52">
        <f t="shared" si="79"/>
        <v>1</v>
      </c>
      <c r="M114" s="147"/>
      <c r="N114" s="148"/>
      <c r="O114" s="149"/>
      <c r="P114" s="149"/>
      <c r="Q114" s="149"/>
      <c r="R114" s="153"/>
      <c r="S114" s="154"/>
      <c r="T114" s="155" t="str">
        <f t="shared" si="61"/>
        <v/>
      </c>
      <c r="U114" s="22">
        <f t="shared" si="80"/>
        <v>0</v>
      </c>
      <c r="V114" s="199">
        <f t="shared" si="62"/>
        <v>0</v>
      </c>
      <c r="W114" s="158"/>
      <c r="X114" s="159"/>
      <c r="Y114" s="199">
        <f t="shared" si="63"/>
        <v>0</v>
      </c>
      <c r="Z114" s="36"/>
      <c r="AA114" s="15"/>
      <c r="AB114" s="15"/>
      <c r="AC114" s="15"/>
      <c r="AD114" s="15"/>
      <c r="AE114" s="15"/>
      <c r="AF114" s="15"/>
      <c r="AG114" s="184"/>
      <c r="AH114" s="15"/>
      <c r="AI114" s="15"/>
      <c r="AJ114" s="15"/>
      <c r="AK114" s="15"/>
      <c r="AL114" s="15"/>
      <c r="AM114" s="15"/>
      <c r="AN114" s="184"/>
      <c r="AO114" s="15"/>
      <c r="AP114" s="15"/>
      <c r="AQ114" s="15"/>
      <c r="AR114" s="15"/>
      <c r="AS114" s="15"/>
      <c r="AT114" s="15"/>
      <c r="AU114" s="184"/>
      <c r="AV114" s="15"/>
      <c r="AW114" s="15"/>
      <c r="AX114" s="15"/>
      <c r="AY114" s="15"/>
      <c r="AZ114" s="15"/>
      <c r="BA114" s="15"/>
      <c r="BB114" s="184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84"/>
      <c r="CE114" s="15"/>
      <c r="CF114" s="15"/>
      <c r="CG114" s="15"/>
      <c r="CH114" s="15"/>
      <c r="CI114" s="15"/>
      <c r="CJ114" s="15"/>
      <c r="CK114" s="184"/>
      <c r="CL114" s="15"/>
      <c r="CM114" s="15"/>
      <c r="CN114" s="15"/>
      <c r="CO114" s="15"/>
      <c r="CP114" s="15"/>
      <c r="CQ114" s="15"/>
      <c r="CR114" s="184"/>
      <c r="CS114" s="15"/>
      <c r="CT114" s="15"/>
      <c r="CU114" s="15"/>
      <c r="CV114" s="15"/>
      <c r="CW114" s="15"/>
      <c r="CX114" s="15"/>
      <c r="CY114" s="184"/>
      <c r="CZ114" s="15"/>
      <c r="DA114" s="15"/>
      <c r="DB114" s="15"/>
      <c r="DC114" s="15"/>
      <c r="DD114" s="15"/>
      <c r="DE114" s="15"/>
      <c r="DF114" s="184"/>
      <c r="DG114" s="15"/>
      <c r="DH114" s="15"/>
      <c r="DI114" s="15"/>
      <c r="DJ114" s="15"/>
      <c r="DK114" s="15"/>
      <c r="DL114" s="15"/>
      <c r="DM114" s="184"/>
      <c r="DN114" s="15"/>
      <c r="DO114" s="15"/>
      <c r="DP114" s="15"/>
      <c r="DQ114" s="15"/>
      <c r="DR114" s="15"/>
      <c r="DS114" s="15"/>
      <c r="DT114" s="184"/>
      <c r="DU114" s="15"/>
      <c r="DV114" s="15"/>
      <c r="DW114" s="15"/>
      <c r="DX114" s="15"/>
      <c r="DY114" s="15"/>
      <c r="DZ114" s="15"/>
      <c r="EA114" s="184"/>
      <c r="EB114" s="15"/>
      <c r="EC114" s="15"/>
      <c r="ED114" s="15"/>
      <c r="EE114" s="15"/>
      <c r="EF114" s="15"/>
      <c r="EG114" s="15"/>
      <c r="EH114" s="184"/>
      <c r="EI114" s="15"/>
      <c r="EJ114" s="15"/>
      <c r="EK114" s="15"/>
      <c r="EL114" s="15"/>
      <c r="EM114" s="15"/>
      <c r="EN114" s="15"/>
      <c r="EO114" s="184"/>
      <c r="EP114" s="15"/>
      <c r="EQ114" s="15"/>
      <c r="ER114" s="15"/>
      <c r="ES114" s="15"/>
      <c r="ET114" s="15"/>
      <c r="EU114" s="15"/>
      <c r="EV114" s="184"/>
      <c r="EW114" s="15"/>
      <c r="EX114" s="15"/>
      <c r="EY114" s="15"/>
      <c r="EZ114" s="15"/>
      <c r="FA114" s="15"/>
      <c r="FB114" s="15"/>
      <c r="FC114" s="184"/>
      <c r="FD114" s="15"/>
      <c r="FE114" s="15"/>
      <c r="FF114" s="15"/>
      <c r="FG114" s="15"/>
      <c r="FH114" s="15"/>
      <c r="FI114" s="15"/>
      <c r="FJ114" s="184"/>
      <c r="FK114" s="15"/>
      <c r="FL114" s="15"/>
      <c r="FM114" s="15"/>
      <c r="FN114" s="15"/>
      <c r="FO114" s="15"/>
      <c r="FP114" s="15"/>
      <c r="FQ114" s="184"/>
      <c r="FR114" s="15"/>
      <c r="FS114" s="15"/>
      <c r="FT114" s="15"/>
      <c r="FU114" s="15"/>
      <c r="FV114" s="15"/>
      <c r="FW114" s="178"/>
      <c r="FX114" s="184"/>
      <c r="FY114" s="181"/>
      <c r="FZ114" s="15"/>
      <c r="GA114" s="15"/>
      <c r="GB114" s="15"/>
      <c r="GC114" s="15"/>
      <c r="GD114" s="15"/>
      <c r="GE114" s="184"/>
      <c r="GF114" s="15"/>
      <c r="GG114" s="15"/>
      <c r="GH114" s="15"/>
      <c r="GI114" s="15"/>
      <c r="GJ114" s="15"/>
      <c r="GK114" s="15"/>
      <c r="GL114" s="184"/>
      <c r="GM114" s="15"/>
      <c r="GN114" s="15"/>
      <c r="GO114" s="15"/>
      <c r="GP114" s="15"/>
      <c r="GQ114" s="15"/>
      <c r="GR114" s="15"/>
      <c r="GS114" s="184"/>
      <c r="GT114" s="15"/>
      <c r="GU114" s="15"/>
      <c r="GV114" s="15"/>
      <c r="GW114" s="15"/>
      <c r="GX114" s="15"/>
      <c r="GY114" s="15"/>
      <c r="GZ114" s="184"/>
      <c r="HA114" s="15"/>
      <c r="HB114" s="15"/>
      <c r="HC114" s="15"/>
      <c r="HD114" s="15"/>
      <c r="HE114" s="15"/>
      <c r="HF114" s="15"/>
      <c r="HG114" s="184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  <c r="MG114" s="15"/>
      <c r="MH114" s="15"/>
      <c r="MI114" s="15"/>
      <c r="MJ114" s="15"/>
      <c r="MK114" s="15"/>
      <c r="ML114" s="15"/>
      <c r="MM114" s="15"/>
      <c r="MN114" s="15"/>
      <c r="MO114" s="15"/>
      <c r="MP114" s="15"/>
      <c r="MQ114" s="15"/>
      <c r="MR114" s="15"/>
      <c r="MS114" s="15"/>
      <c r="MT114" s="15"/>
      <c r="MU114" s="15"/>
      <c r="MV114" s="15"/>
      <c r="MW114" s="15"/>
      <c r="MX114" s="15"/>
      <c r="MY114" s="15"/>
      <c r="MZ114" s="15"/>
      <c r="NA114" s="15"/>
      <c r="NB114" s="15"/>
      <c r="NC114" s="15"/>
      <c r="ND114" s="15"/>
      <c r="NE114" s="15"/>
      <c r="NF114" s="15"/>
      <c r="NG114" s="15"/>
      <c r="NH114" s="15"/>
      <c r="NI114" s="15"/>
      <c r="NJ114" s="15"/>
      <c r="NK114" s="15"/>
      <c r="NL114" s="15"/>
      <c r="NM114" s="15"/>
      <c r="NN114" s="15"/>
      <c r="NO114" s="15"/>
      <c r="NP114" s="15"/>
      <c r="NQ114" s="15"/>
      <c r="NR114" s="15"/>
      <c r="NS114" s="15"/>
      <c r="NT114" s="15"/>
      <c r="NU114" s="15"/>
      <c r="NV114" s="15"/>
      <c r="NW114" s="15"/>
      <c r="NX114" s="15"/>
      <c r="NY114" s="15"/>
      <c r="NZ114" s="15"/>
    </row>
    <row r="115" spans="2:390" ht="19.5" customHeight="1" x14ac:dyDescent="0.45">
      <c r="B115" s="1">
        <f t="shared" si="76"/>
        <v>3</v>
      </c>
      <c r="C115" s="1">
        <f t="shared" si="77"/>
        <v>5</v>
      </c>
      <c r="D115" s="1">
        <f t="shared" si="78"/>
        <v>4</v>
      </c>
      <c r="E115" s="59" t="str">
        <f t="shared" si="64"/>
        <v>3.5.4</v>
      </c>
      <c r="F115" s="86" t="s">
        <v>99</v>
      </c>
      <c r="G115" s="191" t="s">
        <v>153</v>
      </c>
      <c r="H115" s="52" t="s">
        <v>117</v>
      </c>
      <c r="I115" s="52" t="s">
        <v>157</v>
      </c>
      <c r="J115" s="61">
        <v>1</v>
      </c>
      <c r="K115" s="52">
        <v>0</v>
      </c>
      <c r="L115" s="52">
        <f t="shared" si="79"/>
        <v>1</v>
      </c>
      <c r="M115" s="20">
        <v>4</v>
      </c>
      <c r="N115" s="20">
        <v>12</v>
      </c>
      <c r="O115" s="51">
        <f>+N115*M115</f>
        <v>48</v>
      </c>
      <c r="P115" s="51">
        <f>+SUM(AA115:NZ115)</f>
        <v>48</v>
      </c>
      <c r="Q115" s="51">
        <f>+O115-P115</f>
        <v>0</v>
      </c>
      <c r="R115" s="79">
        <v>46111</v>
      </c>
      <c r="S115" s="80">
        <v>10</v>
      </c>
      <c r="T115" s="21">
        <f t="shared" si="61"/>
        <v>46122</v>
      </c>
      <c r="U115" s="22">
        <f t="shared" si="80"/>
        <v>0</v>
      </c>
      <c r="V115" s="199">
        <f t="shared" si="62"/>
        <v>0</v>
      </c>
      <c r="W115" s="158">
        <f>SUMIFS($AA115:$NZ115, $AA$8:$NZ$8, $W$12)/$O115</f>
        <v>0</v>
      </c>
      <c r="X115" s="159">
        <f>SUMIF($AA$9:$NZ$9, "&lt;=" &amp; $W$11,$AA115:$NZ115)/$O115</f>
        <v>0</v>
      </c>
      <c r="Y115" s="199">
        <f t="shared" si="63"/>
        <v>0</v>
      </c>
      <c r="Z115" s="36"/>
      <c r="AA115" s="15"/>
      <c r="AB115" s="15"/>
      <c r="AC115" s="15"/>
      <c r="AD115" s="15"/>
      <c r="AE115" s="15"/>
      <c r="AF115" s="15"/>
      <c r="AG115" s="184"/>
      <c r="AH115" s="15"/>
      <c r="AI115" s="15"/>
      <c r="AJ115" s="15"/>
      <c r="AK115" s="15"/>
      <c r="AL115" s="15"/>
      <c r="AM115" s="15"/>
      <c r="AN115" s="184"/>
      <c r="AO115" s="15"/>
      <c r="AP115" s="15"/>
      <c r="AQ115" s="15"/>
      <c r="AR115" s="15"/>
      <c r="AS115" s="15"/>
      <c r="AT115" s="15"/>
      <c r="AU115" s="184"/>
      <c r="AV115" s="15"/>
      <c r="AW115" s="15"/>
      <c r="AX115" s="15"/>
      <c r="AY115" s="15"/>
      <c r="AZ115" s="15"/>
      <c r="BA115" s="15"/>
      <c r="BB115" s="184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84"/>
      <c r="CE115" s="15"/>
      <c r="CF115" s="15"/>
      <c r="CG115" s="15"/>
      <c r="CH115" s="15"/>
      <c r="CI115" s="15"/>
      <c r="CJ115" s="15"/>
      <c r="CK115" s="184"/>
      <c r="CL115" s="15"/>
      <c r="CM115" s="15"/>
      <c r="CN115" s="15"/>
      <c r="CO115" s="15"/>
      <c r="CP115" s="15"/>
      <c r="CQ115" s="15"/>
      <c r="CR115" s="184"/>
      <c r="CS115" s="15"/>
      <c r="CT115" s="15"/>
      <c r="CU115" s="15"/>
      <c r="CV115" s="15"/>
      <c r="CW115" s="15"/>
      <c r="CX115" s="15"/>
      <c r="CY115" s="184"/>
      <c r="CZ115" s="15"/>
      <c r="DA115" s="15"/>
      <c r="DB115" s="15"/>
      <c r="DC115" s="15"/>
      <c r="DD115" s="15"/>
      <c r="DE115" s="15"/>
      <c r="DF115" s="184"/>
      <c r="DG115" s="15"/>
      <c r="DH115" s="15"/>
      <c r="DI115" s="15"/>
      <c r="DJ115" s="15"/>
      <c r="DK115" s="15"/>
      <c r="DL115" s="15"/>
      <c r="DM115" s="184"/>
      <c r="DN115" s="15"/>
      <c r="DO115" s="15"/>
      <c r="DP115" s="15"/>
      <c r="DQ115" s="15"/>
      <c r="DR115" s="15"/>
      <c r="DS115" s="15"/>
      <c r="DT115" s="184"/>
      <c r="DU115" s="15"/>
      <c r="DV115" s="15"/>
      <c r="DW115" s="15"/>
      <c r="DX115" s="15"/>
      <c r="DY115" s="15"/>
      <c r="DZ115" s="15"/>
      <c r="EA115" s="184"/>
      <c r="EB115" s="15"/>
      <c r="EC115" s="15"/>
      <c r="ED115" s="15"/>
      <c r="EE115" s="15"/>
      <c r="EF115" s="15"/>
      <c r="EG115" s="15"/>
      <c r="EH115" s="184"/>
      <c r="EI115" s="15"/>
      <c r="EJ115" s="15"/>
      <c r="EK115" s="15"/>
      <c r="EL115" s="15"/>
      <c r="EM115" s="15"/>
      <c r="EN115" s="15"/>
      <c r="EO115" s="184"/>
      <c r="EP115" s="15"/>
      <c r="EQ115" s="15"/>
      <c r="ER115" s="15"/>
      <c r="ES115" s="15"/>
      <c r="ET115" s="15"/>
      <c r="EU115" s="15"/>
      <c r="EV115" s="184"/>
      <c r="EW115" s="15">
        <v>4</v>
      </c>
      <c r="EX115" s="15">
        <v>4</v>
      </c>
      <c r="EY115" s="15">
        <v>4</v>
      </c>
      <c r="EZ115" s="15">
        <v>4</v>
      </c>
      <c r="FA115" s="15">
        <v>4</v>
      </c>
      <c r="FB115" s="15">
        <v>4</v>
      </c>
      <c r="FC115" s="184"/>
      <c r="FD115" s="15">
        <v>4</v>
      </c>
      <c r="FE115" s="15">
        <v>4</v>
      </c>
      <c r="FF115" s="15">
        <v>4</v>
      </c>
      <c r="FG115" s="15">
        <v>4</v>
      </c>
      <c r="FH115" s="15">
        <v>4</v>
      </c>
      <c r="FI115" s="15">
        <v>4</v>
      </c>
      <c r="FJ115" s="184"/>
      <c r="FK115" s="15"/>
      <c r="FL115" s="15"/>
      <c r="FM115" s="15"/>
      <c r="FN115" s="15"/>
      <c r="FO115" s="15"/>
      <c r="FP115" s="15"/>
      <c r="FQ115" s="184"/>
      <c r="FR115" s="15"/>
      <c r="FS115" s="15"/>
      <c r="FT115" s="15"/>
      <c r="FU115" s="15"/>
      <c r="FV115" s="15"/>
      <c r="FW115" s="178"/>
      <c r="FX115" s="184"/>
      <c r="FY115" s="181"/>
      <c r="FZ115" s="15"/>
      <c r="GA115" s="15"/>
      <c r="GB115" s="15"/>
      <c r="GC115" s="15"/>
      <c r="GD115" s="15"/>
      <c r="GE115" s="184"/>
      <c r="GF115" s="15"/>
      <c r="GG115" s="15"/>
      <c r="GH115" s="15"/>
      <c r="GI115" s="15"/>
      <c r="GJ115" s="15"/>
      <c r="GK115" s="15"/>
      <c r="GL115" s="184"/>
      <c r="GM115" s="15"/>
      <c r="GN115" s="15"/>
      <c r="GO115" s="15"/>
      <c r="GP115" s="15"/>
      <c r="GQ115" s="15"/>
      <c r="GR115" s="15"/>
      <c r="GS115" s="184"/>
      <c r="GT115" s="15"/>
      <c r="GU115" s="15"/>
      <c r="GV115" s="15"/>
      <c r="GW115" s="15"/>
      <c r="GX115" s="15"/>
      <c r="GY115" s="15"/>
      <c r="GZ115" s="184"/>
      <c r="HA115" s="15"/>
      <c r="HB115" s="15"/>
      <c r="HC115" s="15"/>
      <c r="HD115" s="15"/>
      <c r="HE115" s="15"/>
      <c r="HF115" s="15"/>
      <c r="HG115" s="184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  <c r="MH115" s="15"/>
      <c r="MI115" s="15"/>
      <c r="MJ115" s="15"/>
      <c r="MK115" s="15"/>
      <c r="ML115" s="15"/>
      <c r="MM115" s="15"/>
      <c r="MN115" s="15"/>
      <c r="MO115" s="15"/>
      <c r="MP115" s="15"/>
      <c r="MQ115" s="15"/>
      <c r="MR115" s="15"/>
      <c r="MS115" s="15"/>
      <c r="MT115" s="15"/>
      <c r="MU115" s="15"/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5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</row>
    <row r="116" spans="2:390" ht="19.5" customHeight="1" x14ac:dyDescent="0.45">
      <c r="B116" s="1">
        <f t="shared" si="76"/>
        <v>3</v>
      </c>
      <c r="C116" s="1">
        <f t="shared" si="77"/>
        <v>5</v>
      </c>
      <c r="D116" s="1">
        <f t="shared" si="78"/>
        <v>5</v>
      </c>
      <c r="E116" s="59" t="str">
        <f t="shared" si="64"/>
        <v>3.5.5</v>
      </c>
      <c r="F116" s="23" t="s">
        <v>66</v>
      </c>
      <c r="G116" s="191" t="s">
        <v>153</v>
      </c>
      <c r="H116" s="52" t="s">
        <v>117</v>
      </c>
      <c r="I116" s="52" t="s">
        <v>158</v>
      </c>
      <c r="J116" s="52">
        <v>162</v>
      </c>
      <c r="K116" s="52">
        <v>0</v>
      </c>
      <c r="L116" s="52">
        <f t="shared" si="79"/>
        <v>162</v>
      </c>
      <c r="M116" s="20">
        <v>4</v>
      </c>
      <c r="N116" s="20">
        <v>12</v>
      </c>
      <c r="O116" s="51">
        <f>+N116*M116</f>
        <v>48</v>
      </c>
      <c r="P116" s="51">
        <f>+SUM(AA116:NZ116)</f>
        <v>48</v>
      </c>
      <c r="Q116" s="51">
        <f>+O116-P116</f>
        <v>0</v>
      </c>
      <c r="R116" s="79">
        <v>46111</v>
      </c>
      <c r="S116" s="80">
        <v>10</v>
      </c>
      <c r="T116" s="21">
        <f t="shared" si="61"/>
        <v>46122</v>
      </c>
      <c r="U116" s="22">
        <f t="shared" si="80"/>
        <v>0</v>
      </c>
      <c r="V116" s="199">
        <f t="shared" si="62"/>
        <v>0</v>
      </c>
      <c r="W116" s="158">
        <f>SUMIFS($AA116:$NZ116, $AA$8:$NZ$8, $W$12)/$O116</f>
        <v>0</v>
      </c>
      <c r="X116" s="159">
        <f>SUMIF($AA$9:$NZ$9, "&lt;=" &amp; $W$11,$AA116:$NZ116)/$O116</f>
        <v>0</v>
      </c>
      <c r="Y116" s="199">
        <f t="shared" si="63"/>
        <v>0</v>
      </c>
      <c r="Z116" s="36"/>
      <c r="AA116" s="15"/>
      <c r="AB116" s="15"/>
      <c r="AC116" s="15"/>
      <c r="AD116" s="15"/>
      <c r="AE116" s="15"/>
      <c r="AF116" s="15"/>
      <c r="AG116" s="184"/>
      <c r="AH116" s="15"/>
      <c r="AI116" s="15"/>
      <c r="AJ116" s="15"/>
      <c r="AK116" s="15"/>
      <c r="AL116" s="15"/>
      <c r="AM116" s="15"/>
      <c r="AN116" s="184"/>
      <c r="AO116" s="15"/>
      <c r="AP116" s="15"/>
      <c r="AQ116" s="15"/>
      <c r="AR116" s="15"/>
      <c r="AS116" s="15"/>
      <c r="AT116" s="15"/>
      <c r="AU116" s="184"/>
      <c r="AV116" s="15"/>
      <c r="AW116" s="15"/>
      <c r="AX116" s="15"/>
      <c r="AY116" s="15"/>
      <c r="AZ116" s="15"/>
      <c r="BA116" s="15"/>
      <c r="BB116" s="184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84"/>
      <c r="CE116" s="15"/>
      <c r="CF116" s="15"/>
      <c r="CG116" s="15"/>
      <c r="CH116" s="15"/>
      <c r="CI116" s="15"/>
      <c r="CJ116" s="15"/>
      <c r="CK116" s="184"/>
      <c r="CL116" s="15"/>
      <c r="CM116" s="15"/>
      <c r="CN116" s="15"/>
      <c r="CO116" s="15"/>
      <c r="CP116" s="15"/>
      <c r="CQ116" s="15"/>
      <c r="CR116" s="184"/>
      <c r="CS116" s="15"/>
      <c r="CT116" s="15"/>
      <c r="CU116" s="15"/>
      <c r="CV116" s="15"/>
      <c r="CW116" s="15"/>
      <c r="CX116" s="15"/>
      <c r="CY116" s="184"/>
      <c r="CZ116" s="15"/>
      <c r="DA116" s="15"/>
      <c r="DB116" s="15"/>
      <c r="DC116" s="15"/>
      <c r="DD116" s="15"/>
      <c r="DE116" s="15"/>
      <c r="DF116" s="184"/>
      <c r="DG116" s="15"/>
      <c r="DH116" s="15"/>
      <c r="DI116" s="15"/>
      <c r="DJ116" s="15"/>
      <c r="DK116" s="15"/>
      <c r="DL116" s="15"/>
      <c r="DM116" s="184"/>
      <c r="DN116" s="15"/>
      <c r="DO116" s="15"/>
      <c r="DP116" s="15"/>
      <c r="DQ116" s="15"/>
      <c r="DR116" s="15"/>
      <c r="DS116" s="15"/>
      <c r="DT116" s="184"/>
      <c r="DU116" s="15"/>
      <c r="DV116" s="15"/>
      <c r="DW116" s="15"/>
      <c r="DX116" s="15"/>
      <c r="DY116" s="15"/>
      <c r="DZ116" s="15"/>
      <c r="EA116" s="184"/>
      <c r="EB116" s="15"/>
      <c r="EC116" s="15"/>
      <c r="ED116" s="15"/>
      <c r="EE116" s="15"/>
      <c r="EF116" s="15"/>
      <c r="EG116" s="15"/>
      <c r="EH116" s="184"/>
      <c r="EI116" s="15"/>
      <c r="EJ116" s="15"/>
      <c r="EK116" s="15"/>
      <c r="EL116" s="15"/>
      <c r="EM116" s="15"/>
      <c r="EN116" s="15"/>
      <c r="EO116" s="184"/>
      <c r="EP116" s="15"/>
      <c r="EQ116" s="15"/>
      <c r="ER116" s="15"/>
      <c r="ES116" s="15"/>
      <c r="ET116" s="15"/>
      <c r="EU116" s="15"/>
      <c r="EV116" s="184"/>
      <c r="EW116" s="15">
        <v>4</v>
      </c>
      <c r="EX116" s="15">
        <v>4</v>
      </c>
      <c r="EY116" s="15">
        <v>4</v>
      </c>
      <c r="EZ116" s="15">
        <v>4</v>
      </c>
      <c r="FA116" s="15">
        <v>4</v>
      </c>
      <c r="FB116" s="15">
        <v>4</v>
      </c>
      <c r="FC116" s="184"/>
      <c r="FD116" s="15">
        <v>4</v>
      </c>
      <c r="FE116" s="15">
        <v>4</v>
      </c>
      <c r="FF116" s="15">
        <v>4</v>
      </c>
      <c r="FG116" s="15">
        <v>4</v>
      </c>
      <c r="FH116" s="15">
        <v>4</v>
      </c>
      <c r="FI116" s="15">
        <v>4</v>
      </c>
      <c r="FJ116" s="184"/>
      <c r="FK116" s="15"/>
      <c r="FL116" s="15"/>
      <c r="FM116" s="15"/>
      <c r="FN116" s="15"/>
      <c r="FO116" s="15"/>
      <c r="FP116" s="15"/>
      <c r="FQ116" s="184"/>
      <c r="FR116" s="15"/>
      <c r="FS116" s="15"/>
      <c r="FT116" s="15"/>
      <c r="FU116" s="15"/>
      <c r="FV116" s="15"/>
      <c r="FW116" s="178"/>
      <c r="FX116" s="184"/>
      <c r="FY116" s="181"/>
      <c r="FZ116" s="15"/>
      <c r="GA116" s="15"/>
      <c r="GB116" s="15"/>
      <c r="GC116" s="15"/>
      <c r="GD116" s="15"/>
      <c r="GE116" s="184"/>
      <c r="GF116" s="15"/>
      <c r="GG116" s="15"/>
      <c r="GH116" s="15"/>
      <c r="GI116" s="15"/>
      <c r="GJ116" s="15"/>
      <c r="GK116" s="15"/>
      <c r="GL116" s="184"/>
      <c r="GM116" s="15"/>
      <c r="GN116" s="15"/>
      <c r="GO116" s="15"/>
      <c r="GP116" s="15"/>
      <c r="GQ116" s="15"/>
      <c r="GR116" s="15"/>
      <c r="GS116" s="184"/>
      <c r="GT116" s="15"/>
      <c r="GU116" s="15"/>
      <c r="GV116" s="15"/>
      <c r="GW116" s="15"/>
      <c r="GX116" s="15"/>
      <c r="GY116" s="15"/>
      <c r="GZ116" s="184"/>
      <c r="HA116" s="15"/>
      <c r="HB116" s="15"/>
      <c r="HC116" s="15"/>
      <c r="HD116" s="15"/>
      <c r="HE116" s="15"/>
      <c r="HF116" s="15"/>
      <c r="HG116" s="184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  <c r="MH116" s="15"/>
      <c r="MI116" s="15"/>
      <c r="MJ116" s="15"/>
      <c r="MK116" s="15"/>
      <c r="ML116" s="15"/>
      <c r="MM116" s="15"/>
      <c r="MN116" s="15"/>
      <c r="MO116" s="15"/>
      <c r="MP116" s="15"/>
      <c r="MQ116" s="15"/>
      <c r="MR116" s="15"/>
      <c r="MS116" s="15"/>
      <c r="MT116" s="15"/>
      <c r="MU116" s="15"/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5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</row>
    <row r="117" spans="2:390" ht="19.5" customHeight="1" x14ac:dyDescent="0.45">
      <c r="B117" s="1">
        <f t="shared" si="76"/>
        <v>3</v>
      </c>
      <c r="C117" s="1">
        <f t="shared" si="77"/>
        <v>5</v>
      </c>
      <c r="D117" s="1">
        <f t="shared" si="78"/>
        <v>6</v>
      </c>
      <c r="E117" s="59" t="str">
        <f t="shared" si="64"/>
        <v>3.5.6</v>
      </c>
      <c r="F117" s="23" t="s">
        <v>62</v>
      </c>
      <c r="G117" s="191" t="s">
        <v>153</v>
      </c>
      <c r="H117" s="52" t="s">
        <v>117</v>
      </c>
      <c r="I117" s="52" t="s">
        <v>158</v>
      </c>
      <c r="J117" s="52">
        <v>95</v>
      </c>
      <c r="K117" s="52">
        <v>0</v>
      </c>
      <c r="L117" s="52">
        <f t="shared" si="79"/>
        <v>95</v>
      </c>
      <c r="M117" s="20">
        <v>4</v>
      </c>
      <c r="N117" s="20">
        <v>6</v>
      </c>
      <c r="O117" s="51">
        <f>+N117*M117</f>
        <v>24</v>
      </c>
      <c r="P117" s="51">
        <f>+SUM(AA117:NZ117)</f>
        <v>24</v>
      </c>
      <c r="Q117" s="51">
        <f>+O117-P117</f>
        <v>0</v>
      </c>
      <c r="R117" s="79">
        <v>46118</v>
      </c>
      <c r="S117" s="80">
        <v>5</v>
      </c>
      <c r="T117" s="21">
        <f t="shared" si="61"/>
        <v>46122</v>
      </c>
      <c r="U117" s="22">
        <f t="shared" si="80"/>
        <v>0</v>
      </c>
      <c r="V117" s="199">
        <f t="shared" si="62"/>
        <v>0</v>
      </c>
      <c r="W117" s="158">
        <f>SUMIFS($AA117:$NZ117, $AA$8:$NZ$8, $W$12)/$O117</f>
        <v>0</v>
      </c>
      <c r="X117" s="159">
        <f>SUMIF($AA$9:$NZ$9, "&lt;=" &amp; $W$11,$AA117:$NZ117)/$O117</f>
        <v>0</v>
      </c>
      <c r="Y117" s="199">
        <f t="shared" si="63"/>
        <v>0</v>
      </c>
      <c r="Z117" s="36"/>
      <c r="AA117" s="15"/>
      <c r="AB117" s="15"/>
      <c r="AC117" s="15"/>
      <c r="AD117" s="15"/>
      <c r="AE117" s="15"/>
      <c r="AF117" s="15"/>
      <c r="AG117" s="184"/>
      <c r="AH117" s="15"/>
      <c r="AI117" s="15"/>
      <c r="AJ117" s="15"/>
      <c r="AK117" s="15"/>
      <c r="AL117" s="15"/>
      <c r="AM117" s="15"/>
      <c r="AN117" s="184"/>
      <c r="AO117" s="15"/>
      <c r="AP117" s="15"/>
      <c r="AQ117" s="15"/>
      <c r="AR117" s="15"/>
      <c r="AS117" s="15"/>
      <c r="AT117" s="15"/>
      <c r="AU117" s="184"/>
      <c r="AV117" s="15"/>
      <c r="AW117" s="15"/>
      <c r="AX117" s="15"/>
      <c r="AY117" s="15"/>
      <c r="AZ117" s="15"/>
      <c r="BA117" s="15"/>
      <c r="BB117" s="184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84"/>
      <c r="CE117" s="15"/>
      <c r="CF117" s="15"/>
      <c r="CG117" s="15"/>
      <c r="CH117" s="15"/>
      <c r="CI117" s="15"/>
      <c r="CJ117" s="15"/>
      <c r="CK117" s="184"/>
      <c r="CL117" s="15"/>
      <c r="CM117" s="15"/>
      <c r="CN117" s="15"/>
      <c r="CO117" s="15"/>
      <c r="CP117" s="15"/>
      <c r="CQ117" s="15"/>
      <c r="CR117" s="184"/>
      <c r="CS117" s="15"/>
      <c r="CT117" s="15"/>
      <c r="CU117" s="15"/>
      <c r="CV117" s="15"/>
      <c r="CW117" s="15"/>
      <c r="CX117" s="15"/>
      <c r="CY117" s="184"/>
      <c r="CZ117" s="15"/>
      <c r="DA117" s="15"/>
      <c r="DB117" s="15"/>
      <c r="DC117" s="15"/>
      <c r="DD117" s="15"/>
      <c r="DE117" s="15"/>
      <c r="DF117" s="184"/>
      <c r="DG117" s="15"/>
      <c r="DH117" s="15"/>
      <c r="DI117" s="15"/>
      <c r="DJ117" s="15"/>
      <c r="DK117" s="15"/>
      <c r="DL117" s="15"/>
      <c r="DM117" s="184"/>
      <c r="DN117" s="15"/>
      <c r="DO117" s="15"/>
      <c r="DP117" s="15"/>
      <c r="DQ117" s="15"/>
      <c r="DR117" s="15"/>
      <c r="DS117" s="15"/>
      <c r="DT117" s="184"/>
      <c r="DU117" s="15"/>
      <c r="DV117" s="15"/>
      <c r="DW117" s="15"/>
      <c r="DX117" s="15"/>
      <c r="DY117" s="15"/>
      <c r="DZ117" s="15"/>
      <c r="EA117" s="184"/>
      <c r="EB117" s="15"/>
      <c r="EC117" s="15"/>
      <c r="ED117" s="15"/>
      <c r="EE117" s="15"/>
      <c r="EF117" s="15"/>
      <c r="EG117" s="15"/>
      <c r="EH117" s="184"/>
      <c r="EI117" s="15"/>
      <c r="EJ117" s="15"/>
      <c r="EK117" s="15"/>
      <c r="EL117" s="15"/>
      <c r="EM117" s="15"/>
      <c r="EN117" s="15"/>
      <c r="EO117" s="184"/>
      <c r="EP117" s="15"/>
      <c r="EQ117" s="15"/>
      <c r="ER117" s="15"/>
      <c r="ES117" s="15"/>
      <c r="ET117" s="15"/>
      <c r="EU117" s="15"/>
      <c r="EV117" s="184"/>
      <c r="EW117" s="15"/>
      <c r="EX117" s="15"/>
      <c r="EY117" s="15"/>
      <c r="EZ117" s="15"/>
      <c r="FA117" s="15"/>
      <c r="FB117" s="15"/>
      <c r="FC117" s="184"/>
      <c r="FD117" s="15">
        <v>4</v>
      </c>
      <c r="FE117" s="15">
        <v>4</v>
      </c>
      <c r="FF117" s="15">
        <v>4</v>
      </c>
      <c r="FG117" s="15">
        <v>4</v>
      </c>
      <c r="FH117" s="15">
        <v>4</v>
      </c>
      <c r="FI117" s="15">
        <v>4</v>
      </c>
      <c r="FJ117" s="184"/>
      <c r="FK117" s="15"/>
      <c r="FL117" s="15"/>
      <c r="FM117" s="15"/>
      <c r="FN117" s="15"/>
      <c r="FO117" s="15"/>
      <c r="FP117" s="15"/>
      <c r="FQ117" s="184"/>
      <c r="FR117" s="15"/>
      <c r="FS117" s="15"/>
      <c r="FT117" s="15"/>
      <c r="FU117" s="15"/>
      <c r="FV117" s="15"/>
      <c r="FW117" s="178"/>
      <c r="FX117" s="184"/>
      <c r="FY117" s="181"/>
      <c r="FZ117" s="15"/>
      <c r="GA117" s="15"/>
      <c r="GB117" s="15"/>
      <c r="GC117" s="15"/>
      <c r="GD117" s="15"/>
      <c r="GE117" s="184"/>
      <c r="GF117" s="15"/>
      <c r="GG117" s="15"/>
      <c r="GH117" s="15"/>
      <c r="GI117" s="15"/>
      <c r="GJ117" s="15"/>
      <c r="GK117" s="15"/>
      <c r="GL117" s="184"/>
      <c r="GM117" s="15"/>
      <c r="GN117" s="15"/>
      <c r="GO117" s="15"/>
      <c r="GP117" s="15"/>
      <c r="GQ117" s="15"/>
      <c r="GR117" s="15"/>
      <c r="GS117" s="184"/>
      <c r="GT117" s="15"/>
      <c r="GU117" s="15"/>
      <c r="GV117" s="15"/>
      <c r="GW117" s="15"/>
      <c r="GX117" s="15"/>
      <c r="GY117" s="15"/>
      <c r="GZ117" s="184"/>
      <c r="HA117" s="15"/>
      <c r="HB117" s="15"/>
      <c r="HC117" s="15"/>
      <c r="HD117" s="15"/>
      <c r="HE117" s="15"/>
      <c r="HF117" s="15"/>
      <c r="HG117" s="184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  <c r="MG117" s="15"/>
      <c r="MH117" s="15"/>
      <c r="MI117" s="15"/>
      <c r="MJ117" s="15"/>
      <c r="MK117" s="15"/>
      <c r="ML117" s="15"/>
      <c r="MM117" s="15"/>
      <c r="MN117" s="15"/>
      <c r="MO117" s="15"/>
      <c r="MP117" s="15"/>
      <c r="MQ117" s="15"/>
      <c r="MR117" s="15"/>
      <c r="MS117" s="15"/>
      <c r="MT117" s="15"/>
      <c r="MU117" s="15"/>
      <c r="MV117" s="15"/>
      <c r="MW117" s="15"/>
      <c r="MX117" s="15"/>
      <c r="MY117" s="15"/>
      <c r="MZ117" s="15"/>
      <c r="NA117" s="15"/>
      <c r="NB117" s="15"/>
      <c r="NC117" s="15"/>
      <c r="ND117" s="15"/>
      <c r="NE117" s="15"/>
      <c r="NF117" s="15"/>
      <c r="NG117" s="15"/>
      <c r="NH117" s="15"/>
      <c r="NI117" s="15"/>
      <c r="NJ117" s="15"/>
      <c r="NK117" s="15"/>
      <c r="NL117" s="15"/>
      <c r="NM117" s="15"/>
      <c r="NN117" s="15"/>
      <c r="NO117" s="15"/>
      <c r="NP117" s="15"/>
      <c r="NQ117" s="15"/>
      <c r="NR117" s="15"/>
      <c r="NS117" s="15"/>
      <c r="NT117" s="15"/>
      <c r="NU117" s="15"/>
      <c r="NV117" s="15"/>
      <c r="NW117" s="15"/>
      <c r="NX117" s="15"/>
      <c r="NY117" s="15"/>
      <c r="NZ117" s="15"/>
    </row>
    <row r="118" spans="2:390" ht="19.5" customHeight="1" x14ac:dyDescent="0.45">
      <c r="B118" s="1">
        <f t="shared" si="76"/>
        <v>3</v>
      </c>
      <c r="C118" s="1">
        <f t="shared" si="77"/>
        <v>5</v>
      </c>
      <c r="D118" s="1">
        <f t="shared" si="78"/>
        <v>7</v>
      </c>
      <c r="E118" s="59" t="str">
        <f t="shared" si="64"/>
        <v>3.5.7</v>
      </c>
      <c r="F118" s="23" t="s">
        <v>63</v>
      </c>
      <c r="G118" s="191" t="s">
        <v>153</v>
      </c>
      <c r="H118" s="52" t="s">
        <v>117</v>
      </c>
      <c r="I118" s="52" t="s">
        <v>158</v>
      </c>
      <c r="J118" s="52">
        <v>121</v>
      </c>
      <c r="K118" s="52">
        <v>0</v>
      </c>
      <c r="L118" s="52">
        <f t="shared" si="79"/>
        <v>121</v>
      </c>
      <c r="M118" s="20">
        <v>4</v>
      </c>
      <c r="N118" s="20">
        <v>12</v>
      </c>
      <c r="O118" s="51">
        <f>+N118*M118</f>
        <v>48</v>
      </c>
      <c r="P118" s="51">
        <f>+SUM(AA118:NZ118)</f>
        <v>48</v>
      </c>
      <c r="Q118" s="51">
        <f>+O118-P118</f>
        <v>0</v>
      </c>
      <c r="R118" s="79">
        <v>46125</v>
      </c>
      <c r="S118" s="80">
        <v>10</v>
      </c>
      <c r="T118" s="21">
        <f t="shared" si="61"/>
        <v>46136</v>
      </c>
      <c r="U118" s="22">
        <f t="shared" si="80"/>
        <v>0</v>
      </c>
      <c r="V118" s="199">
        <f t="shared" si="62"/>
        <v>0</v>
      </c>
      <c r="W118" s="158">
        <f>SUMIFS($AA118:$NZ118, $AA$8:$NZ$8, $W$12)/$O118</f>
        <v>0</v>
      </c>
      <c r="X118" s="159">
        <f>SUMIF($AA$9:$NZ$9, "&lt;=" &amp; $W$11,$AA118:$NZ118)/$O118</f>
        <v>0</v>
      </c>
      <c r="Y118" s="199">
        <f t="shared" si="63"/>
        <v>0</v>
      </c>
      <c r="Z118" s="36"/>
      <c r="AA118" s="15"/>
      <c r="AB118" s="15"/>
      <c r="AC118" s="15"/>
      <c r="AD118" s="15"/>
      <c r="AE118" s="15"/>
      <c r="AF118" s="15"/>
      <c r="AG118" s="184"/>
      <c r="AH118" s="15"/>
      <c r="AI118" s="15"/>
      <c r="AJ118" s="15"/>
      <c r="AK118" s="15"/>
      <c r="AL118" s="15"/>
      <c r="AM118" s="15"/>
      <c r="AN118" s="184"/>
      <c r="AO118" s="15"/>
      <c r="AP118" s="15"/>
      <c r="AQ118" s="15"/>
      <c r="AR118" s="15"/>
      <c r="AS118" s="15"/>
      <c r="AT118" s="15"/>
      <c r="AU118" s="184"/>
      <c r="AV118" s="15"/>
      <c r="AW118" s="15"/>
      <c r="AX118" s="15"/>
      <c r="AY118" s="15"/>
      <c r="AZ118" s="15"/>
      <c r="BA118" s="15"/>
      <c r="BB118" s="184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84"/>
      <c r="CE118" s="15"/>
      <c r="CF118" s="15"/>
      <c r="CG118" s="15"/>
      <c r="CH118" s="15"/>
      <c r="CI118" s="15"/>
      <c r="CJ118" s="15"/>
      <c r="CK118" s="184"/>
      <c r="CL118" s="15"/>
      <c r="CM118" s="15"/>
      <c r="CN118" s="15"/>
      <c r="CO118" s="15"/>
      <c r="CP118" s="15"/>
      <c r="CQ118" s="15"/>
      <c r="CR118" s="184"/>
      <c r="CS118" s="15"/>
      <c r="CT118" s="15"/>
      <c r="CU118" s="15"/>
      <c r="CV118" s="15"/>
      <c r="CW118" s="15"/>
      <c r="CX118" s="15"/>
      <c r="CY118" s="184"/>
      <c r="CZ118" s="15"/>
      <c r="DA118" s="15"/>
      <c r="DB118" s="15"/>
      <c r="DC118" s="15"/>
      <c r="DD118" s="15"/>
      <c r="DE118" s="15"/>
      <c r="DF118" s="184"/>
      <c r="DG118" s="15"/>
      <c r="DH118" s="15"/>
      <c r="DI118" s="15"/>
      <c r="DJ118" s="15"/>
      <c r="DK118" s="15"/>
      <c r="DL118" s="15"/>
      <c r="DM118" s="184"/>
      <c r="DN118" s="15"/>
      <c r="DO118" s="15"/>
      <c r="DP118" s="15"/>
      <c r="DQ118" s="15"/>
      <c r="DR118" s="15"/>
      <c r="DS118" s="15"/>
      <c r="DT118" s="184"/>
      <c r="DU118" s="15"/>
      <c r="DV118" s="15"/>
      <c r="DW118" s="15"/>
      <c r="DX118" s="15"/>
      <c r="DY118" s="15"/>
      <c r="DZ118" s="15"/>
      <c r="EA118" s="184"/>
      <c r="EB118" s="15"/>
      <c r="EC118" s="15"/>
      <c r="ED118" s="15"/>
      <c r="EE118" s="15"/>
      <c r="EF118" s="15"/>
      <c r="EG118" s="15"/>
      <c r="EH118" s="184"/>
      <c r="EI118" s="15"/>
      <c r="EJ118" s="15"/>
      <c r="EK118" s="15"/>
      <c r="EL118" s="15"/>
      <c r="EM118" s="15"/>
      <c r="EN118" s="15"/>
      <c r="EO118" s="184"/>
      <c r="EP118" s="15"/>
      <c r="EQ118" s="15"/>
      <c r="ER118" s="15"/>
      <c r="ES118" s="15"/>
      <c r="ET118" s="15"/>
      <c r="EU118" s="15"/>
      <c r="EV118" s="184"/>
      <c r="EW118" s="15"/>
      <c r="EX118" s="15"/>
      <c r="EY118" s="15"/>
      <c r="EZ118" s="15"/>
      <c r="FA118" s="15"/>
      <c r="FB118" s="15"/>
      <c r="FC118" s="184"/>
      <c r="FD118" s="15"/>
      <c r="FE118" s="15"/>
      <c r="FF118" s="15"/>
      <c r="FG118" s="15"/>
      <c r="FH118" s="15"/>
      <c r="FI118" s="15"/>
      <c r="FJ118" s="184"/>
      <c r="FK118" s="15">
        <v>4</v>
      </c>
      <c r="FL118" s="15">
        <v>4</v>
      </c>
      <c r="FM118" s="15">
        <v>4</v>
      </c>
      <c r="FN118" s="15">
        <v>4</v>
      </c>
      <c r="FO118" s="15">
        <v>4</v>
      </c>
      <c r="FP118" s="15">
        <v>4</v>
      </c>
      <c r="FQ118" s="184"/>
      <c r="FR118" s="15">
        <v>4</v>
      </c>
      <c r="FS118" s="15">
        <v>4</v>
      </c>
      <c r="FT118" s="15">
        <v>4</v>
      </c>
      <c r="FU118" s="15">
        <v>4</v>
      </c>
      <c r="FV118" s="15">
        <v>4</v>
      </c>
      <c r="FW118" s="178">
        <v>4</v>
      </c>
      <c r="FX118" s="184"/>
      <c r="FY118" s="181"/>
      <c r="FZ118" s="15"/>
      <c r="GA118" s="15"/>
      <c r="GB118" s="15"/>
      <c r="GC118" s="15"/>
      <c r="GD118" s="15"/>
      <c r="GE118" s="184"/>
      <c r="GF118" s="15"/>
      <c r="GG118" s="15"/>
      <c r="GH118" s="15"/>
      <c r="GI118" s="15"/>
      <c r="GJ118" s="15"/>
      <c r="GK118" s="15"/>
      <c r="GL118" s="184"/>
      <c r="GM118" s="15"/>
      <c r="GN118" s="15"/>
      <c r="GO118" s="15"/>
      <c r="GP118" s="15"/>
      <c r="GQ118" s="15"/>
      <c r="GR118" s="15"/>
      <c r="GS118" s="184"/>
      <c r="GT118" s="15"/>
      <c r="GU118" s="15"/>
      <c r="GV118" s="15"/>
      <c r="GW118" s="15"/>
      <c r="GX118" s="15"/>
      <c r="GY118" s="15"/>
      <c r="GZ118" s="184"/>
      <c r="HA118" s="15"/>
      <c r="HB118" s="15"/>
      <c r="HC118" s="15"/>
      <c r="HD118" s="15"/>
      <c r="HE118" s="15"/>
      <c r="HF118" s="15"/>
      <c r="HG118" s="184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  <c r="MG118" s="15"/>
      <c r="MH118" s="15"/>
      <c r="MI118" s="15"/>
      <c r="MJ118" s="15"/>
      <c r="MK118" s="15"/>
      <c r="ML118" s="15"/>
      <c r="MM118" s="15"/>
      <c r="MN118" s="15"/>
      <c r="MO118" s="15"/>
      <c r="MP118" s="15"/>
      <c r="MQ118" s="15"/>
      <c r="MR118" s="15"/>
      <c r="MS118" s="15"/>
      <c r="MT118" s="15"/>
      <c r="MU118" s="15"/>
      <c r="MV118" s="15"/>
      <c r="MW118" s="15"/>
      <c r="MX118" s="15"/>
      <c r="MY118" s="15"/>
      <c r="MZ118" s="15"/>
      <c r="NA118" s="15"/>
      <c r="NB118" s="15"/>
      <c r="NC118" s="15"/>
      <c r="ND118" s="15"/>
      <c r="NE118" s="15"/>
      <c r="NF118" s="15"/>
      <c r="NG118" s="15"/>
      <c r="NH118" s="15"/>
      <c r="NI118" s="15"/>
      <c r="NJ118" s="15"/>
      <c r="NK118" s="15"/>
      <c r="NL118" s="15"/>
      <c r="NM118" s="15"/>
      <c r="NN118" s="15"/>
      <c r="NO118" s="15"/>
      <c r="NP118" s="15"/>
      <c r="NQ118" s="15"/>
      <c r="NR118" s="15"/>
      <c r="NS118" s="15"/>
      <c r="NT118" s="15"/>
      <c r="NU118" s="15"/>
      <c r="NV118" s="15"/>
      <c r="NW118" s="15"/>
      <c r="NX118" s="15"/>
      <c r="NY118" s="15"/>
      <c r="NZ118" s="15"/>
    </row>
    <row r="119" spans="2:390" ht="19.5" customHeight="1" x14ac:dyDescent="0.45">
      <c r="B119" s="1">
        <f>+B118</f>
        <v>3</v>
      </c>
      <c r="C119" s="1">
        <f>+C118+1</f>
        <v>6</v>
      </c>
      <c r="D119" s="1">
        <v>0</v>
      </c>
      <c r="E119" s="93" t="str">
        <f t="shared" si="64"/>
        <v>3.6.0</v>
      </c>
      <c r="F119" s="94" t="s">
        <v>65</v>
      </c>
      <c r="G119" s="108"/>
      <c r="H119" s="109"/>
      <c r="I119" s="109"/>
      <c r="J119" s="110"/>
      <c r="K119" s="110"/>
      <c r="L119" s="110"/>
      <c r="M119" s="108"/>
      <c r="N119" s="108"/>
      <c r="O119" s="95">
        <f>SUM(O120:O123)</f>
        <v>312</v>
      </c>
      <c r="P119" s="95"/>
      <c r="Q119" s="95"/>
      <c r="R119" s="166"/>
      <c r="S119" s="167"/>
      <c r="T119" s="163" t="str">
        <f t="shared" si="61"/>
        <v/>
      </c>
      <c r="U119" s="164">
        <f>+SUMPRODUCT(U120:U123,O120:O123)/O119</f>
        <v>0</v>
      </c>
      <c r="V119" s="200">
        <f t="shared" si="62"/>
        <v>0</v>
      </c>
      <c r="W119" s="158">
        <f>SUMIFS($AA119:$NZ119, $AA$8:$NZ$8, $W$12)/$O119</f>
        <v>0</v>
      </c>
      <c r="X119" s="159">
        <f>SUMIF($AA$9:$NZ$9, "&lt;=" &amp; $W$11,$AA119:$NZ119)/$O119</f>
        <v>0</v>
      </c>
      <c r="Y119" s="199">
        <f t="shared" si="63"/>
        <v>0</v>
      </c>
      <c r="Z119" s="36"/>
      <c r="AA119" s="15"/>
      <c r="AB119" s="15"/>
      <c r="AC119" s="15"/>
      <c r="AD119" s="15"/>
      <c r="AE119" s="15"/>
      <c r="AF119" s="15"/>
      <c r="AG119" s="184"/>
      <c r="AH119" s="15"/>
      <c r="AI119" s="15"/>
      <c r="AJ119" s="15"/>
      <c r="AK119" s="15"/>
      <c r="AL119" s="15"/>
      <c r="AM119" s="15"/>
      <c r="AN119" s="184"/>
      <c r="AO119" s="15"/>
      <c r="AP119" s="15"/>
      <c r="AQ119" s="15"/>
      <c r="AR119" s="15"/>
      <c r="AS119" s="15"/>
      <c r="AT119" s="15"/>
      <c r="AU119" s="184"/>
      <c r="AV119" s="15"/>
      <c r="AW119" s="15"/>
      <c r="AX119" s="15"/>
      <c r="AY119" s="15"/>
      <c r="AZ119" s="15"/>
      <c r="BA119" s="15"/>
      <c r="BB119" s="184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84"/>
      <c r="CE119" s="15"/>
      <c r="CF119" s="15"/>
      <c r="CG119" s="15"/>
      <c r="CH119" s="15"/>
      <c r="CI119" s="15"/>
      <c r="CJ119" s="15"/>
      <c r="CK119" s="184"/>
      <c r="CL119" s="15"/>
      <c r="CM119" s="15"/>
      <c r="CN119" s="15"/>
      <c r="CO119" s="15"/>
      <c r="CP119" s="15"/>
      <c r="CQ119" s="15"/>
      <c r="CR119" s="184"/>
      <c r="CS119" s="15"/>
      <c r="CT119" s="15"/>
      <c r="CU119" s="15"/>
      <c r="CV119" s="15"/>
      <c r="CW119" s="15"/>
      <c r="CX119" s="15"/>
      <c r="CY119" s="184"/>
      <c r="CZ119" s="15"/>
      <c r="DA119" s="15"/>
      <c r="DB119" s="15"/>
      <c r="DC119" s="15"/>
      <c r="DD119" s="15"/>
      <c r="DE119" s="15"/>
      <c r="DF119" s="184"/>
      <c r="DG119" s="15"/>
      <c r="DH119" s="15"/>
      <c r="DI119" s="15"/>
      <c r="DJ119" s="15"/>
      <c r="DK119" s="15"/>
      <c r="DL119" s="15"/>
      <c r="DM119" s="184"/>
      <c r="DN119" s="15"/>
      <c r="DO119" s="15"/>
      <c r="DP119" s="15"/>
      <c r="DQ119" s="15"/>
      <c r="DR119" s="15"/>
      <c r="DS119" s="15"/>
      <c r="DT119" s="184"/>
      <c r="DU119" s="15"/>
      <c r="DV119" s="15"/>
      <c r="DW119" s="15"/>
      <c r="DX119" s="15"/>
      <c r="DY119" s="15"/>
      <c r="DZ119" s="15"/>
      <c r="EA119" s="184"/>
      <c r="EB119" s="15"/>
      <c r="EC119" s="15"/>
      <c r="ED119" s="15"/>
      <c r="EE119" s="15"/>
      <c r="EF119" s="15"/>
      <c r="EG119" s="15"/>
      <c r="EH119" s="184"/>
      <c r="EI119" s="15"/>
      <c r="EJ119" s="15"/>
      <c r="EK119" s="15"/>
      <c r="EL119" s="15"/>
      <c r="EM119" s="15"/>
      <c r="EN119" s="15"/>
      <c r="EO119" s="184"/>
      <c r="EP119" s="15"/>
      <c r="EQ119" s="15"/>
      <c r="ER119" s="15"/>
      <c r="ES119" s="15"/>
      <c r="ET119" s="15"/>
      <c r="EU119" s="15"/>
      <c r="EV119" s="184"/>
      <c r="EW119" s="15"/>
      <c r="EX119" s="15"/>
      <c r="EY119" s="15"/>
      <c r="EZ119" s="15"/>
      <c r="FA119" s="15"/>
      <c r="FB119" s="15"/>
      <c r="FC119" s="184"/>
      <c r="FD119" s="15"/>
      <c r="FE119" s="15"/>
      <c r="FF119" s="15"/>
      <c r="FG119" s="15"/>
      <c r="FH119" s="15"/>
      <c r="FI119" s="15"/>
      <c r="FJ119" s="184"/>
      <c r="FK119" s="15"/>
      <c r="FL119" s="15"/>
      <c r="FM119" s="15"/>
      <c r="FN119" s="15"/>
      <c r="FO119" s="15"/>
      <c r="FP119" s="15"/>
      <c r="FQ119" s="184"/>
      <c r="FR119" s="15"/>
      <c r="FS119" s="15"/>
      <c r="FT119" s="15"/>
      <c r="FU119" s="15"/>
      <c r="FV119" s="15"/>
      <c r="FW119" s="178"/>
      <c r="FX119" s="184"/>
      <c r="FY119" s="181"/>
      <c r="FZ119" s="15"/>
      <c r="GA119" s="15"/>
      <c r="GB119" s="15"/>
      <c r="GC119" s="15"/>
      <c r="GD119" s="15"/>
      <c r="GE119" s="184"/>
      <c r="GF119" s="15"/>
      <c r="GG119" s="15"/>
      <c r="GH119" s="15"/>
      <c r="GI119" s="15"/>
      <c r="GJ119" s="15"/>
      <c r="GK119" s="15"/>
      <c r="GL119" s="184"/>
      <c r="GM119" s="15"/>
      <c r="GN119" s="15"/>
      <c r="GO119" s="15"/>
      <c r="GP119" s="15"/>
      <c r="GQ119" s="15"/>
      <c r="GR119" s="15"/>
      <c r="GS119" s="184"/>
      <c r="GT119" s="15"/>
      <c r="GU119" s="15"/>
      <c r="GV119" s="15"/>
      <c r="GW119" s="15"/>
      <c r="GX119" s="15"/>
      <c r="GY119" s="15"/>
      <c r="GZ119" s="184"/>
      <c r="HA119" s="15"/>
      <c r="HB119" s="15"/>
      <c r="HC119" s="15"/>
      <c r="HD119" s="15"/>
      <c r="HE119" s="15"/>
      <c r="HF119" s="15"/>
      <c r="HG119" s="184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/>
      <c r="LI119" s="15"/>
      <c r="LJ119" s="15"/>
      <c r="LK119" s="15"/>
      <c r="LL119" s="15"/>
      <c r="LM119" s="15"/>
      <c r="LN119" s="15"/>
      <c r="LO119" s="15"/>
      <c r="LP119" s="15"/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  <c r="MG119" s="15"/>
      <c r="MH119" s="15"/>
      <c r="MI119" s="15"/>
      <c r="MJ119" s="15"/>
      <c r="MK119" s="15"/>
      <c r="ML119" s="15"/>
      <c r="MM119" s="15"/>
      <c r="MN119" s="15"/>
      <c r="MO119" s="15"/>
      <c r="MP119" s="15"/>
      <c r="MQ119" s="15"/>
      <c r="MR119" s="15"/>
      <c r="MS119" s="15"/>
      <c r="MT119" s="15"/>
      <c r="MU119" s="15"/>
      <c r="MV119" s="15"/>
      <c r="MW119" s="15"/>
      <c r="MX119" s="15"/>
      <c r="MY119" s="15"/>
      <c r="MZ119" s="15"/>
      <c r="NA119" s="15"/>
      <c r="NB119" s="15"/>
      <c r="NC119" s="15"/>
      <c r="ND119" s="15"/>
      <c r="NE119" s="15"/>
      <c r="NF119" s="15"/>
      <c r="NG119" s="15"/>
      <c r="NH119" s="15"/>
      <c r="NI119" s="15"/>
      <c r="NJ119" s="15"/>
      <c r="NK119" s="15"/>
      <c r="NL119" s="15"/>
      <c r="NM119" s="15"/>
      <c r="NN119" s="15"/>
      <c r="NO119" s="15"/>
      <c r="NP119" s="15"/>
      <c r="NQ119" s="15"/>
      <c r="NR119" s="15"/>
      <c r="NS119" s="15"/>
      <c r="NT119" s="15"/>
      <c r="NU119" s="15"/>
      <c r="NV119" s="15"/>
      <c r="NW119" s="15"/>
      <c r="NX119" s="15"/>
      <c r="NY119" s="15"/>
      <c r="NZ119" s="15"/>
    </row>
    <row r="120" spans="2:390" ht="19.5" customHeight="1" x14ac:dyDescent="0.45">
      <c r="B120" s="1">
        <f>+B119</f>
        <v>3</v>
      </c>
      <c r="C120" s="1">
        <f>+C119</f>
        <v>6</v>
      </c>
      <c r="D120" s="1">
        <f>+D119+1</f>
        <v>1</v>
      </c>
      <c r="E120" s="59" t="str">
        <f t="shared" si="64"/>
        <v>3.6.1</v>
      </c>
      <c r="F120" s="23" t="s">
        <v>100</v>
      </c>
      <c r="G120" s="82"/>
      <c r="H120" s="73" t="s">
        <v>120</v>
      </c>
      <c r="I120" s="73"/>
      <c r="J120" s="74"/>
      <c r="K120" s="74"/>
      <c r="L120" s="74"/>
      <c r="M120" s="82"/>
      <c r="N120" s="82"/>
      <c r="O120" s="82"/>
      <c r="P120" s="82"/>
      <c r="Q120" s="82"/>
      <c r="R120" s="79"/>
      <c r="S120" s="80"/>
      <c r="T120" s="21" t="str">
        <f t="shared" si="61"/>
        <v/>
      </c>
      <c r="U120" s="22"/>
      <c r="V120" s="199">
        <f t="shared" si="62"/>
        <v>0</v>
      </c>
      <c r="W120" s="158"/>
      <c r="X120" s="159"/>
      <c r="Y120" s="199">
        <f t="shared" si="63"/>
        <v>0</v>
      </c>
      <c r="Z120" s="36"/>
      <c r="AA120" s="15"/>
      <c r="AB120" s="15"/>
      <c r="AC120" s="15"/>
      <c r="AD120" s="15"/>
      <c r="AE120" s="15"/>
      <c r="AF120" s="15"/>
      <c r="AG120" s="184"/>
      <c r="AH120" s="15"/>
      <c r="AI120" s="15"/>
      <c r="AJ120" s="15"/>
      <c r="AK120" s="15"/>
      <c r="AL120" s="15"/>
      <c r="AM120" s="15"/>
      <c r="AN120" s="184"/>
      <c r="AO120" s="15"/>
      <c r="AP120" s="15"/>
      <c r="AQ120" s="15"/>
      <c r="AR120" s="15"/>
      <c r="AS120" s="15"/>
      <c r="AT120" s="15"/>
      <c r="AU120" s="184"/>
      <c r="AV120" s="15"/>
      <c r="AW120" s="15"/>
      <c r="AX120" s="15"/>
      <c r="AY120" s="15"/>
      <c r="AZ120" s="15"/>
      <c r="BA120" s="15"/>
      <c r="BB120" s="184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84"/>
      <c r="CE120" s="15"/>
      <c r="CF120" s="15"/>
      <c r="CG120" s="15"/>
      <c r="CH120" s="15"/>
      <c r="CI120" s="15"/>
      <c r="CJ120" s="15"/>
      <c r="CK120" s="184"/>
      <c r="CL120" s="15"/>
      <c r="CM120" s="15"/>
      <c r="CN120" s="15"/>
      <c r="CO120" s="15"/>
      <c r="CP120" s="15"/>
      <c r="CQ120" s="15"/>
      <c r="CR120" s="184"/>
      <c r="CS120" s="15"/>
      <c r="CT120" s="15"/>
      <c r="CU120" s="15"/>
      <c r="CV120" s="15"/>
      <c r="CW120" s="15"/>
      <c r="CX120" s="15"/>
      <c r="CY120" s="184"/>
      <c r="CZ120" s="15"/>
      <c r="DA120" s="15"/>
      <c r="DB120" s="15"/>
      <c r="DC120" s="15"/>
      <c r="DD120" s="15"/>
      <c r="DE120" s="15"/>
      <c r="DF120" s="184"/>
      <c r="DG120" s="15"/>
      <c r="DH120" s="15"/>
      <c r="DI120" s="15"/>
      <c r="DJ120" s="15"/>
      <c r="DK120" s="15"/>
      <c r="DL120" s="15"/>
      <c r="DM120" s="184"/>
      <c r="DN120" s="15"/>
      <c r="DO120" s="15"/>
      <c r="DP120" s="15"/>
      <c r="DQ120" s="15"/>
      <c r="DR120" s="15"/>
      <c r="DS120" s="15"/>
      <c r="DT120" s="184"/>
      <c r="DU120" s="15"/>
      <c r="DV120" s="15"/>
      <c r="DW120" s="15"/>
      <c r="DX120" s="15"/>
      <c r="DY120" s="15"/>
      <c r="DZ120" s="15"/>
      <c r="EA120" s="184"/>
      <c r="EB120" s="15"/>
      <c r="EC120" s="15"/>
      <c r="ED120" s="15"/>
      <c r="EE120" s="15"/>
      <c r="EF120" s="15"/>
      <c r="EG120" s="15"/>
      <c r="EH120" s="184"/>
      <c r="EI120" s="15"/>
      <c r="EJ120" s="15"/>
      <c r="EK120" s="15"/>
      <c r="EL120" s="15"/>
      <c r="EM120" s="15"/>
      <c r="EN120" s="15"/>
      <c r="EO120" s="184"/>
      <c r="EP120" s="15"/>
      <c r="EQ120" s="15"/>
      <c r="ER120" s="15"/>
      <c r="ES120" s="15"/>
      <c r="ET120" s="15"/>
      <c r="EU120" s="15"/>
      <c r="EV120" s="184"/>
      <c r="EW120" s="15"/>
      <c r="EX120" s="15"/>
      <c r="EY120" s="15"/>
      <c r="EZ120" s="15"/>
      <c r="FA120" s="15"/>
      <c r="FB120" s="15"/>
      <c r="FC120" s="184"/>
      <c r="FD120" s="15"/>
      <c r="FE120" s="15"/>
      <c r="FF120" s="15"/>
      <c r="FG120" s="15"/>
      <c r="FH120" s="15"/>
      <c r="FI120" s="15"/>
      <c r="FJ120" s="184"/>
      <c r="FK120" s="15"/>
      <c r="FL120" s="15"/>
      <c r="FM120" s="15"/>
      <c r="FN120" s="15"/>
      <c r="FO120" s="15"/>
      <c r="FP120" s="15"/>
      <c r="FQ120" s="184"/>
      <c r="FR120" s="15"/>
      <c r="FS120" s="15"/>
      <c r="FT120" s="15"/>
      <c r="FU120" s="15"/>
      <c r="FV120" s="15"/>
      <c r="FW120" s="178"/>
      <c r="FX120" s="184"/>
      <c r="FY120" s="181"/>
      <c r="FZ120" s="15"/>
      <c r="GA120" s="15"/>
      <c r="GB120" s="15"/>
      <c r="GC120" s="15"/>
      <c r="GD120" s="15"/>
      <c r="GE120" s="184"/>
      <c r="GF120" s="15"/>
      <c r="GG120" s="15"/>
      <c r="GH120" s="15"/>
      <c r="GI120" s="15"/>
      <c r="GJ120" s="15"/>
      <c r="GK120" s="15"/>
      <c r="GL120" s="184"/>
      <c r="GM120" s="15"/>
      <c r="GN120" s="15"/>
      <c r="GO120" s="15"/>
      <c r="GP120" s="15"/>
      <c r="GQ120" s="15"/>
      <c r="GR120" s="15"/>
      <c r="GS120" s="184"/>
      <c r="GT120" s="15"/>
      <c r="GU120" s="15"/>
      <c r="GV120" s="15"/>
      <c r="GW120" s="15"/>
      <c r="GX120" s="15"/>
      <c r="GY120" s="15"/>
      <c r="GZ120" s="184"/>
      <c r="HA120" s="15"/>
      <c r="HB120" s="15"/>
      <c r="HC120" s="15"/>
      <c r="HD120" s="15"/>
      <c r="HE120" s="15"/>
      <c r="HF120" s="15"/>
      <c r="HG120" s="184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/>
      <c r="LI120" s="15"/>
      <c r="LJ120" s="15"/>
      <c r="LK120" s="15"/>
      <c r="LL120" s="15"/>
      <c r="LM120" s="15"/>
      <c r="LN120" s="15"/>
      <c r="LO120" s="15"/>
      <c r="LP120" s="15"/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  <c r="MG120" s="15"/>
      <c r="MH120" s="15"/>
      <c r="MI120" s="15"/>
      <c r="MJ120" s="15"/>
      <c r="MK120" s="15"/>
      <c r="ML120" s="15"/>
      <c r="MM120" s="15"/>
      <c r="MN120" s="15"/>
      <c r="MO120" s="15"/>
      <c r="MP120" s="15"/>
      <c r="MQ120" s="15"/>
      <c r="MR120" s="15"/>
      <c r="MS120" s="15"/>
      <c r="MT120" s="15"/>
      <c r="MU120" s="15"/>
      <c r="MV120" s="15"/>
      <c r="MW120" s="15"/>
      <c r="MX120" s="15"/>
      <c r="MY120" s="15"/>
      <c r="MZ120" s="15"/>
      <c r="NA120" s="15"/>
      <c r="NB120" s="15"/>
      <c r="NC120" s="15"/>
      <c r="ND120" s="15"/>
      <c r="NE120" s="15"/>
      <c r="NF120" s="15"/>
      <c r="NG120" s="15"/>
      <c r="NH120" s="15"/>
      <c r="NI120" s="15"/>
      <c r="NJ120" s="15"/>
      <c r="NK120" s="15"/>
      <c r="NL120" s="15"/>
      <c r="NM120" s="15"/>
      <c r="NN120" s="15"/>
      <c r="NO120" s="15"/>
      <c r="NP120" s="15"/>
      <c r="NQ120" s="15"/>
      <c r="NR120" s="15"/>
      <c r="NS120" s="15"/>
      <c r="NT120" s="15"/>
      <c r="NU120" s="15"/>
      <c r="NV120" s="15"/>
      <c r="NW120" s="15"/>
      <c r="NX120" s="15"/>
      <c r="NY120" s="15"/>
      <c r="NZ120" s="15"/>
    </row>
    <row r="121" spans="2:390" ht="19.5" customHeight="1" x14ac:dyDescent="0.45">
      <c r="B121" s="1">
        <f>+B120</f>
        <v>3</v>
      </c>
      <c r="C121" s="1">
        <f>+C120</f>
        <v>6</v>
      </c>
      <c r="D121" s="1">
        <f>+D120+1</f>
        <v>2</v>
      </c>
      <c r="E121" s="59" t="str">
        <f t="shared" si="64"/>
        <v>3.6.2</v>
      </c>
      <c r="F121" s="23" t="s">
        <v>66</v>
      </c>
      <c r="G121" s="191" t="s">
        <v>153</v>
      </c>
      <c r="H121" s="52" t="s">
        <v>117</v>
      </c>
      <c r="I121" s="52" t="s">
        <v>158</v>
      </c>
      <c r="J121" s="87">
        <v>1673</v>
      </c>
      <c r="K121" s="87">
        <v>0</v>
      </c>
      <c r="L121" s="87">
        <f>+J121-K121</f>
        <v>1673</v>
      </c>
      <c r="M121" s="20">
        <v>4</v>
      </c>
      <c r="N121" s="20">
        <v>30</v>
      </c>
      <c r="O121" s="51">
        <f>+N121*M121</f>
        <v>120</v>
      </c>
      <c r="P121" s="51">
        <f>+SUM(AA121:NZ121)</f>
        <v>120</v>
      </c>
      <c r="Q121" s="51">
        <f>+O121-P121</f>
        <v>0</v>
      </c>
      <c r="R121" s="79">
        <v>46139</v>
      </c>
      <c r="S121" s="80">
        <v>15</v>
      </c>
      <c r="T121" s="21">
        <f t="shared" si="61"/>
        <v>46157</v>
      </c>
      <c r="U121" s="22">
        <f>+K121/J121</f>
        <v>0</v>
      </c>
      <c r="V121" s="199">
        <f t="shared" si="62"/>
        <v>0</v>
      </c>
      <c r="W121" s="158">
        <f>SUMIFS($AA121:$NZ121, $AA$8:$NZ$8, $W$12)/$O121</f>
        <v>0</v>
      </c>
      <c r="X121" s="159">
        <f>SUMIF($AA$9:$NZ$9, "&lt;=" &amp; $W$11,$AA121:$NZ121)/$O121</f>
        <v>0</v>
      </c>
      <c r="Y121" s="199">
        <f t="shared" si="63"/>
        <v>0</v>
      </c>
      <c r="Z121" s="36"/>
      <c r="AA121" s="15"/>
      <c r="AB121" s="15"/>
      <c r="AC121" s="15"/>
      <c r="AD121" s="15"/>
      <c r="AE121" s="15"/>
      <c r="AF121" s="15"/>
      <c r="AG121" s="184"/>
      <c r="AH121" s="15"/>
      <c r="AI121" s="15"/>
      <c r="AJ121" s="15"/>
      <c r="AK121" s="15"/>
      <c r="AL121" s="15"/>
      <c r="AM121" s="15"/>
      <c r="AN121" s="184"/>
      <c r="AO121" s="15"/>
      <c r="AP121" s="15"/>
      <c r="AQ121" s="15"/>
      <c r="AR121" s="15"/>
      <c r="AS121" s="15"/>
      <c r="AT121" s="15"/>
      <c r="AU121" s="184"/>
      <c r="AV121" s="15"/>
      <c r="AW121" s="15"/>
      <c r="AX121" s="15"/>
      <c r="AY121" s="15"/>
      <c r="AZ121" s="15"/>
      <c r="BA121" s="15"/>
      <c r="BB121" s="184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84"/>
      <c r="CE121" s="15"/>
      <c r="CF121" s="15"/>
      <c r="CG121" s="15"/>
      <c r="CH121" s="15"/>
      <c r="CI121" s="15"/>
      <c r="CJ121" s="15"/>
      <c r="CK121" s="184"/>
      <c r="CL121" s="15"/>
      <c r="CM121" s="15"/>
      <c r="CN121" s="15"/>
      <c r="CO121" s="15"/>
      <c r="CP121" s="15"/>
      <c r="CQ121" s="15"/>
      <c r="CR121" s="184"/>
      <c r="CS121" s="15"/>
      <c r="CT121" s="15"/>
      <c r="CU121" s="15"/>
      <c r="CV121" s="15"/>
      <c r="CW121" s="15"/>
      <c r="CX121" s="15"/>
      <c r="CY121" s="184"/>
      <c r="CZ121" s="15"/>
      <c r="DA121" s="15"/>
      <c r="DB121" s="15"/>
      <c r="DC121" s="15"/>
      <c r="DD121" s="15"/>
      <c r="DE121" s="15"/>
      <c r="DF121" s="184"/>
      <c r="DG121" s="15"/>
      <c r="DH121" s="15"/>
      <c r="DI121" s="15"/>
      <c r="DJ121" s="15"/>
      <c r="DK121" s="15"/>
      <c r="DL121" s="15"/>
      <c r="DM121" s="184"/>
      <c r="DN121" s="15"/>
      <c r="DO121" s="15"/>
      <c r="DP121" s="15"/>
      <c r="DQ121" s="15"/>
      <c r="DR121" s="15"/>
      <c r="DS121" s="15"/>
      <c r="DT121" s="184"/>
      <c r="DU121" s="15"/>
      <c r="DV121" s="15"/>
      <c r="DW121" s="15"/>
      <c r="DX121" s="15"/>
      <c r="DY121" s="15"/>
      <c r="DZ121" s="15"/>
      <c r="EA121" s="184"/>
      <c r="EB121" s="15"/>
      <c r="EC121" s="15"/>
      <c r="ED121" s="15"/>
      <c r="EE121" s="15"/>
      <c r="EF121" s="15"/>
      <c r="EG121" s="15"/>
      <c r="EH121" s="184"/>
      <c r="EI121" s="15"/>
      <c r="EJ121" s="15"/>
      <c r="EK121" s="15"/>
      <c r="EL121" s="15"/>
      <c r="EM121" s="15"/>
      <c r="EN121" s="15"/>
      <c r="EO121" s="184"/>
      <c r="EP121" s="15"/>
      <c r="EQ121" s="15"/>
      <c r="ER121" s="15"/>
      <c r="ES121" s="15"/>
      <c r="ET121" s="15"/>
      <c r="EU121" s="15"/>
      <c r="EV121" s="184"/>
      <c r="EW121" s="15"/>
      <c r="EX121" s="15"/>
      <c r="EY121" s="15"/>
      <c r="EZ121" s="15"/>
      <c r="FA121" s="15"/>
      <c r="FB121" s="15"/>
      <c r="FC121" s="184"/>
      <c r="FD121" s="15"/>
      <c r="FE121" s="15"/>
      <c r="FF121" s="15"/>
      <c r="FG121" s="15"/>
      <c r="FH121" s="15"/>
      <c r="FI121" s="15"/>
      <c r="FJ121" s="184"/>
      <c r="FK121" s="15"/>
      <c r="FL121" s="15"/>
      <c r="FM121" s="15"/>
      <c r="FN121" s="15"/>
      <c r="FO121" s="15"/>
      <c r="FP121" s="15"/>
      <c r="FQ121" s="184"/>
      <c r="FR121" s="15"/>
      <c r="FS121" s="15"/>
      <c r="FT121" s="15"/>
      <c r="FU121" s="15"/>
      <c r="FV121" s="15"/>
      <c r="FW121" s="178"/>
      <c r="FX121" s="184"/>
      <c r="FY121" s="181">
        <v>8</v>
      </c>
      <c r="FZ121" s="15">
        <v>8</v>
      </c>
      <c r="GA121" s="15">
        <v>8</v>
      </c>
      <c r="GB121" s="15">
        <v>8</v>
      </c>
      <c r="GC121" s="15">
        <v>8</v>
      </c>
      <c r="GD121" s="15">
        <v>8</v>
      </c>
      <c r="GE121" s="184"/>
      <c r="GF121" s="15">
        <v>8</v>
      </c>
      <c r="GG121" s="15">
        <v>8</v>
      </c>
      <c r="GH121" s="15">
        <v>8</v>
      </c>
      <c r="GI121" s="15">
        <v>8</v>
      </c>
      <c r="GJ121" s="15">
        <v>8</v>
      </c>
      <c r="GK121" s="15">
        <v>8</v>
      </c>
      <c r="GL121" s="184"/>
      <c r="GM121" s="15">
        <v>4</v>
      </c>
      <c r="GN121" s="15">
        <v>4</v>
      </c>
      <c r="GO121" s="15">
        <v>4</v>
      </c>
      <c r="GP121" s="15">
        <v>4</v>
      </c>
      <c r="GQ121" s="15">
        <v>4</v>
      </c>
      <c r="GR121" s="15">
        <v>4</v>
      </c>
      <c r="GS121" s="184"/>
      <c r="GT121" s="15"/>
      <c r="GU121" s="15"/>
      <c r="GV121" s="15"/>
      <c r="GW121" s="15"/>
      <c r="GX121" s="15"/>
      <c r="GY121" s="15"/>
      <c r="GZ121" s="184"/>
      <c r="HA121" s="15"/>
      <c r="HB121" s="15"/>
      <c r="HC121" s="15"/>
      <c r="HD121" s="15"/>
      <c r="HE121" s="15"/>
      <c r="HF121" s="15"/>
      <c r="HG121" s="184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/>
      <c r="KE121" s="15"/>
      <c r="KF121" s="15"/>
      <c r="KG121" s="15"/>
      <c r="KH121" s="15"/>
      <c r="KI121" s="15"/>
      <c r="KJ121" s="15"/>
      <c r="KK121" s="15"/>
      <c r="KL121" s="15"/>
      <c r="KM121" s="15"/>
      <c r="KN121" s="15"/>
      <c r="KO121" s="15"/>
      <c r="KP121" s="15"/>
      <c r="KQ121" s="15"/>
      <c r="KR121" s="15"/>
      <c r="KS121" s="15"/>
      <c r="KT121" s="15"/>
      <c r="KU121" s="15"/>
      <c r="KV121" s="15"/>
      <c r="KW121" s="15"/>
      <c r="KX121" s="15"/>
      <c r="KY121" s="15"/>
      <c r="KZ121" s="15"/>
      <c r="LA121" s="15"/>
      <c r="LB121" s="15"/>
      <c r="LC121" s="15"/>
      <c r="LD121" s="15"/>
      <c r="LE121" s="15"/>
      <c r="LF121" s="15"/>
      <c r="LG121" s="15"/>
      <c r="LH121" s="15"/>
      <c r="LI121" s="15"/>
      <c r="LJ121" s="15"/>
      <c r="LK121" s="15"/>
      <c r="LL121" s="15"/>
      <c r="LM121" s="15"/>
      <c r="LN121" s="15"/>
      <c r="LO121" s="15"/>
      <c r="LP121" s="15"/>
      <c r="LQ121" s="15"/>
      <c r="LR121" s="15"/>
      <c r="LS121" s="15"/>
      <c r="LT121" s="15"/>
      <c r="LU121" s="15"/>
      <c r="LV121" s="15"/>
      <c r="LW121" s="15"/>
      <c r="LX121" s="15"/>
      <c r="LY121" s="15"/>
      <c r="LZ121" s="15"/>
      <c r="MA121" s="15"/>
      <c r="MB121" s="15"/>
      <c r="MC121" s="15"/>
      <c r="MD121" s="15"/>
      <c r="ME121" s="15"/>
      <c r="MF121" s="15"/>
      <c r="MG121" s="15"/>
      <c r="MH121" s="15"/>
      <c r="MI121" s="15"/>
      <c r="MJ121" s="15"/>
      <c r="MK121" s="15"/>
      <c r="ML121" s="15"/>
      <c r="MM121" s="15"/>
      <c r="MN121" s="15"/>
      <c r="MO121" s="15"/>
      <c r="MP121" s="15"/>
      <c r="MQ121" s="15"/>
      <c r="MR121" s="15"/>
      <c r="MS121" s="15"/>
      <c r="MT121" s="15"/>
      <c r="MU121" s="15"/>
      <c r="MV121" s="15"/>
      <c r="MW121" s="15"/>
      <c r="MX121" s="15"/>
      <c r="MY121" s="15"/>
      <c r="MZ121" s="15"/>
      <c r="NA121" s="15"/>
      <c r="NB121" s="15"/>
      <c r="NC121" s="15"/>
      <c r="ND121" s="15"/>
      <c r="NE121" s="15"/>
      <c r="NF121" s="15"/>
      <c r="NG121" s="15"/>
      <c r="NH121" s="15"/>
      <c r="NI121" s="15"/>
      <c r="NJ121" s="15"/>
      <c r="NK121" s="15"/>
      <c r="NL121" s="15"/>
      <c r="NM121" s="15"/>
      <c r="NN121" s="15"/>
      <c r="NO121" s="15"/>
      <c r="NP121" s="15"/>
      <c r="NQ121" s="15"/>
      <c r="NR121" s="15"/>
      <c r="NS121" s="15"/>
      <c r="NT121" s="15"/>
      <c r="NU121" s="15"/>
      <c r="NV121" s="15"/>
      <c r="NW121" s="15"/>
      <c r="NX121" s="15"/>
      <c r="NY121" s="15"/>
      <c r="NZ121" s="15"/>
    </row>
    <row r="122" spans="2:390" ht="19.5" customHeight="1" x14ac:dyDescent="0.45">
      <c r="B122" s="1">
        <f>+B121</f>
        <v>3</v>
      </c>
      <c r="C122" s="1">
        <f>+C121</f>
        <v>6</v>
      </c>
      <c r="D122" s="1">
        <f>+D121+1</f>
        <v>3</v>
      </c>
      <c r="E122" s="59" t="str">
        <f t="shared" si="64"/>
        <v>3.6.3</v>
      </c>
      <c r="F122" s="23" t="s">
        <v>62</v>
      </c>
      <c r="G122" s="191" t="s">
        <v>153</v>
      </c>
      <c r="H122" s="52" t="s">
        <v>117</v>
      </c>
      <c r="I122" s="52" t="s">
        <v>158</v>
      </c>
      <c r="J122" s="87">
        <v>1245</v>
      </c>
      <c r="K122" s="87">
        <v>0</v>
      </c>
      <c r="L122" s="87">
        <f>+J122-K122</f>
        <v>1245</v>
      </c>
      <c r="M122" s="20">
        <v>4</v>
      </c>
      <c r="N122" s="20">
        <v>12</v>
      </c>
      <c r="O122" s="51">
        <f>+N122*M122</f>
        <v>48</v>
      </c>
      <c r="P122" s="51">
        <f>+SUM(AA122:NZ122)</f>
        <v>48</v>
      </c>
      <c r="Q122" s="51">
        <f>+O122-P122</f>
        <v>0</v>
      </c>
      <c r="R122" s="79">
        <v>46146</v>
      </c>
      <c r="S122" s="80">
        <v>10</v>
      </c>
      <c r="T122" s="21">
        <f t="shared" si="61"/>
        <v>46157</v>
      </c>
      <c r="U122" s="22">
        <f>+K122/J122</f>
        <v>0</v>
      </c>
      <c r="V122" s="199">
        <f t="shared" si="62"/>
        <v>0</v>
      </c>
      <c r="W122" s="158">
        <f>SUMIFS($AA122:$NZ122, $AA$8:$NZ$8, $W$12)/$O122</f>
        <v>0</v>
      </c>
      <c r="X122" s="159">
        <f>SUMIF($AA$9:$NZ$9, "&lt;=" &amp; $W$11,$AA122:$NZ122)/$O122</f>
        <v>0</v>
      </c>
      <c r="Y122" s="199">
        <f t="shared" si="63"/>
        <v>0</v>
      </c>
      <c r="Z122" s="36"/>
      <c r="AA122" s="15"/>
      <c r="AB122" s="15"/>
      <c r="AC122" s="15"/>
      <c r="AD122" s="15"/>
      <c r="AE122" s="15"/>
      <c r="AF122" s="15"/>
      <c r="AG122" s="184"/>
      <c r="AH122" s="15"/>
      <c r="AI122" s="15"/>
      <c r="AJ122" s="15"/>
      <c r="AK122" s="15"/>
      <c r="AL122" s="15"/>
      <c r="AM122" s="15"/>
      <c r="AN122" s="184"/>
      <c r="AO122" s="15"/>
      <c r="AP122" s="15"/>
      <c r="AQ122" s="15"/>
      <c r="AR122" s="15"/>
      <c r="AS122" s="15"/>
      <c r="AT122" s="15"/>
      <c r="AU122" s="184"/>
      <c r="AV122" s="15"/>
      <c r="AW122" s="15"/>
      <c r="AX122" s="15"/>
      <c r="AY122" s="15"/>
      <c r="AZ122" s="15"/>
      <c r="BA122" s="15"/>
      <c r="BB122" s="184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84"/>
      <c r="CE122" s="15"/>
      <c r="CF122" s="15"/>
      <c r="CG122" s="15"/>
      <c r="CH122" s="15"/>
      <c r="CI122" s="15"/>
      <c r="CJ122" s="15"/>
      <c r="CK122" s="184"/>
      <c r="CL122" s="15"/>
      <c r="CM122" s="15"/>
      <c r="CN122" s="15"/>
      <c r="CO122" s="15"/>
      <c r="CP122" s="15"/>
      <c r="CQ122" s="15"/>
      <c r="CR122" s="184"/>
      <c r="CS122" s="15"/>
      <c r="CT122" s="15"/>
      <c r="CU122" s="15"/>
      <c r="CV122" s="15"/>
      <c r="CW122" s="15"/>
      <c r="CX122" s="15"/>
      <c r="CY122" s="184"/>
      <c r="CZ122" s="15"/>
      <c r="DA122" s="15"/>
      <c r="DB122" s="15"/>
      <c r="DC122" s="15"/>
      <c r="DD122" s="15"/>
      <c r="DE122" s="15"/>
      <c r="DF122" s="184"/>
      <c r="DG122" s="15"/>
      <c r="DH122" s="15"/>
      <c r="DI122" s="15"/>
      <c r="DJ122" s="15"/>
      <c r="DK122" s="15"/>
      <c r="DL122" s="15"/>
      <c r="DM122" s="184"/>
      <c r="DN122" s="15"/>
      <c r="DO122" s="15"/>
      <c r="DP122" s="15"/>
      <c r="DQ122" s="15"/>
      <c r="DR122" s="15"/>
      <c r="DS122" s="15"/>
      <c r="DT122" s="184"/>
      <c r="DU122" s="15"/>
      <c r="DV122" s="15"/>
      <c r="DW122" s="15"/>
      <c r="DX122" s="15"/>
      <c r="DY122" s="15"/>
      <c r="DZ122" s="15"/>
      <c r="EA122" s="184"/>
      <c r="EB122" s="15"/>
      <c r="EC122" s="15"/>
      <c r="ED122" s="15"/>
      <c r="EE122" s="15"/>
      <c r="EF122" s="15"/>
      <c r="EG122" s="15"/>
      <c r="EH122" s="184"/>
      <c r="EI122" s="15"/>
      <c r="EJ122" s="15"/>
      <c r="EK122" s="15"/>
      <c r="EL122" s="15"/>
      <c r="EM122" s="15"/>
      <c r="EN122" s="15"/>
      <c r="EO122" s="184"/>
      <c r="EP122" s="15"/>
      <c r="EQ122" s="15"/>
      <c r="ER122" s="15"/>
      <c r="ES122" s="15"/>
      <c r="ET122" s="15"/>
      <c r="EU122" s="15"/>
      <c r="EV122" s="184"/>
      <c r="EW122" s="15"/>
      <c r="EX122" s="15"/>
      <c r="EY122" s="15"/>
      <c r="EZ122" s="15"/>
      <c r="FA122" s="15"/>
      <c r="FB122" s="15"/>
      <c r="FC122" s="184"/>
      <c r="FD122" s="15"/>
      <c r="FE122" s="15"/>
      <c r="FF122" s="15"/>
      <c r="FG122" s="15"/>
      <c r="FH122" s="15"/>
      <c r="FI122" s="15"/>
      <c r="FJ122" s="184"/>
      <c r="FK122" s="15"/>
      <c r="FL122" s="15"/>
      <c r="FM122" s="15"/>
      <c r="FN122" s="15"/>
      <c r="FO122" s="15"/>
      <c r="FP122" s="15"/>
      <c r="FQ122" s="184"/>
      <c r="FR122" s="15"/>
      <c r="FS122" s="15"/>
      <c r="FT122" s="15"/>
      <c r="FU122" s="15"/>
      <c r="FV122" s="15"/>
      <c r="FW122" s="178"/>
      <c r="FX122" s="184"/>
      <c r="FY122" s="181"/>
      <c r="FZ122" s="15"/>
      <c r="GA122" s="15"/>
      <c r="GB122" s="15"/>
      <c r="GC122" s="15"/>
      <c r="GD122" s="15"/>
      <c r="GE122" s="184"/>
      <c r="GF122" s="15">
        <v>4</v>
      </c>
      <c r="GG122" s="15">
        <v>4</v>
      </c>
      <c r="GH122" s="15">
        <v>4</v>
      </c>
      <c r="GI122" s="15">
        <v>4</v>
      </c>
      <c r="GJ122" s="15">
        <v>4</v>
      </c>
      <c r="GK122" s="15">
        <v>4</v>
      </c>
      <c r="GL122" s="184"/>
      <c r="GM122" s="15">
        <v>4</v>
      </c>
      <c r="GN122" s="15">
        <v>4</v>
      </c>
      <c r="GO122" s="15">
        <v>4</v>
      </c>
      <c r="GP122" s="15">
        <v>4</v>
      </c>
      <c r="GQ122" s="15">
        <v>4</v>
      </c>
      <c r="GR122" s="15">
        <v>4</v>
      </c>
      <c r="GS122" s="184"/>
      <c r="GT122" s="15"/>
      <c r="GU122" s="15"/>
      <c r="GV122" s="15"/>
      <c r="GW122" s="15"/>
      <c r="GX122" s="15"/>
      <c r="GY122" s="15"/>
      <c r="GZ122" s="184"/>
      <c r="HA122" s="15"/>
      <c r="HB122" s="15"/>
      <c r="HC122" s="15"/>
      <c r="HD122" s="15"/>
      <c r="HE122" s="15"/>
      <c r="HF122" s="15"/>
      <c r="HG122" s="184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/>
      <c r="KE122" s="15"/>
      <c r="KF122" s="15"/>
      <c r="KG122" s="15"/>
      <c r="KH122" s="15"/>
      <c r="KI122" s="15"/>
      <c r="KJ122" s="15"/>
      <c r="KK122" s="15"/>
      <c r="KL122" s="15"/>
      <c r="KM122" s="15"/>
      <c r="KN122" s="15"/>
      <c r="KO122" s="15"/>
      <c r="KP122" s="15"/>
      <c r="KQ122" s="15"/>
      <c r="KR122" s="15"/>
      <c r="KS122" s="15"/>
      <c r="KT122" s="15"/>
      <c r="KU122" s="15"/>
      <c r="KV122" s="15"/>
      <c r="KW122" s="15"/>
      <c r="KX122" s="15"/>
      <c r="KY122" s="15"/>
      <c r="KZ122" s="15"/>
      <c r="LA122" s="15"/>
      <c r="LB122" s="15"/>
      <c r="LC122" s="15"/>
      <c r="LD122" s="15"/>
      <c r="LE122" s="15"/>
      <c r="LF122" s="15"/>
      <c r="LG122" s="15"/>
      <c r="LH122" s="15"/>
      <c r="LI122" s="15"/>
      <c r="LJ122" s="15"/>
      <c r="LK122" s="15"/>
      <c r="LL122" s="15"/>
      <c r="LM122" s="15"/>
      <c r="LN122" s="15"/>
      <c r="LO122" s="15"/>
      <c r="LP122" s="15"/>
      <c r="LQ122" s="15"/>
      <c r="LR122" s="15"/>
      <c r="LS122" s="15"/>
      <c r="LT122" s="15"/>
      <c r="LU122" s="15"/>
      <c r="LV122" s="15"/>
      <c r="LW122" s="15"/>
      <c r="LX122" s="15"/>
      <c r="LY122" s="15"/>
      <c r="LZ122" s="15"/>
      <c r="MA122" s="15"/>
      <c r="MB122" s="15"/>
      <c r="MC122" s="15"/>
      <c r="MD122" s="15"/>
      <c r="ME122" s="15"/>
      <c r="MF122" s="15"/>
      <c r="MG122" s="15"/>
      <c r="MH122" s="15"/>
      <c r="MI122" s="15"/>
      <c r="MJ122" s="15"/>
      <c r="MK122" s="15"/>
      <c r="ML122" s="15"/>
      <c r="MM122" s="15"/>
      <c r="MN122" s="15"/>
      <c r="MO122" s="15"/>
      <c r="MP122" s="15"/>
      <c r="MQ122" s="15"/>
      <c r="MR122" s="15"/>
      <c r="MS122" s="15"/>
      <c r="MT122" s="15"/>
      <c r="MU122" s="15"/>
      <c r="MV122" s="15"/>
      <c r="MW122" s="15"/>
      <c r="MX122" s="15"/>
      <c r="MY122" s="15"/>
      <c r="MZ122" s="15"/>
      <c r="NA122" s="15"/>
      <c r="NB122" s="15"/>
      <c r="NC122" s="15"/>
      <c r="ND122" s="15"/>
      <c r="NE122" s="15"/>
      <c r="NF122" s="15"/>
      <c r="NG122" s="15"/>
      <c r="NH122" s="15"/>
      <c r="NI122" s="15"/>
      <c r="NJ122" s="15"/>
      <c r="NK122" s="15"/>
      <c r="NL122" s="15"/>
      <c r="NM122" s="15"/>
      <c r="NN122" s="15"/>
      <c r="NO122" s="15"/>
      <c r="NP122" s="15"/>
      <c r="NQ122" s="15"/>
      <c r="NR122" s="15"/>
      <c r="NS122" s="15"/>
      <c r="NT122" s="15"/>
      <c r="NU122" s="15"/>
      <c r="NV122" s="15"/>
      <c r="NW122" s="15"/>
      <c r="NX122" s="15"/>
      <c r="NY122" s="15"/>
      <c r="NZ122" s="15"/>
    </row>
    <row r="123" spans="2:390" ht="19.5" customHeight="1" x14ac:dyDescent="0.45">
      <c r="B123" s="1">
        <f>+B122</f>
        <v>3</v>
      </c>
      <c r="C123" s="1">
        <f>+C122</f>
        <v>6</v>
      </c>
      <c r="D123" s="1">
        <f>+D122+1</f>
        <v>4</v>
      </c>
      <c r="E123" s="59" t="str">
        <f t="shared" si="64"/>
        <v>3.6.4</v>
      </c>
      <c r="F123" s="23" t="s">
        <v>63</v>
      </c>
      <c r="G123" s="191" t="s">
        <v>153</v>
      </c>
      <c r="H123" s="52" t="s">
        <v>117</v>
      </c>
      <c r="I123" s="52" t="s">
        <v>158</v>
      </c>
      <c r="J123" s="87">
        <v>493</v>
      </c>
      <c r="K123" s="87">
        <v>0</v>
      </c>
      <c r="L123" s="87">
        <f>+J123-K123</f>
        <v>493</v>
      </c>
      <c r="M123" s="20">
        <v>4</v>
      </c>
      <c r="N123" s="20">
        <v>36</v>
      </c>
      <c r="O123" s="51">
        <f>+N123*M123</f>
        <v>144</v>
      </c>
      <c r="P123" s="51">
        <f>+SUM(AA123:NZ123)</f>
        <v>144</v>
      </c>
      <c r="Q123" s="51">
        <f>+O123-P123</f>
        <v>0</v>
      </c>
      <c r="R123" s="79">
        <v>46153</v>
      </c>
      <c r="S123" s="80">
        <v>15</v>
      </c>
      <c r="T123" s="21">
        <f t="shared" si="61"/>
        <v>46171</v>
      </c>
      <c r="U123" s="22">
        <f>+K123/J123</f>
        <v>0</v>
      </c>
      <c r="V123" s="199">
        <f t="shared" si="62"/>
        <v>0</v>
      </c>
      <c r="W123" s="158">
        <f>SUMIFS($AA123:$NZ123, $AA$8:$NZ$8, $W$12)/$O123</f>
        <v>0</v>
      </c>
      <c r="X123" s="159">
        <f>SUMIF($AA$9:$NZ$9, "&lt;=" &amp; $W$11,$AA123:$NZ123)/$O123</f>
        <v>0</v>
      </c>
      <c r="Y123" s="199">
        <f t="shared" si="63"/>
        <v>0</v>
      </c>
      <c r="Z123" s="36"/>
      <c r="AA123" s="15"/>
      <c r="AB123" s="15"/>
      <c r="AC123" s="15"/>
      <c r="AD123" s="15"/>
      <c r="AE123" s="15"/>
      <c r="AF123" s="15"/>
      <c r="AG123" s="184"/>
      <c r="AH123" s="15"/>
      <c r="AI123" s="15"/>
      <c r="AJ123" s="15"/>
      <c r="AK123" s="15"/>
      <c r="AL123" s="15"/>
      <c r="AM123" s="15"/>
      <c r="AN123" s="184"/>
      <c r="AO123" s="15"/>
      <c r="AP123" s="15"/>
      <c r="AQ123" s="15"/>
      <c r="AR123" s="15"/>
      <c r="AS123" s="15"/>
      <c r="AT123" s="15"/>
      <c r="AU123" s="184"/>
      <c r="AV123" s="15"/>
      <c r="AW123" s="15"/>
      <c r="AX123" s="15"/>
      <c r="AY123" s="15"/>
      <c r="AZ123" s="15"/>
      <c r="BA123" s="15"/>
      <c r="BB123" s="184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84"/>
      <c r="CE123" s="15"/>
      <c r="CF123" s="15"/>
      <c r="CG123" s="15"/>
      <c r="CH123" s="15"/>
      <c r="CI123" s="15"/>
      <c r="CJ123" s="15"/>
      <c r="CK123" s="184"/>
      <c r="CL123" s="15"/>
      <c r="CM123" s="15"/>
      <c r="CN123" s="15"/>
      <c r="CO123" s="15"/>
      <c r="CP123" s="15"/>
      <c r="CQ123" s="15"/>
      <c r="CR123" s="184"/>
      <c r="CS123" s="15"/>
      <c r="CT123" s="15"/>
      <c r="CU123" s="15"/>
      <c r="CV123" s="15"/>
      <c r="CW123" s="15"/>
      <c r="CX123" s="15"/>
      <c r="CY123" s="184"/>
      <c r="CZ123" s="15"/>
      <c r="DA123" s="15"/>
      <c r="DB123" s="15"/>
      <c r="DC123" s="15"/>
      <c r="DD123" s="15"/>
      <c r="DE123" s="15"/>
      <c r="DF123" s="184"/>
      <c r="DG123" s="15"/>
      <c r="DH123" s="15"/>
      <c r="DI123" s="15"/>
      <c r="DJ123" s="15"/>
      <c r="DK123" s="15"/>
      <c r="DL123" s="15"/>
      <c r="DM123" s="184"/>
      <c r="DN123" s="15"/>
      <c r="DO123" s="15"/>
      <c r="DP123" s="15"/>
      <c r="DQ123" s="15"/>
      <c r="DR123" s="15"/>
      <c r="DS123" s="15"/>
      <c r="DT123" s="184"/>
      <c r="DU123" s="15"/>
      <c r="DV123" s="15"/>
      <c r="DW123" s="15"/>
      <c r="DX123" s="15"/>
      <c r="DY123" s="15"/>
      <c r="DZ123" s="15"/>
      <c r="EA123" s="184"/>
      <c r="EB123" s="15"/>
      <c r="EC123" s="15"/>
      <c r="ED123" s="15"/>
      <c r="EE123" s="15"/>
      <c r="EF123" s="15"/>
      <c r="EG123" s="15"/>
      <c r="EH123" s="184"/>
      <c r="EI123" s="15"/>
      <c r="EJ123" s="15"/>
      <c r="EK123" s="15"/>
      <c r="EL123" s="15"/>
      <c r="EM123" s="15"/>
      <c r="EN123" s="15"/>
      <c r="EO123" s="184"/>
      <c r="EP123" s="15"/>
      <c r="EQ123" s="15"/>
      <c r="ER123" s="15"/>
      <c r="ES123" s="15"/>
      <c r="ET123" s="15"/>
      <c r="EU123" s="15"/>
      <c r="EV123" s="184"/>
      <c r="EW123" s="15"/>
      <c r="EX123" s="15"/>
      <c r="EY123" s="15"/>
      <c r="EZ123" s="15"/>
      <c r="FA123" s="15"/>
      <c r="FB123" s="15"/>
      <c r="FC123" s="184"/>
      <c r="FD123" s="15"/>
      <c r="FE123" s="15"/>
      <c r="FF123" s="15"/>
      <c r="FG123" s="15"/>
      <c r="FH123" s="15"/>
      <c r="FI123" s="15"/>
      <c r="FJ123" s="184"/>
      <c r="FK123" s="15"/>
      <c r="FL123" s="15"/>
      <c r="FM123" s="15"/>
      <c r="FN123" s="15"/>
      <c r="FO123" s="15"/>
      <c r="FP123" s="15"/>
      <c r="FQ123" s="184"/>
      <c r="FR123" s="15"/>
      <c r="FS123" s="15"/>
      <c r="FT123" s="15"/>
      <c r="FU123" s="15"/>
      <c r="FV123" s="15"/>
      <c r="FW123" s="178"/>
      <c r="FX123" s="184"/>
      <c r="FY123" s="181"/>
      <c r="FZ123" s="15"/>
      <c r="GA123" s="15"/>
      <c r="GB123" s="15"/>
      <c r="GC123" s="15"/>
      <c r="GD123" s="15"/>
      <c r="GE123" s="184"/>
      <c r="GF123" s="15"/>
      <c r="GG123" s="15"/>
      <c r="GH123" s="15"/>
      <c r="GI123" s="15"/>
      <c r="GJ123" s="15"/>
      <c r="GK123" s="15"/>
      <c r="GL123" s="184"/>
      <c r="GM123" s="15">
        <v>4</v>
      </c>
      <c r="GN123" s="15">
        <v>4</v>
      </c>
      <c r="GO123" s="15">
        <v>4</v>
      </c>
      <c r="GP123" s="15">
        <v>4</v>
      </c>
      <c r="GQ123" s="15">
        <v>4</v>
      </c>
      <c r="GR123" s="15">
        <v>4</v>
      </c>
      <c r="GS123" s="184"/>
      <c r="GT123" s="15">
        <v>10</v>
      </c>
      <c r="GU123" s="15">
        <v>10</v>
      </c>
      <c r="GV123" s="15">
        <v>10</v>
      </c>
      <c r="GW123" s="15">
        <v>10</v>
      </c>
      <c r="GX123" s="15">
        <v>10</v>
      </c>
      <c r="GY123" s="15">
        <v>10</v>
      </c>
      <c r="GZ123" s="184"/>
      <c r="HA123" s="15">
        <v>10</v>
      </c>
      <c r="HB123" s="15">
        <v>10</v>
      </c>
      <c r="HC123" s="15">
        <v>10</v>
      </c>
      <c r="HD123" s="15">
        <v>10</v>
      </c>
      <c r="HE123" s="15">
        <v>10</v>
      </c>
      <c r="HF123" s="15">
        <v>10</v>
      </c>
      <c r="HG123" s="184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  <c r="IX123" s="15"/>
      <c r="IY123" s="15"/>
      <c r="IZ123" s="15"/>
      <c r="JA123" s="15"/>
      <c r="JB123" s="15"/>
      <c r="JC123" s="15"/>
      <c r="JD123" s="15"/>
      <c r="JE123" s="15"/>
      <c r="JF123" s="15"/>
      <c r="JG123" s="15"/>
      <c r="JH123" s="15"/>
      <c r="JI123" s="15"/>
      <c r="JJ123" s="15"/>
      <c r="JK123" s="15"/>
      <c r="JL123" s="15"/>
      <c r="JM123" s="15"/>
      <c r="JN123" s="15"/>
      <c r="JO123" s="15"/>
      <c r="JP123" s="15"/>
      <c r="JQ123" s="15"/>
      <c r="JR123" s="15"/>
      <c r="JS123" s="15"/>
      <c r="JT123" s="15"/>
      <c r="JU123" s="15"/>
      <c r="JV123" s="15"/>
      <c r="JW123" s="15"/>
      <c r="JX123" s="15"/>
      <c r="JY123" s="15"/>
      <c r="JZ123" s="15"/>
      <c r="KA123" s="15"/>
      <c r="KB123" s="15"/>
      <c r="KC123" s="15"/>
      <c r="KD123" s="15"/>
      <c r="KE123" s="15"/>
      <c r="KF123" s="15"/>
      <c r="KG123" s="15"/>
      <c r="KH123" s="15"/>
      <c r="KI123" s="15"/>
      <c r="KJ123" s="15"/>
      <c r="KK123" s="15"/>
      <c r="KL123" s="15"/>
      <c r="KM123" s="15"/>
      <c r="KN123" s="15"/>
      <c r="KO123" s="15"/>
      <c r="KP123" s="15"/>
      <c r="KQ123" s="15"/>
      <c r="KR123" s="15"/>
      <c r="KS123" s="15"/>
      <c r="KT123" s="15"/>
      <c r="KU123" s="15"/>
      <c r="KV123" s="15"/>
      <c r="KW123" s="15"/>
      <c r="KX123" s="15"/>
      <c r="KY123" s="15"/>
      <c r="KZ123" s="15"/>
      <c r="LA123" s="15"/>
      <c r="LB123" s="15"/>
      <c r="LC123" s="15"/>
      <c r="LD123" s="15"/>
      <c r="LE123" s="15"/>
      <c r="LF123" s="15"/>
      <c r="LG123" s="15"/>
      <c r="LH123" s="15"/>
      <c r="LI123" s="15"/>
      <c r="LJ123" s="15"/>
      <c r="LK123" s="15"/>
      <c r="LL123" s="15"/>
      <c r="LM123" s="15"/>
      <c r="LN123" s="15"/>
      <c r="LO123" s="15"/>
      <c r="LP123" s="15"/>
      <c r="LQ123" s="15"/>
      <c r="LR123" s="15"/>
      <c r="LS123" s="15"/>
      <c r="LT123" s="15"/>
      <c r="LU123" s="15"/>
      <c r="LV123" s="15"/>
      <c r="LW123" s="15"/>
      <c r="LX123" s="15"/>
      <c r="LY123" s="15"/>
      <c r="LZ123" s="15"/>
      <c r="MA123" s="15"/>
      <c r="MB123" s="15"/>
      <c r="MC123" s="15"/>
      <c r="MD123" s="15"/>
      <c r="ME123" s="15"/>
      <c r="MF123" s="15"/>
      <c r="MG123" s="15"/>
      <c r="MH123" s="15"/>
      <c r="MI123" s="15"/>
      <c r="MJ123" s="15"/>
      <c r="MK123" s="15"/>
      <c r="ML123" s="15"/>
      <c r="MM123" s="15"/>
      <c r="MN123" s="15"/>
      <c r="MO123" s="15"/>
      <c r="MP123" s="15"/>
      <c r="MQ123" s="15"/>
      <c r="MR123" s="15"/>
      <c r="MS123" s="15"/>
      <c r="MT123" s="15"/>
      <c r="MU123" s="15"/>
      <c r="MV123" s="15"/>
      <c r="MW123" s="15"/>
      <c r="MX123" s="15"/>
      <c r="MY123" s="15"/>
      <c r="MZ123" s="15"/>
      <c r="NA123" s="15"/>
      <c r="NB123" s="15"/>
      <c r="NC123" s="15"/>
      <c r="ND123" s="15"/>
      <c r="NE123" s="15"/>
      <c r="NF123" s="15"/>
      <c r="NG123" s="15"/>
      <c r="NH123" s="15"/>
      <c r="NI123" s="15"/>
      <c r="NJ123" s="15"/>
      <c r="NK123" s="15"/>
      <c r="NL123" s="15"/>
      <c r="NM123" s="15"/>
      <c r="NN123" s="15"/>
      <c r="NO123" s="15"/>
      <c r="NP123" s="15"/>
      <c r="NQ123" s="15"/>
      <c r="NR123" s="15"/>
      <c r="NS123" s="15"/>
      <c r="NT123" s="15"/>
      <c r="NU123" s="15"/>
      <c r="NV123" s="15"/>
      <c r="NW123" s="15"/>
      <c r="NX123" s="15"/>
      <c r="NY123" s="15"/>
      <c r="NZ123" s="15"/>
    </row>
    <row r="124" spans="2:390" ht="30" customHeight="1" thickBot="1" x14ac:dyDescent="0.5">
      <c r="E124" s="29"/>
      <c r="F124" s="31"/>
      <c r="G124" s="31"/>
      <c r="H124" s="72"/>
      <c r="I124" s="72"/>
      <c r="J124" s="55"/>
      <c r="K124" s="55"/>
      <c r="L124" s="55"/>
      <c r="M124" s="31"/>
      <c r="N124" s="31"/>
      <c r="O124" s="31"/>
      <c r="P124" s="31"/>
      <c r="Q124" s="31"/>
      <c r="R124" s="19"/>
      <c r="S124" s="20"/>
      <c r="T124" s="21" t="str">
        <f t="shared" si="61"/>
        <v/>
      </c>
      <c r="U124" s="22"/>
      <c r="V124" s="199">
        <f t="shared" si="62"/>
        <v>0</v>
      </c>
      <c r="W124" s="22"/>
      <c r="X124" s="22"/>
      <c r="Y124" s="199">
        <f t="shared" si="63"/>
        <v>0</v>
      </c>
      <c r="Z124" s="36"/>
      <c r="AA124" s="15"/>
      <c r="AB124" s="15"/>
      <c r="AC124" s="15"/>
      <c r="AD124" s="15"/>
      <c r="AE124" s="15"/>
      <c r="AF124" s="15"/>
      <c r="AG124" s="184"/>
      <c r="AH124" s="15"/>
      <c r="AI124" s="15"/>
      <c r="AJ124" s="15"/>
      <c r="AK124" s="15"/>
      <c r="AL124" s="15"/>
      <c r="AM124" s="15"/>
      <c r="AN124" s="184"/>
      <c r="AO124" s="15"/>
      <c r="AP124" s="15"/>
      <c r="AQ124" s="15"/>
      <c r="AR124" s="15"/>
      <c r="AS124" s="15"/>
      <c r="AT124" s="15"/>
      <c r="AU124" s="184"/>
      <c r="AV124" s="15"/>
      <c r="AW124" s="15"/>
      <c r="AX124" s="15"/>
      <c r="AY124" s="15"/>
      <c r="AZ124" s="15"/>
      <c r="BA124" s="15"/>
      <c r="BB124" s="184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84"/>
      <c r="CE124" s="15"/>
      <c r="CF124" s="15"/>
      <c r="CG124" s="15"/>
      <c r="CH124" s="15"/>
      <c r="CI124" s="15"/>
      <c r="CJ124" s="15"/>
      <c r="CK124" s="184"/>
      <c r="CL124" s="15"/>
      <c r="CM124" s="15"/>
      <c r="CN124" s="15"/>
      <c r="CO124" s="15"/>
      <c r="CP124" s="15"/>
      <c r="CQ124" s="15"/>
      <c r="CR124" s="184"/>
      <c r="CS124" s="15"/>
      <c r="CT124" s="15"/>
      <c r="CU124" s="15"/>
      <c r="CV124" s="15"/>
      <c r="CW124" s="15"/>
      <c r="CX124" s="15"/>
      <c r="CY124" s="184"/>
      <c r="CZ124" s="15"/>
      <c r="DA124" s="15"/>
      <c r="DB124" s="15"/>
      <c r="DC124" s="15"/>
      <c r="DD124" s="15"/>
      <c r="DE124" s="15"/>
      <c r="DF124" s="184"/>
      <c r="DG124" s="15"/>
      <c r="DH124" s="15"/>
      <c r="DI124" s="15"/>
      <c r="DJ124" s="15"/>
      <c r="DK124" s="15"/>
      <c r="DL124" s="15"/>
      <c r="DM124" s="184"/>
      <c r="DN124" s="15"/>
      <c r="DO124" s="15"/>
      <c r="DP124" s="15"/>
      <c r="DQ124" s="15"/>
      <c r="DR124" s="15"/>
      <c r="DS124" s="15"/>
      <c r="DT124" s="184"/>
      <c r="DU124" s="15"/>
      <c r="DV124" s="15"/>
      <c r="DW124" s="15"/>
      <c r="DX124" s="15"/>
      <c r="DY124" s="15"/>
      <c r="DZ124" s="15"/>
      <c r="EA124" s="184"/>
      <c r="EB124" s="15"/>
      <c r="EC124" s="15"/>
      <c r="ED124" s="15"/>
      <c r="EE124" s="15"/>
      <c r="EF124" s="15"/>
      <c r="EG124" s="15"/>
      <c r="EH124" s="184"/>
      <c r="EI124" s="15"/>
      <c r="EJ124" s="15"/>
      <c r="EK124" s="15"/>
      <c r="EL124" s="15"/>
      <c r="EM124" s="15"/>
      <c r="EN124" s="15"/>
      <c r="EO124" s="184"/>
      <c r="EP124" s="15"/>
      <c r="EQ124" s="15"/>
      <c r="ER124" s="15"/>
      <c r="ES124" s="15"/>
      <c r="ET124" s="15"/>
      <c r="EU124" s="15"/>
      <c r="EV124" s="184"/>
      <c r="EW124" s="15"/>
      <c r="EX124" s="15"/>
      <c r="EY124" s="15"/>
      <c r="EZ124" s="15"/>
      <c r="FA124" s="15"/>
      <c r="FB124" s="15"/>
      <c r="FC124" s="184"/>
      <c r="FD124" s="15"/>
      <c r="FE124" s="15"/>
      <c r="FF124" s="15"/>
      <c r="FG124" s="15"/>
      <c r="FH124" s="15"/>
      <c r="FI124" s="15"/>
      <c r="FJ124" s="184"/>
      <c r="FK124" s="15"/>
      <c r="FL124" s="15"/>
      <c r="FM124" s="15"/>
      <c r="FN124" s="15"/>
      <c r="FO124" s="15"/>
      <c r="FP124" s="15"/>
      <c r="FQ124" s="184"/>
      <c r="FR124" s="15"/>
      <c r="FS124" s="15"/>
      <c r="FT124" s="15"/>
      <c r="FU124" s="15"/>
      <c r="FV124" s="15"/>
      <c r="FW124" s="178"/>
      <c r="FX124" s="184"/>
      <c r="FY124" s="181"/>
      <c r="FZ124" s="15"/>
      <c r="GA124" s="15"/>
      <c r="GB124" s="15"/>
      <c r="GC124" s="15"/>
      <c r="GD124" s="15"/>
      <c r="GE124" s="184"/>
      <c r="GF124" s="15"/>
      <c r="GG124" s="15"/>
      <c r="GH124" s="15"/>
      <c r="GI124" s="15"/>
      <c r="GJ124" s="15"/>
      <c r="GK124" s="15"/>
      <c r="GL124" s="184"/>
      <c r="GM124" s="15"/>
      <c r="GN124" s="15"/>
      <c r="GO124" s="15"/>
      <c r="GP124" s="15"/>
      <c r="GQ124" s="15"/>
      <c r="GR124" s="15"/>
      <c r="GS124" s="184"/>
      <c r="GT124" s="15"/>
      <c r="GU124" s="15"/>
      <c r="GV124" s="15"/>
      <c r="GW124" s="15"/>
      <c r="GX124" s="15"/>
      <c r="GY124" s="15"/>
      <c r="GZ124" s="184"/>
      <c r="HA124" s="15"/>
      <c r="HB124" s="15"/>
      <c r="HC124" s="15"/>
      <c r="HD124" s="15"/>
      <c r="HE124" s="15"/>
      <c r="HF124" s="15"/>
      <c r="HG124" s="184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/>
      <c r="KE124" s="15"/>
      <c r="KF124" s="15"/>
      <c r="KG124" s="15"/>
      <c r="KH124" s="15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5"/>
      <c r="KT124" s="15"/>
      <c r="KU124" s="15"/>
      <c r="KV124" s="15"/>
      <c r="KW124" s="15"/>
      <c r="KX124" s="15"/>
      <c r="KY124" s="15"/>
      <c r="KZ124" s="15"/>
      <c r="LA124" s="15"/>
      <c r="LB124" s="15"/>
      <c r="LC124" s="15"/>
      <c r="LD124" s="15"/>
      <c r="LE124" s="15"/>
      <c r="LF124" s="15"/>
      <c r="LG124" s="15"/>
      <c r="LH124" s="15"/>
      <c r="LI124" s="15"/>
      <c r="LJ124" s="15"/>
      <c r="LK124" s="15"/>
      <c r="LL124" s="15"/>
      <c r="LM124" s="15"/>
      <c r="LN124" s="15"/>
      <c r="LO124" s="15"/>
      <c r="LP124" s="15"/>
      <c r="LQ124" s="15"/>
      <c r="LR124" s="15"/>
      <c r="LS124" s="15"/>
      <c r="LT124" s="15"/>
      <c r="LU124" s="15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5"/>
      <c r="MG124" s="15"/>
      <c r="MH124" s="15"/>
      <c r="MI124" s="15"/>
      <c r="MJ124" s="15"/>
      <c r="MK124" s="15"/>
      <c r="ML124" s="15"/>
      <c r="MM124" s="15"/>
      <c r="MN124" s="15"/>
      <c r="MO124" s="15"/>
      <c r="MP124" s="15"/>
      <c r="MQ124" s="15"/>
      <c r="MR124" s="15"/>
      <c r="MS124" s="15"/>
      <c r="MT124" s="15"/>
      <c r="MU124" s="15"/>
      <c r="MV124" s="15"/>
      <c r="MW124" s="15"/>
      <c r="MX124" s="15"/>
      <c r="MY124" s="15"/>
      <c r="MZ124" s="15"/>
      <c r="NA124" s="15"/>
      <c r="NB124" s="15"/>
      <c r="NC124" s="15"/>
      <c r="ND124" s="15"/>
      <c r="NE124" s="15"/>
      <c r="NF124" s="15"/>
      <c r="NG124" s="15"/>
      <c r="NH124" s="15"/>
      <c r="NI124" s="15"/>
      <c r="NJ124" s="15"/>
      <c r="NK124" s="15"/>
      <c r="NL124" s="15"/>
      <c r="NM124" s="15"/>
      <c r="NN124" s="15"/>
      <c r="NO124" s="15"/>
      <c r="NP124" s="15"/>
      <c r="NQ124" s="15"/>
      <c r="NR124" s="15"/>
      <c r="NS124" s="15"/>
      <c r="NT124" s="15"/>
      <c r="NU124" s="15"/>
      <c r="NV124" s="15"/>
      <c r="NW124" s="15"/>
      <c r="NX124" s="15"/>
      <c r="NY124" s="15"/>
      <c r="NZ124" s="15"/>
    </row>
    <row r="125" spans="2:390" ht="19.5" customHeight="1" x14ac:dyDescent="0.45">
      <c r="B125" s="1">
        <f>+B93+1</f>
        <v>4</v>
      </c>
      <c r="C125" s="1">
        <v>0</v>
      </c>
      <c r="D125" s="1">
        <v>0</v>
      </c>
      <c r="E125" s="102" t="str">
        <f t="shared" ref="E125:E156" si="81">B125&amp;"."&amp;C125&amp;"."&amp;D125</f>
        <v>4.0.0</v>
      </c>
      <c r="F125" s="103" t="s">
        <v>46</v>
      </c>
      <c r="G125" s="103"/>
      <c r="H125" s="104"/>
      <c r="I125" s="104"/>
      <c r="J125" s="105"/>
      <c r="K125" s="105"/>
      <c r="L125" s="105"/>
      <c r="M125" s="103"/>
      <c r="N125" s="103"/>
      <c r="O125" s="106">
        <f>+SUM(O126,O131,O135,O139,O143,O146,O148,O152,O154,O159,)</f>
        <v>522</v>
      </c>
      <c r="P125" s="106"/>
      <c r="Q125" s="106"/>
      <c r="R125" s="107"/>
      <c r="S125" s="107"/>
      <c r="T125" s="194">
        <f>+MAX(T126:T159)</f>
        <v>46136</v>
      </c>
      <c r="U125" s="160">
        <f>+SUM(O126*U126,O131*U131,O135*U135,O139*U139,O143*U143,O146*U146,O148*U148,O154*U154,O159*U159)/O125</f>
        <v>1.532567049808429E-2</v>
      </c>
      <c r="V125" s="202">
        <f t="shared" si="62"/>
        <v>8</v>
      </c>
      <c r="W125" s="32"/>
      <c r="X125" s="32"/>
      <c r="Y125" s="205">
        <f t="shared" si="63"/>
        <v>0</v>
      </c>
      <c r="Z125" s="38"/>
      <c r="AA125" s="15"/>
      <c r="AB125" s="15"/>
      <c r="AC125" s="15"/>
      <c r="AD125" s="15"/>
      <c r="AE125" s="15"/>
      <c r="AF125" s="15"/>
      <c r="AG125" s="184"/>
      <c r="AH125" s="15"/>
      <c r="AI125" s="15"/>
      <c r="AJ125" s="15"/>
      <c r="AK125" s="15"/>
      <c r="AL125" s="15"/>
      <c r="AM125" s="15"/>
      <c r="AN125" s="184"/>
      <c r="AO125" s="15"/>
      <c r="AP125" s="15"/>
      <c r="AQ125" s="15"/>
      <c r="AR125" s="15"/>
      <c r="AS125" s="15"/>
      <c r="AT125" s="15"/>
      <c r="AU125" s="184"/>
      <c r="AV125" s="15"/>
      <c r="AW125" s="15"/>
      <c r="AX125" s="15"/>
      <c r="AY125" s="15"/>
      <c r="AZ125" s="15"/>
      <c r="BA125" s="15"/>
      <c r="BB125" s="184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84"/>
      <c r="CE125" s="15"/>
      <c r="CF125" s="15"/>
      <c r="CG125" s="15"/>
      <c r="CH125" s="15"/>
      <c r="CI125" s="15"/>
      <c r="CJ125" s="15"/>
      <c r="CK125" s="184"/>
      <c r="CL125" s="15"/>
      <c r="CM125" s="15"/>
      <c r="CN125" s="15"/>
      <c r="CO125" s="15"/>
      <c r="CP125" s="15"/>
      <c r="CQ125" s="15"/>
      <c r="CR125" s="184"/>
      <c r="CS125" s="15"/>
      <c r="CT125" s="15"/>
      <c r="CU125" s="15"/>
      <c r="CV125" s="15"/>
      <c r="CW125" s="15"/>
      <c r="CX125" s="15"/>
      <c r="CY125" s="184"/>
      <c r="CZ125" s="15"/>
      <c r="DA125" s="15"/>
      <c r="DB125" s="15"/>
      <c r="DC125" s="15"/>
      <c r="DD125" s="15"/>
      <c r="DE125" s="15"/>
      <c r="DF125" s="184"/>
      <c r="DG125" s="15"/>
      <c r="DH125" s="15"/>
      <c r="DI125" s="15"/>
      <c r="DJ125" s="15"/>
      <c r="DK125" s="15"/>
      <c r="DL125" s="15"/>
      <c r="DM125" s="184"/>
      <c r="DN125" s="15"/>
      <c r="DO125" s="15"/>
      <c r="DP125" s="15"/>
      <c r="DQ125" s="15"/>
      <c r="DR125" s="15"/>
      <c r="DS125" s="15"/>
      <c r="DT125" s="184"/>
      <c r="DU125" s="15"/>
      <c r="DV125" s="15"/>
      <c r="DW125" s="15"/>
      <c r="DX125" s="15"/>
      <c r="DY125" s="15"/>
      <c r="DZ125" s="15"/>
      <c r="EA125" s="184"/>
      <c r="EB125" s="15"/>
      <c r="EC125" s="15"/>
      <c r="ED125" s="15"/>
      <c r="EE125" s="15"/>
      <c r="EF125" s="15"/>
      <c r="EG125" s="15"/>
      <c r="EH125" s="184"/>
      <c r="EI125" s="15"/>
      <c r="EJ125" s="15"/>
      <c r="EK125" s="15"/>
      <c r="EL125" s="15"/>
      <c r="EM125" s="15"/>
      <c r="EN125" s="15"/>
      <c r="EO125" s="184"/>
      <c r="EP125" s="15"/>
      <c r="EQ125" s="15"/>
      <c r="ER125" s="15"/>
      <c r="ES125" s="15"/>
      <c r="ET125" s="15"/>
      <c r="EU125" s="15"/>
      <c r="EV125" s="184"/>
      <c r="EW125" s="15"/>
      <c r="EX125" s="15"/>
      <c r="EY125" s="15"/>
      <c r="EZ125" s="15"/>
      <c r="FA125" s="15"/>
      <c r="FB125" s="15"/>
      <c r="FC125" s="184"/>
      <c r="FD125" s="15"/>
      <c r="FE125" s="15"/>
      <c r="FF125" s="15"/>
      <c r="FG125" s="15"/>
      <c r="FH125" s="15"/>
      <c r="FI125" s="15"/>
      <c r="FJ125" s="184"/>
      <c r="FK125" s="15"/>
      <c r="FL125" s="15"/>
      <c r="FM125" s="15"/>
      <c r="FN125" s="15"/>
      <c r="FO125" s="15"/>
      <c r="FP125" s="15"/>
      <c r="FQ125" s="184"/>
      <c r="FR125" s="15"/>
      <c r="FS125" s="15"/>
      <c r="FT125" s="15"/>
      <c r="FU125" s="15"/>
      <c r="FV125" s="15"/>
      <c r="FW125" s="178"/>
      <c r="FX125" s="184"/>
      <c r="FY125" s="181"/>
      <c r="FZ125" s="15"/>
      <c r="GA125" s="15"/>
      <c r="GB125" s="15"/>
      <c r="GC125" s="15"/>
      <c r="GD125" s="15"/>
      <c r="GE125" s="184"/>
      <c r="GF125" s="15"/>
      <c r="GG125" s="15"/>
      <c r="GH125" s="15"/>
      <c r="GI125" s="15"/>
      <c r="GJ125" s="15"/>
      <c r="GK125" s="15"/>
      <c r="GL125" s="184"/>
      <c r="GM125" s="15"/>
      <c r="GN125" s="15"/>
      <c r="GO125" s="15"/>
      <c r="GP125" s="15"/>
      <c r="GQ125" s="15"/>
      <c r="GR125" s="15"/>
      <c r="GS125" s="184"/>
      <c r="GT125" s="15"/>
      <c r="GU125" s="15"/>
      <c r="GV125" s="15"/>
      <c r="GW125" s="15"/>
      <c r="GX125" s="15"/>
      <c r="GY125" s="15"/>
      <c r="GZ125" s="184"/>
      <c r="HA125" s="15"/>
      <c r="HB125" s="15"/>
      <c r="HC125" s="15"/>
      <c r="HD125" s="15"/>
      <c r="HE125" s="15"/>
      <c r="HF125" s="15"/>
      <c r="HG125" s="184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  <c r="MG125" s="15"/>
      <c r="MH125" s="15"/>
      <c r="MI125" s="15"/>
      <c r="MJ125" s="15"/>
      <c r="MK125" s="15"/>
      <c r="ML125" s="15"/>
      <c r="MM125" s="15"/>
      <c r="MN125" s="15"/>
      <c r="MO125" s="15"/>
      <c r="MP125" s="15"/>
      <c r="MQ125" s="15"/>
      <c r="MR125" s="15"/>
      <c r="MS125" s="15"/>
      <c r="MT125" s="15"/>
      <c r="MU125" s="15"/>
      <c r="MV125" s="15"/>
      <c r="MW125" s="15"/>
      <c r="MX125" s="15"/>
      <c r="MY125" s="15"/>
      <c r="MZ125" s="15"/>
      <c r="NA125" s="15"/>
      <c r="NB125" s="15"/>
      <c r="NC125" s="15"/>
      <c r="ND125" s="15"/>
      <c r="NE125" s="15"/>
      <c r="NF125" s="15"/>
      <c r="NG125" s="15"/>
      <c r="NH125" s="15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5"/>
      <c r="NT125" s="15"/>
      <c r="NU125" s="15"/>
      <c r="NV125" s="15"/>
      <c r="NW125" s="15"/>
      <c r="NX125" s="15"/>
      <c r="NY125" s="15"/>
      <c r="NZ125" s="15"/>
    </row>
    <row r="126" spans="2:390" ht="19.5" customHeight="1" x14ac:dyDescent="0.45">
      <c r="B126" s="1">
        <f t="shared" ref="B126:B165" si="82">+B125</f>
        <v>4</v>
      </c>
      <c r="C126" s="1">
        <f>+C125+1</f>
        <v>1</v>
      </c>
      <c r="D126" s="1">
        <v>0</v>
      </c>
      <c r="E126" s="93" t="str">
        <f t="shared" si="81"/>
        <v>4.1.0</v>
      </c>
      <c r="F126" s="99" t="s">
        <v>137</v>
      </c>
      <c r="G126" s="99"/>
      <c r="H126" s="100"/>
      <c r="I126" s="100"/>
      <c r="J126" s="101"/>
      <c r="K126" s="101"/>
      <c r="L126" s="101"/>
      <c r="M126" s="99"/>
      <c r="N126" s="99"/>
      <c r="O126" s="95">
        <f>SUM(O127:O130)</f>
        <v>24</v>
      </c>
      <c r="P126" s="95"/>
      <c r="Q126" s="95"/>
      <c r="R126" s="168"/>
      <c r="S126" s="98"/>
      <c r="T126" s="163" t="str">
        <f t="shared" si="61"/>
        <v/>
      </c>
      <c r="U126" s="164">
        <f>+SUMPRODUCT(U127:U130,O127:O130)/O126</f>
        <v>0</v>
      </c>
      <c r="V126" s="200">
        <f t="shared" si="62"/>
        <v>0</v>
      </c>
      <c r="W126" s="158">
        <f>SUMIFS($AA126:$NZ126, $AA$8:$NZ$8, $W$12)/$O126</f>
        <v>0</v>
      </c>
      <c r="X126" s="159">
        <f>SUMIF($AA$9:$NZ$9, "&lt;=" &amp; $W$11,$AA126:$NZ126)/$O126</f>
        <v>0</v>
      </c>
      <c r="Y126" s="199">
        <f t="shared" si="63"/>
        <v>0</v>
      </c>
      <c r="Z126" s="36"/>
      <c r="AA126" s="15"/>
      <c r="AB126" s="15"/>
      <c r="AC126" s="15"/>
      <c r="AD126" s="15"/>
      <c r="AE126" s="15"/>
      <c r="AF126" s="15"/>
      <c r="AG126" s="184"/>
      <c r="AH126" s="15"/>
      <c r="AI126" s="15"/>
      <c r="AJ126" s="15"/>
      <c r="AK126" s="15"/>
      <c r="AL126" s="15"/>
      <c r="AM126" s="15"/>
      <c r="AN126" s="184"/>
      <c r="AO126" s="15"/>
      <c r="AP126" s="15"/>
      <c r="AQ126" s="15"/>
      <c r="AR126" s="15"/>
      <c r="AS126" s="15"/>
      <c r="AT126" s="15"/>
      <c r="AU126" s="184"/>
      <c r="AV126" s="15"/>
      <c r="AW126" s="15"/>
      <c r="AX126" s="15"/>
      <c r="AY126" s="15"/>
      <c r="AZ126" s="15"/>
      <c r="BA126" s="15"/>
      <c r="BB126" s="184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84"/>
      <c r="CE126" s="15"/>
      <c r="CF126" s="15"/>
      <c r="CG126" s="15"/>
      <c r="CH126" s="15"/>
      <c r="CI126" s="15"/>
      <c r="CJ126" s="15"/>
      <c r="CK126" s="184"/>
      <c r="CL126" s="15"/>
      <c r="CM126" s="15"/>
      <c r="CN126" s="15"/>
      <c r="CO126" s="15"/>
      <c r="CP126" s="15"/>
      <c r="CQ126" s="15"/>
      <c r="CR126" s="184"/>
      <c r="CS126" s="15"/>
      <c r="CT126" s="15"/>
      <c r="CU126" s="15"/>
      <c r="CV126" s="15"/>
      <c r="CW126" s="15"/>
      <c r="CX126" s="15"/>
      <c r="CY126" s="184"/>
      <c r="CZ126" s="15"/>
      <c r="DA126" s="15"/>
      <c r="DB126" s="15"/>
      <c r="DC126" s="15"/>
      <c r="DD126" s="15"/>
      <c r="DE126" s="15"/>
      <c r="DF126" s="184"/>
      <c r="DG126" s="15"/>
      <c r="DH126" s="15"/>
      <c r="DI126" s="15"/>
      <c r="DJ126" s="15"/>
      <c r="DK126" s="15"/>
      <c r="DL126" s="15"/>
      <c r="DM126" s="184"/>
      <c r="DN126" s="15"/>
      <c r="DO126" s="15"/>
      <c r="DP126" s="15"/>
      <c r="DQ126" s="15"/>
      <c r="DR126" s="15"/>
      <c r="DS126" s="15"/>
      <c r="DT126" s="184"/>
      <c r="DU126" s="15"/>
      <c r="DV126" s="15"/>
      <c r="DW126" s="15"/>
      <c r="DX126" s="15"/>
      <c r="DY126" s="15"/>
      <c r="DZ126" s="15"/>
      <c r="EA126" s="184"/>
      <c r="EB126" s="15"/>
      <c r="EC126" s="15"/>
      <c r="ED126" s="15"/>
      <c r="EE126" s="15"/>
      <c r="EF126" s="15"/>
      <c r="EG126" s="15"/>
      <c r="EH126" s="184"/>
      <c r="EI126" s="15"/>
      <c r="EJ126" s="15"/>
      <c r="EK126" s="15"/>
      <c r="EL126" s="15"/>
      <c r="EM126" s="15"/>
      <c r="EN126" s="15"/>
      <c r="EO126" s="184"/>
      <c r="EP126" s="15"/>
      <c r="EQ126" s="15"/>
      <c r="ER126" s="15"/>
      <c r="ES126" s="15"/>
      <c r="ET126" s="15"/>
      <c r="EU126" s="15"/>
      <c r="EV126" s="184"/>
      <c r="EW126" s="15"/>
      <c r="EX126" s="15"/>
      <c r="EY126" s="15"/>
      <c r="EZ126" s="15"/>
      <c r="FA126" s="15"/>
      <c r="FB126" s="15"/>
      <c r="FC126" s="184"/>
      <c r="FD126" s="15"/>
      <c r="FE126" s="15"/>
      <c r="FF126" s="15"/>
      <c r="FG126" s="15"/>
      <c r="FH126" s="15"/>
      <c r="FI126" s="15"/>
      <c r="FJ126" s="184"/>
      <c r="FK126" s="15"/>
      <c r="FL126" s="15"/>
      <c r="FM126" s="15"/>
      <c r="FN126" s="15"/>
      <c r="FO126" s="15"/>
      <c r="FP126" s="15"/>
      <c r="FQ126" s="184"/>
      <c r="FR126" s="15"/>
      <c r="FS126" s="15"/>
      <c r="FT126" s="15"/>
      <c r="FU126" s="15"/>
      <c r="FV126" s="15"/>
      <c r="FW126" s="178"/>
      <c r="FX126" s="184"/>
      <c r="FY126" s="181"/>
      <c r="FZ126" s="15"/>
      <c r="GA126" s="15"/>
      <c r="GB126" s="15"/>
      <c r="GC126" s="15"/>
      <c r="GD126" s="15"/>
      <c r="GE126" s="184"/>
      <c r="GF126" s="15"/>
      <c r="GG126" s="15"/>
      <c r="GH126" s="15"/>
      <c r="GI126" s="15"/>
      <c r="GJ126" s="15"/>
      <c r="GK126" s="15"/>
      <c r="GL126" s="184"/>
      <c r="GM126" s="15"/>
      <c r="GN126" s="15"/>
      <c r="GO126" s="15"/>
      <c r="GP126" s="15"/>
      <c r="GQ126" s="15"/>
      <c r="GR126" s="15"/>
      <c r="GS126" s="184"/>
      <c r="GT126" s="15"/>
      <c r="GU126" s="15"/>
      <c r="GV126" s="15"/>
      <c r="GW126" s="15"/>
      <c r="GX126" s="15"/>
      <c r="GY126" s="15"/>
      <c r="GZ126" s="184"/>
      <c r="HA126" s="15"/>
      <c r="HB126" s="15"/>
      <c r="HC126" s="15"/>
      <c r="HD126" s="15"/>
      <c r="HE126" s="15"/>
      <c r="HF126" s="15"/>
      <c r="HG126" s="184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/>
      <c r="KE126" s="15"/>
      <c r="KF126" s="15"/>
      <c r="KG126" s="15"/>
      <c r="KH126" s="15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5"/>
      <c r="KT126" s="15"/>
      <c r="KU126" s="15"/>
      <c r="KV126" s="15"/>
      <c r="KW126" s="15"/>
      <c r="KX126" s="15"/>
      <c r="KY126" s="15"/>
      <c r="KZ126" s="15"/>
      <c r="LA126" s="15"/>
      <c r="LB126" s="15"/>
      <c r="LC126" s="15"/>
      <c r="LD126" s="15"/>
      <c r="LE126" s="15"/>
      <c r="LF126" s="15"/>
      <c r="LG126" s="15"/>
      <c r="LH126" s="15"/>
      <c r="LI126" s="15"/>
      <c r="LJ126" s="15"/>
      <c r="LK126" s="15"/>
      <c r="LL126" s="15"/>
      <c r="LM126" s="15"/>
      <c r="LN126" s="15"/>
      <c r="LO126" s="15"/>
      <c r="LP126" s="15"/>
      <c r="LQ126" s="15"/>
      <c r="LR126" s="15"/>
      <c r="LS126" s="15"/>
      <c r="LT126" s="15"/>
      <c r="LU126" s="15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5"/>
      <c r="MG126" s="15"/>
      <c r="MH126" s="15"/>
      <c r="MI126" s="15"/>
      <c r="MJ126" s="15"/>
      <c r="MK126" s="15"/>
      <c r="ML126" s="15"/>
      <c r="MM126" s="15"/>
      <c r="MN126" s="15"/>
      <c r="MO126" s="15"/>
      <c r="MP126" s="15"/>
      <c r="MQ126" s="15"/>
      <c r="MR126" s="15"/>
      <c r="MS126" s="15"/>
      <c r="MT126" s="15"/>
      <c r="MU126" s="15"/>
      <c r="MV126" s="15"/>
      <c r="MW126" s="15"/>
      <c r="MX126" s="15"/>
      <c r="MY126" s="15"/>
      <c r="MZ126" s="15"/>
      <c r="NA126" s="15"/>
      <c r="NB126" s="15"/>
      <c r="NC126" s="15"/>
      <c r="ND126" s="15"/>
      <c r="NE126" s="15"/>
      <c r="NF126" s="15"/>
      <c r="NG126" s="15"/>
      <c r="NH126" s="15"/>
      <c r="NI126" s="15"/>
      <c r="NJ126" s="15"/>
      <c r="NK126" s="15"/>
      <c r="NL126" s="15"/>
      <c r="NM126" s="15"/>
      <c r="NN126" s="15"/>
      <c r="NO126" s="15"/>
      <c r="NP126" s="15"/>
      <c r="NQ126" s="15"/>
      <c r="NR126" s="15"/>
      <c r="NS126" s="15"/>
      <c r="NT126" s="15"/>
      <c r="NU126" s="15"/>
      <c r="NV126" s="15"/>
      <c r="NW126" s="15"/>
      <c r="NX126" s="15"/>
      <c r="NY126" s="15"/>
      <c r="NZ126" s="15"/>
    </row>
    <row r="127" spans="2:390" ht="19.5" customHeight="1" x14ac:dyDescent="0.45">
      <c r="B127" s="1">
        <f t="shared" si="82"/>
        <v>4</v>
      </c>
      <c r="C127" s="1">
        <f>+C126</f>
        <v>1</v>
      </c>
      <c r="D127" s="1">
        <f>+D126+1</f>
        <v>1</v>
      </c>
      <c r="E127" s="59" t="str">
        <f t="shared" si="81"/>
        <v>4.1.1</v>
      </c>
      <c r="F127" s="23" t="s">
        <v>88</v>
      </c>
      <c r="G127" s="23"/>
      <c r="H127" s="52" t="s">
        <v>117</v>
      </c>
      <c r="I127" s="118"/>
      <c r="J127" s="118"/>
      <c r="K127" s="119"/>
      <c r="L127" s="119"/>
      <c r="M127" s="120"/>
      <c r="N127" s="120"/>
      <c r="O127" s="121"/>
      <c r="P127" s="121"/>
      <c r="Q127" s="121"/>
      <c r="R127" s="187"/>
      <c r="S127" s="64"/>
      <c r="T127" s="155" t="str">
        <f t="shared" si="61"/>
        <v/>
      </c>
      <c r="U127" s="22"/>
      <c r="V127" s="199">
        <f t="shared" si="62"/>
        <v>0</v>
      </c>
      <c r="W127" s="158"/>
      <c r="X127" s="159"/>
      <c r="Y127" s="199">
        <f t="shared" si="63"/>
        <v>0</v>
      </c>
      <c r="Z127" s="36"/>
      <c r="AA127" s="15"/>
      <c r="AB127" s="15"/>
      <c r="AC127" s="15"/>
      <c r="AD127" s="15"/>
      <c r="AE127" s="15"/>
      <c r="AF127" s="15"/>
      <c r="AG127" s="184"/>
      <c r="AH127" s="15"/>
      <c r="AI127" s="15"/>
      <c r="AJ127" s="15"/>
      <c r="AK127" s="15"/>
      <c r="AL127" s="15"/>
      <c r="AM127" s="15"/>
      <c r="AN127" s="184"/>
      <c r="AO127" s="15"/>
      <c r="AP127" s="15"/>
      <c r="AQ127" s="15"/>
      <c r="AR127" s="15"/>
      <c r="AS127" s="15"/>
      <c r="AT127" s="15"/>
      <c r="AU127" s="184"/>
      <c r="AV127" s="15"/>
      <c r="AW127" s="15"/>
      <c r="AX127" s="15"/>
      <c r="AY127" s="15"/>
      <c r="AZ127" s="15"/>
      <c r="BA127" s="15"/>
      <c r="BB127" s="184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84"/>
      <c r="CE127" s="15"/>
      <c r="CF127" s="15"/>
      <c r="CG127" s="15"/>
      <c r="CH127" s="15"/>
      <c r="CI127" s="15"/>
      <c r="CJ127" s="15"/>
      <c r="CK127" s="184"/>
      <c r="CL127" s="15"/>
      <c r="CM127" s="15"/>
      <c r="CN127" s="15"/>
      <c r="CO127" s="15"/>
      <c r="CP127" s="15"/>
      <c r="CQ127" s="15"/>
      <c r="CR127" s="184"/>
      <c r="CS127" s="15"/>
      <c r="CT127" s="15"/>
      <c r="CU127" s="15"/>
      <c r="CV127" s="15"/>
      <c r="CW127" s="15"/>
      <c r="CX127" s="15"/>
      <c r="CY127" s="184"/>
      <c r="CZ127" s="15"/>
      <c r="DA127" s="15"/>
      <c r="DB127" s="15"/>
      <c r="DC127" s="15"/>
      <c r="DD127" s="15"/>
      <c r="DE127" s="15"/>
      <c r="DF127" s="184"/>
      <c r="DG127" s="15"/>
      <c r="DH127" s="15"/>
      <c r="DI127" s="15"/>
      <c r="DJ127" s="15"/>
      <c r="DK127" s="15"/>
      <c r="DL127" s="15"/>
      <c r="DM127" s="184"/>
      <c r="DN127" s="15"/>
      <c r="DO127" s="15"/>
      <c r="DP127" s="15"/>
      <c r="DQ127" s="15"/>
      <c r="DR127" s="15"/>
      <c r="DS127" s="15"/>
      <c r="DT127" s="184"/>
      <c r="DU127" s="15"/>
      <c r="DV127" s="15"/>
      <c r="DW127" s="15"/>
      <c r="DX127" s="15"/>
      <c r="DY127" s="15"/>
      <c r="DZ127" s="15"/>
      <c r="EA127" s="184"/>
      <c r="EB127" s="15"/>
      <c r="EC127" s="15"/>
      <c r="ED127" s="15"/>
      <c r="EE127" s="15"/>
      <c r="EF127" s="15"/>
      <c r="EG127" s="15"/>
      <c r="EH127" s="184"/>
      <c r="EI127" s="15"/>
      <c r="EJ127" s="15"/>
      <c r="EK127" s="15"/>
      <c r="EL127" s="15"/>
      <c r="EM127" s="15"/>
      <c r="EN127" s="15"/>
      <c r="EO127" s="184"/>
      <c r="EP127" s="15"/>
      <c r="EQ127" s="15"/>
      <c r="ER127" s="15"/>
      <c r="ES127" s="15"/>
      <c r="ET127" s="15"/>
      <c r="EU127" s="15"/>
      <c r="EV127" s="184"/>
      <c r="EW127" s="15"/>
      <c r="EX127" s="15"/>
      <c r="EY127" s="15"/>
      <c r="EZ127" s="15"/>
      <c r="FA127" s="15"/>
      <c r="FB127" s="15"/>
      <c r="FC127" s="184"/>
      <c r="FD127" s="15"/>
      <c r="FE127" s="15"/>
      <c r="FF127" s="15"/>
      <c r="FG127" s="15"/>
      <c r="FH127" s="15"/>
      <c r="FI127" s="15"/>
      <c r="FJ127" s="184"/>
      <c r="FK127" s="15"/>
      <c r="FL127" s="15"/>
      <c r="FM127" s="15"/>
      <c r="FN127" s="15"/>
      <c r="FO127" s="15"/>
      <c r="FP127" s="15"/>
      <c r="FQ127" s="184"/>
      <c r="FR127" s="15"/>
      <c r="FS127" s="15"/>
      <c r="FT127" s="15"/>
      <c r="FU127" s="15"/>
      <c r="FV127" s="15"/>
      <c r="FW127" s="178"/>
      <c r="FX127" s="184"/>
      <c r="FY127" s="181"/>
      <c r="FZ127" s="15"/>
      <c r="GA127" s="15"/>
      <c r="GB127" s="15"/>
      <c r="GC127" s="15"/>
      <c r="GD127" s="15"/>
      <c r="GE127" s="184"/>
      <c r="GF127" s="15"/>
      <c r="GG127" s="15"/>
      <c r="GH127" s="15"/>
      <c r="GI127" s="15"/>
      <c r="GJ127" s="15"/>
      <c r="GK127" s="15"/>
      <c r="GL127" s="184"/>
      <c r="GM127" s="15"/>
      <c r="GN127" s="15"/>
      <c r="GO127" s="15"/>
      <c r="GP127" s="15"/>
      <c r="GQ127" s="15"/>
      <c r="GR127" s="15"/>
      <c r="GS127" s="184"/>
      <c r="GT127" s="15"/>
      <c r="GU127" s="15"/>
      <c r="GV127" s="15"/>
      <c r="GW127" s="15"/>
      <c r="GX127" s="15"/>
      <c r="GY127" s="15"/>
      <c r="GZ127" s="184"/>
      <c r="HA127" s="15"/>
      <c r="HB127" s="15"/>
      <c r="HC127" s="15"/>
      <c r="HD127" s="15"/>
      <c r="HE127" s="15"/>
      <c r="HF127" s="15"/>
      <c r="HG127" s="184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  <c r="MH127" s="15"/>
      <c r="MI127" s="15"/>
      <c r="MJ127" s="15"/>
      <c r="MK127" s="15"/>
      <c r="ML127" s="15"/>
      <c r="MM127" s="15"/>
      <c r="MN127" s="15"/>
      <c r="MO127" s="15"/>
      <c r="MP127" s="15"/>
      <c r="MQ127" s="15"/>
      <c r="MR127" s="15"/>
      <c r="MS127" s="15"/>
      <c r="MT127" s="15"/>
      <c r="MU127" s="15"/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</row>
    <row r="128" spans="2:390" ht="19.5" customHeight="1" x14ac:dyDescent="0.45">
      <c r="B128" s="1">
        <f t="shared" si="82"/>
        <v>4</v>
      </c>
      <c r="C128" s="1">
        <f>+C127</f>
        <v>1</v>
      </c>
      <c r="D128" s="1">
        <f>+D127+1</f>
        <v>2</v>
      </c>
      <c r="E128" s="59" t="str">
        <f t="shared" si="81"/>
        <v>4.1.2</v>
      </c>
      <c r="F128" s="23" t="s">
        <v>89</v>
      </c>
      <c r="G128" s="23"/>
      <c r="H128" s="73" t="s">
        <v>120</v>
      </c>
      <c r="I128" s="195"/>
      <c r="J128" s="122"/>
      <c r="K128" s="123"/>
      <c r="L128" s="123"/>
      <c r="M128" s="124"/>
      <c r="N128" s="124"/>
      <c r="O128" s="140"/>
      <c r="P128" s="140"/>
      <c r="Q128" s="140"/>
      <c r="R128" s="187"/>
      <c r="S128" s="64"/>
      <c r="T128" s="155" t="str">
        <f t="shared" si="61"/>
        <v/>
      </c>
      <c r="U128" s="22"/>
      <c r="V128" s="199">
        <f t="shared" si="62"/>
        <v>0</v>
      </c>
      <c r="W128" s="158"/>
      <c r="X128" s="159"/>
      <c r="Y128" s="199">
        <f t="shared" si="63"/>
        <v>0</v>
      </c>
      <c r="Z128" s="36"/>
      <c r="AA128" s="15"/>
      <c r="AB128" s="15"/>
      <c r="AC128" s="15"/>
      <c r="AD128" s="15"/>
      <c r="AE128" s="15"/>
      <c r="AF128" s="15"/>
      <c r="AG128" s="184"/>
      <c r="AH128" s="15"/>
      <c r="AI128" s="15"/>
      <c r="AJ128" s="15"/>
      <c r="AK128" s="15"/>
      <c r="AL128" s="15"/>
      <c r="AM128" s="15"/>
      <c r="AN128" s="184"/>
      <c r="AO128" s="15"/>
      <c r="AP128" s="15"/>
      <c r="AQ128" s="15"/>
      <c r="AR128" s="15"/>
      <c r="AS128" s="15"/>
      <c r="AT128" s="15"/>
      <c r="AU128" s="184"/>
      <c r="AV128" s="15"/>
      <c r="AW128" s="15"/>
      <c r="AX128" s="15"/>
      <c r="AY128" s="15"/>
      <c r="AZ128" s="15"/>
      <c r="BA128" s="15"/>
      <c r="BB128" s="184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84"/>
      <c r="CE128" s="15"/>
      <c r="CF128" s="15"/>
      <c r="CG128" s="15"/>
      <c r="CH128" s="15"/>
      <c r="CI128" s="15"/>
      <c r="CJ128" s="15"/>
      <c r="CK128" s="184"/>
      <c r="CL128" s="15"/>
      <c r="CM128" s="15"/>
      <c r="CN128" s="15"/>
      <c r="CO128" s="15"/>
      <c r="CP128" s="15"/>
      <c r="CQ128" s="15"/>
      <c r="CR128" s="184"/>
      <c r="CS128" s="15"/>
      <c r="CT128" s="15"/>
      <c r="CU128" s="15"/>
      <c r="CV128" s="15"/>
      <c r="CW128" s="15"/>
      <c r="CX128" s="15"/>
      <c r="CY128" s="184"/>
      <c r="CZ128" s="15"/>
      <c r="DA128" s="15"/>
      <c r="DB128" s="15"/>
      <c r="DC128" s="15"/>
      <c r="DD128" s="15"/>
      <c r="DE128" s="15"/>
      <c r="DF128" s="184"/>
      <c r="DG128" s="15"/>
      <c r="DH128" s="15"/>
      <c r="DI128" s="15"/>
      <c r="DJ128" s="15"/>
      <c r="DK128" s="15"/>
      <c r="DL128" s="15"/>
      <c r="DM128" s="184"/>
      <c r="DN128" s="15"/>
      <c r="DO128" s="15"/>
      <c r="DP128" s="15"/>
      <c r="DQ128" s="15"/>
      <c r="DR128" s="15"/>
      <c r="DS128" s="15"/>
      <c r="DT128" s="184"/>
      <c r="DU128" s="15"/>
      <c r="DV128" s="15"/>
      <c r="DW128" s="15"/>
      <c r="DX128" s="15"/>
      <c r="DY128" s="15"/>
      <c r="DZ128" s="15"/>
      <c r="EA128" s="184"/>
      <c r="EB128" s="15"/>
      <c r="EC128" s="15"/>
      <c r="ED128" s="15"/>
      <c r="EE128" s="15"/>
      <c r="EF128" s="15"/>
      <c r="EG128" s="15"/>
      <c r="EH128" s="184"/>
      <c r="EI128" s="15"/>
      <c r="EJ128" s="15"/>
      <c r="EK128" s="15"/>
      <c r="EL128" s="15"/>
      <c r="EM128" s="15"/>
      <c r="EN128" s="15"/>
      <c r="EO128" s="184"/>
      <c r="EP128" s="15"/>
      <c r="EQ128" s="15"/>
      <c r="ER128" s="15"/>
      <c r="ES128" s="15"/>
      <c r="ET128" s="15"/>
      <c r="EU128" s="15"/>
      <c r="EV128" s="184"/>
      <c r="EW128" s="15"/>
      <c r="EX128" s="15"/>
      <c r="EY128" s="15"/>
      <c r="EZ128" s="15"/>
      <c r="FA128" s="15"/>
      <c r="FB128" s="15"/>
      <c r="FC128" s="184"/>
      <c r="FD128" s="15"/>
      <c r="FE128" s="15"/>
      <c r="FF128" s="15"/>
      <c r="FG128" s="15"/>
      <c r="FH128" s="15"/>
      <c r="FI128" s="15"/>
      <c r="FJ128" s="184"/>
      <c r="FK128" s="15"/>
      <c r="FL128" s="15"/>
      <c r="FM128" s="15"/>
      <c r="FN128" s="15"/>
      <c r="FO128" s="15"/>
      <c r="FP128" s="15"/>
      <c r="FQ128" s="184"/>
      <c r="FR128" s="15"/>
      <c r="FS128" s="15"/>
      <c r="FT128" s="15"/>
      <c r="FU128" s="15"/>
      <c r="FV128" s="15"/>
      <c r="FW128" s="178"/>
      <c r="FX128" s="184"/>
      <c r="FY128" s="181"/>
      <c r="FZ128" s="15"/>
      <c r="GA128" s="15"/>
      <c r="GB128" s="15"/>
      <c r="GC128" s="15"/>
      <c r="GD128" s="15"/>
      <c r="GE128" s="184"/>
      <c r="GF128" s="15"/>
      <c r="GG128" s="15"/>
      <c r="GH128" s="15"/>
      <c r="GI128" s="15"/>
      <c r="GJ128" s="15"/>
      <c r="GK128" s="15"/>
      <c r="GL128" s="184"/>
      <c r="GM128" s="15"/>
      <c r="GN128" s="15"/>
      <c r="GO128" s="15"/>
      <c r="GP128" s="15"/>
      <c r="GQ128" s="15"/>
      <c r="GR128" s="15"/>
      <c r="GS128" s="184"/>
      <c r="GT128" s="15"/>
      <c r="GU128" s="15"/>
      <c r="GV128" s="15"/>
      <c r="GW128" s="15"/>
      <c r="GX128" s="15"/>
      <c r="GY128" s="15"/>
      <c r="GZ128" s="184"/>
      <c r="HA128" s="15"/>
      <c r="HB128" s="15"/>
      <c r="HC128" s="15"/>
      <c r="HD128" s="15"/>
      <c r="HE128" s="15"/>
      <c r="HF128" s="15"/>
      <c r="HG128" s="184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/>
      <c r="LI128" s="15"/>
      <c r="LJ128" s="15"/>
      <c r="LK128" s="15"/>
      <c r="LL128" s="15"/>
      <c r="LM128" s="15"/>
      <c r="LN128" s="15"/>
      <c r="LO128" s="15"/>
      <c r="LP128" s="15"/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  <c r="MG128" s="15"/>
      <c r="MH128" s="15"/>
      <c r="MI128" s="15"/>
      <c r="MJ128" s="15"/>
      <c r="MK128" s="15"/>
      <c r="ML128" s="15"/>
      <c r="MM128" s="15"/>
      <c r="MN128" s="15"/>
      <c r="MO128" s="15"/>
      <c r="MP128" s="15"/>
      <c r="MQ128" s="15"/>
      <c r="MR128" s="15"/>
      <c r="MS128" s="15"/>
      <c r="MT128" s="15"/>
      <c r="MU128" s="15"/>
      <c r="MV128" s="15"/>
      <c r="MW128" s="15"/>
      <c r="MX128" s="15"/>
      <c r="MY128" s="15"/>
      <c r="MZ128" s="15"/>
      <c r="NA128" s="15"/>
      <c r="NB128" s="15"/>
      <c r="NC128" s="15"/>
      <c r="ND128" s="15"/>
      <c r="NE128" s="15"/>
      <c r="NF128" s="15"/>
      <c r="NG128" s="15"/>
      <c r="NH128" s="15"/>
      <c r="NI128" s="15"/>
      <c r="NJ128" s="15"/>
      <c r="NK128" s="15"/>
      <c r="NL128" s="15"/>
      <c r="NM128" s="15"/>
      <c r="NN128" s="15"/>
      <c r="NO128" s="15"/>
      <c r="NP128" s="15"/>
      <c r="NQ128" s="15"/>
      <c r="NR128" s="15"/>
      <c r="NS128" s="15"/>
      <c r="NT128" s="15"/>
      <c r="NU128" s="15"/>
      <c r="NV128" s="15"/>
      <c r="NW128" s="15"/>
      <c r="NX128" s="15"/>
      <c r="NY128" s="15"/>
      <c r="NZ128" s="15"/>
    </row>
    <row r="129" spans="2:390" ht="19.5" customHeight="1" x14ac:dyDescent="0.45">
      <c r="B129" s="1">
        <f t="shared" si="82"/>
        <v>4</v>
      </c>
      <c r="C129" s="1">
        <f>+C128</f>
        <v>1</v>
      </c>
      <c r="D129" s="1">
        <f>+D128+1</f>
        <v>3</v>
      </c>
      <c r="E129" s="59" t="str">
        <f t="shared" si="81"/>
        <v>4.1.3</v>
      </c>
      <c r="F129" s="23" t="s">
        <v>90</v>
      </c>
      <c r="G129" s="23"/>
      <c r="H129" s="52" t="s">
        <v>117</v>
      </c>
      <c r="I129" s="52"/>
      <c r="J129" s="52">
        <v>10</v>
      </c>
      <c r="K129" s="52">
        <v>0</v>
      </c>
      <c r="L129" s="20">
        <f>+J129-K129</f>
        <v>10</v>
      </c>
      <c r="M129" s="52"/>
      <c r="N129" s="52"/>
      <c r="O129" s="51">
        <f t="shared" ref="O129:O164" si="83">+N129*M129</f>
        <v>0</v>
      </c>
      <c r="P129" s="51">
        <f>+SUM(AA129:NZ129)</f>
        <v>0</v>
      </c>
      <c r="Q129" s="51">
        <f>+O129-P129</f>
        <v>0</v>
      </c>
      <c r="R129" s="153"/>
      <c r="S129" s="154"/>
      <c r="T129" s="155" t="str">
        <f t="shared" si="61"/>
        <v/>
      </c>
      <c r="U129" s="22">
        <f>+K129/J129</f>
        <v>0</v>
      </c>
      <c r="V129" s="199">
        <f t="shared" si="62"/>
        <v>0</v>
      </c>
      <c r="W129" s="158"/>
      <c r="X129" s="159"/>
      <c r="Y129" s="199">
        <f t="shared" si="63"/>
        <v>0</v>
      </c>
      <c r="Z129" s="36"/>
      <c r="AA129" s="15"/>
      <c r="AB129" s="15"/>
      <c r="AC129" s="15"/>
      <c r="AD129" s="15"/>
      <c r="AE129" s="15"/>
      <c r="AF129" s="15"/>
      <c r="AG129" s="184"/>
      <c r="AH129" s="15"/>
      <c r="AI129" s="15"/>
      <c r="AJ129" s="15"/>
      <c r="AK129" s="15"/>
      <c r="AL129" s="15"/>
      <c r="AM129" s="15"/>
      <c r="AN129" s="184"/>
      <c r="AO129" s="15"/>
      <c r="AP129" s="15"/>
      <c r="AQ129" s="15"/>
      <c r="AR129" s="15"/>
      <c r="AS129" s="15"/>
      <c r="AT129" s="15"/>
      <c r="AU129" s="184"/>
      <c r="AV129" s="15"/>
      <c r="AW129" s="15"/>
      <c r="AX129" s="15"/>
      <c r="AY129" s="15"/>
      <c r="AZ129" s="15"/>
      <c r="BA129" s="15"/>
      <c r="BB129" s="184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84"/>
      <c r="CE129" s="15"/>
      <c r="CF129" s="15"/>
      <c r="CG129" s="15"/>
      <c r="CH129" s="15"/>
      <c r="CI129" s="15"/>
      <c r="CJ129" s="15"/>
      <c r="CK129" s="184"/>
      <c r="CL129" s="15"/>
      <c r="CM129" s="15"/>
      <c r="CN129" s="15"/>
      <c r="CO129" s="15"/>
      <c r="CP129" s="15"/>
      <c r="CQ129" s="15"/>
      <c r="CR129" s="184"/>
      <c r="CS129" s="15"/>
      <c r="CT129" s="15"/>
      <c r="CU129" s="15"/>
      <c r="CV129" s="15"/>
      <c r="CW129" s="15"/>
      <c r="CX129" s="15"/>
      <c r="CY129" s="184"/>
      <c r="CZ129" s="15"/>
      <c r="DA129" s="15"/>
      <c r="DB129" s="15"/>
      <c r="DC129" s="15"/>
      <c r="DD129" s="15"/>
      <c r="DE129" s="15"/>
      <c r="DF129" s="184"/>
      <c r="DG129" s="15"/>
      <c r="DH129" s="15"/>
      <c r="DI129" s="15"/>
      <c r="DJ129" s="15"/>
      <c r="DK129" s="15"/>
      <c r="DL129" s="15"/>
      <c r="DM129" s="184"/>
      <c r="DN129" s="15"/>
      <c r="DO129" s="15"/>
      <c r="DP129" s="15"/>
      <c r="DQ129" s="15"/>
      <c r="DR129" s="15"/>
      <c r="DS129" s="15"/>
      <c r="DT129" s="184"/>
      <c r="DU129" s="15"/>
      <c r="DV129" s="15"/>
      <c r="DW129" s="15"/>
      <c r="DX129" s="15"/>
      <c r="DY129" s="15"/>
      <c r="DZ129" s="15"/>
      <c r="EA129" s="184"/>
      <c r="EB129" s="15"/>
      <c r="EC129" s="15"/>
      <c r="ED129" s="15"/>
      <c r="EE129" s="15"/>
      <c r="EF129" s="15"/>
      <c r="EG129" s="15"/>
      <c r="EH129" s="184"/>
      <c r="EI129" s="15"/>
      <c r="EJ129" s="15"/>
      <c r="EK129" s="15"/>
      <c r="EL129" s="15"/>
      <c r="EM129" s="15"/>
      <c r="EN129" s="15"/>
      <c r="EO129" s="184"/>
      <c r="EP129" s="15"/>
      <c r="EQ129" s="15"/>
      <c r="ER129" s="15"/>
      <c r="ES129" s="15"/>
      <c r="ET129" s="15"/>
      <c r="EU129" s="15"/>
      <c r="EV129" s="184"/>
      <c r="EW129" s="15"/>
      <c r="EX129" s="15"/>
      <c r="EY129" s="15"/>
      <c r="EZ129" s="15"/>
      <c r="FA129" s="15"/>
      <c r="FB129" s="15"/>
      <c r="FC129" s="184"/>
      <c r="FD129" s="15"/>
      <c r="FE129" s="15"/>
      <c r="FF129" s="15"/>
      <c r="FG129" s="15"/>
      <c r="FH129" s="15"/>
      <c r="FI129" s="15"/>
      <c r="FJ129" s="184"/>
      <c r="FK129" s="15"/>
      <c r="FL129" s="15"/>
      <c r="FM129" s="15"/>
      <c r="FN129" s="15"/>
      <c r="FO129" s="15"/>
      <c r="FP129" s="15"/>
      <c r="FQ129" s="184"/>
      <c r="FR129" s="15"/>
      <c r="FS129" s="15"/>
      <c r="FT129" s="15"/>
      <c r="FU129" s="15"/>
      <c r="FV129" s="15"/>
      <c r="FW129" s="178"/>
      <c r="FX129" s="184"/>
      <c r="FY129" s="181"/>
      <c r="FZ129" s="15"/>
      <c r="GA129" s="15"/>
      <c r="GB129" s="15"/>
      <c r="GC129" s="15"/>
      <c r="GD129" s="15"/>
      <c r="GE129" s="184"/>
      <c r="GF129" s="15"/>
      <c r="GG129" s="15"/>
      <c r="GH129" s="15"/>
      <c r="GI129" s="15"/>
      <c r="GJ129" s="15"/>
      <c r="GK129" s="15"/>
      <c r="GL129" s="184"/>
      <c r="GM129" s="15"/>
      <c r="GN129" s="15"/>
      <c r="GO129" s="15"/>
      <c r="GP129" s="15"/>
      <c r="GQ129" s="15"/>
      <c r="GR129" s="15"/>
      <c r="GS129" s="184"/>
      <c r="GT129" s="15"/>
      <c r="GU129" s="15"/>
      <c r="GV129" s="15"/>
      <c r="GW129" s="15"/>
      <c r="GX129" s="15"/>
      <c r="GY129" s="15"/>
      <c r="GZ129" s="184"/>
      <c r="HA129" s="15"/>
      <c r="HB129" s="15"/>
      <c r="HC129" s="15"/>
      <c r="HD129" s="15"/>
      <c r="HE129" s="15"/>
      <c r="HF129" s="15"/>
      <c r="HG129" s="184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/>
      <c r="KE129" s="15"/>
      <c r="KF129" s="15"/>
      <c r="KG129" s="15"/>
      <c r="KH129" s="15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5"/>
      <c r="KT129" s="15"/>
      <c r="KU129" s="15"/>
      <c r="KV129" s="15"/>
      <c r="KW129" s="15"/>
      <c r="KX129" s="15"/>
      <c r="KY129" s="15"/>
      <c r="KZ129" s="15"/>
      <c r="LA129" s="15"/>
      <c r="LB129" s="15"/>
      <c r="LC129" s="15"/>
      <c r="LD129" s="15"/>
      <c r="LE129" s="15"/>
      <c r="LF129" s="15"/>
      <c r="LG129" s="15"/>
      <c r="LH129" s="15"/>
      <c r="LI129" s="15"/>
      <c r="LJ129" s="15"/>
      <c r="LK129" s="15"/>
      <c r="LL129" s="15"/>
      <c r="LM129" s="15"/>
      <c r="LN129" s="15"/>
      <c r="LO129" s="15"/>
      <c r="LP129" s="15"/>
      <c r="LQ129" s="15"/>
      <c r="LR129" s="15"/>
      <c r="LS129" s="15"/>
      <c r="LT129" s="15"/>
      <c r="LU129" s="15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5"/>
      <c r="MG129" s="15"/>
      <c r="MH129" s="15"/>
      <c r="MI129" s="15"/>
      <c r="MJ129" s="15"/>
      <c r="MK129" s="15"/>
      <c r="ML129" s="15"/>
      <c r="MM129" s="15"/>
      <c r="MN129" s="15"/>
      <c r="MO129" s="15"/>
      <c r="MP129" s="15"/>
      <c r="MQ129" s="15"/>
      <c r="MR129" s="15"/>
      <c r="MS129" s="15"/>
      <c r="MT129" s="15"/>
      <c r="MU129" s="15"/>
      <c r="MV129" s="15"/>
      <c r="MW129" s="15"/>
      <c r="MX129" s="15"/>
      <c r="MY129" s="15"/>
      <c r="MZ129" s="15"/>
      <c r="NA129" s="15"/>
      <c r="NB129" s="15"/>
      <c r="NC129" s="15"/>
      <c r="ND129" s="15"/>
      <c r="NE129" s="15"/>
      <c r="NF129" s="15"/>
      <c r="NG129" s="15"/>
      <c r="NH129" s="15"/>
      <c r="NI129" s="15"/>
      <c r="NJ129" s="15"/>
      <c r="NK129" s="15"/>
      <c r="NL129" s="15"/>
      <c r="NM129" s="15"/>
      <c r="NN129" s="15"/>
      <c r="NO129" s="15"/>
      <c r="NP129" s="15"/>
      <c r="NQ129" s="15"/>
      <c r="NR129" s="15"/>
      <c r="NS129" s="15"/>
      <c r="NT129" s="15"/>
      <c r="NU129" s="15"/>
      <c r="NV129" s="15"/>
      <c r="NW129" s="15"/>
      <c r="NX129" s="15"/>
      <c r="NY129" s="15"/>
      <c r="NZ129" s="15"/>
    </row>
    <row r="130" spans="2:390" ht="19.5" customHeight="1" x14ac:dyDescent="0.45">
      <c r="B130" s="1">
        <f t="shared" si="82"/>
        <v>4</v>
      </c>
      <c r="C130" s="1">
        <f>+C129</f>
        <v>1</v>
      </c>
      <c r="D130" s="1">
        <f>+D129+1</f>
        <v>4</v>
      </c>
      <c r="E130" s="59" t="str">
        <f t="shared" si="81"/>
        <v>4.1.4</v>
      </c>
      <c r="F130" s="23" t="s">
        <v>91</v>
      </c>
      <c r="G130" s="191">
        <v>1.5</v>
      </c>
      <c r="H130" s="52" t="s">
        <v>117</v>
      </c>
      <c r="I130" s="52" t="s">
        <v>157</v>
      </c>
      <c r="J130" s="52">
        <v>10</v>
      </c>
      <c r="K130" s="52">
        <v>0</v>
      </c>
      <c r="L130" s="20">
        <f>+J130-K130</f>
        <v>10</v>
      </c>
      <c r="M130" s="52">
        <v>2</v>
      </c>
      <c r="N130" s="52">
        <v>12</v>
      </c>
      <c r="O130" s="51">
        <f t="shared" si="83"/>
        <v>24</v>
      </c>
      <c r="P130" s="51">
        <f>+SUM(AA130:NZ130)</f>
        <v>0</v>
      </c>
      <c r="Q130" s="51">
        <f>+O130-P130</f>
        <v>24</v>
      </c>
      <c r="R130" s="153"/>
      <c r="S130" s="154"/>
      <c r="T130" s="155" t="str">
        <f t="shared" si="61"/>
        <v/>
      </c>
      <c r="U130" s="22">
        <f>+K130/J130</f>
        <v>0</v>
      </c>
      <c r="V130" s="199">
        <f t="shared" si="62"/>
        <v>0</v>
      </c>
      <c r="W130" s="158">
        <f t="shared" ref="W130:W155" si="84">SUMIFS($AA130:$NZ130, $AA$8:$NZ$8, $W$12)/$O130</f>
        <v>0</v>
      </c>
      <c r="X130" s="159">
        <f t="shared" ref="X130:X155" si="85">SUMIF($AA$9:$NZ$9, "&lt;=" &amp; $W$11,$AA130:$NZ130)/$O130</f>
        <v>0</v>
      </c>
      <c r="Y130" s="199">
        <f t="shared" si="63"/>
        <v>0</v>
      </c>
      <c r="Z130" s="36"/>
      <c r="AA130" s="15"/>
      <c r="AB130" s="15"/>
      <c r="AC130" s="15"/>
      <c r="AD130" s="15"/>
      <c r="AE130" s="15"/>
      <c r="AF130" s="15"/>
      <c r="AG130" s="184"/>
      <c r="AH130" s="15"/>
      <c r="AI130" s="15"/>
      <c r="AJ130" s="15"/>
      <c r="AK130" s="15"/>
      <c r="AL130" s="15"/>
      <c r="AM130" s="15"/>
      <c r="AN130" s="184"/>
      <c r="AO130" s="15"/>
      <c r="AP130" s="15"/>
      <c r="AQ130" s="15"/>
      <c r="AR130" s="15"/>
      <c r="AS130" s="15"/>
      <c r="AT130" s="15"/>
      <c r="AU130" s="184"/>
      <c r="AV130" s="15"/>
      <c r="AW130" s="15"/>
      <c r="AX130" s="15"/>
      <c r="AY130" s="15"/>
      <c r="AZ130" s="15"/>
      <c r="BA130" s="15"/>
      <c r="BB130" s="184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84"/>
      <c r="CE130" s="15"/>
      <c r="CF130" s="15"/>
      <c r="CG130" s="15"/>
      <c r="CH130" s="15"/>
      <c r="CI130" s="15"/>
      <c r="CJ130" s="15"/>
      <c r="CK130" s="184"/>
      <c r="CL130" s="15"/>
      <c r="CM130" s="15"/>
      <c r="CN130" s="15"/>
      <c r="CO130" s="15"/>
      <c r="CP130" s="15"/>
      <c r="CQ130" s="15"/>
      <c r="CR130" s="184"/>
      <c r="CS130" s="15"/>
      <c r="CT130" s="15"/>
      <c r="CU130" s="15"/>
      <c r="CV130" s="15"/>
      <c r="CW130" s="15"/>
      <c r="CX130" s="15"/>
      <c r="CY130" s="184"/>
      <c r="CZ130" s="15"/>
      <c r="DA130" s="15"/>
      <c r="DB130" s="15"/>
      <c r="DC130" s="15"/>
      <c r="DD130" s="15"/>
      <c r="DE130" s="15"/>
      <c r="DF130" s="184"/>
      <c r="DG130" s="15"/>
      <c r="DH130" s="15"/>
      <c r="DI130" s="15"/>
      <c r="DJ130" s="15"/>
      <c r="DK130" s="15"/>
      <c r="DL130" s="15"/>
      <c r="DM130" s="184"/>
      <c r="DN130" s="15"/>
      <c r="DO130" s="15"/>
      <c r="DP130" s="15"/>
      <c r="DQ130" s="15"/>
      <c r="DR130" s="15"/>
      <c r="DS130" s="15"/>
      <c r="DT130" s="184"/>
      <c r="DU130" s="15"/>
      <c r="DV130" s="15"/>
      <c r="DW130" s="15"/>
      <c r="DX130" s="15"/>
      <c r="DY130" s="15"/>
      <c r="DZ130" s="15"/>
      <c r="EA130" s="184"/>
      <c r="EB130" s="15"/>
      <c r="EC130" s="15"/>
      <c r="ED130" s="15"/>
      <c r="EE130" s="15"/>
      <c r="EF130" s="15"/>
      <c r="EG130" s="15"/>
      <c r="EH130" s="184"/>
      <c r="EI130" s="15"/>
      <c r="EJ130" s="15"/>
      <c r="EK130" s="15"/>
      <c r="EL130" s="15"/>
      <c r="EM130" s="15"/>
      <c r="EN130" s="15"/>
      <c r="EO130" s="184"/>
      <c r="EP130" s="15"/>
      <c r="EQ130" s="15"/>
      <c r="ER130" s="15"/>
      <c r="ES130" s="15"/>
      <c r="ET130" s="15"/>
      <c r="EU130" s="15"/>
      <c r="EV130" s="184"/>
      <c r="EW130" s="15"/>
      <c r="EX130" s="15"/>
      <c r="EY130" s="15"/>
      <c r="EZ130" s="15"/>
      <c r="FA130" s="15"/>
      <c r="FB130" s="15"/>
      <c r="FC130" s="184"/>
      <c r="FD130" s="15"/>
      <c r="FE130" s="15"/>
      <c r="FF130" s="15"/>
      <c r="FG130" s="15"/>
      <c r="FH130" s="15"/>
      <c r="FI130" s="15"/>
      <c r="FJ130" s="184"/>
      <c r="FK130" s="15"/>
      <c r="FL130" s="15"/>
      <c r="FM130" s="15"/>
      <c r="FN130" s="15"/>
      <c r="FO130" s="15"/>
      <c r="FP130" s="15"/>
      <c r="FQ130" s="184"/>
      <c r="FR130" s="15"/>
      <c r="FS130" s="15"/>
      <c r="FT130" s="15"/>
      <c r="FU130" s="15"/>
      <c r="FV130" s="15"/>
      <c r="FW130" s="178"/>
      <c r="FX130" s="184"/>
      <c r="FY130" s="181"/>
      <c r="FZ130" s="15"/>
      <c r="GA130" s="15"/>
      <c r="GB130" s="15"/>
      <c r="GC130" s="15"/>
      <c r="GD130" s="15"/>
      <c r="GE130" s="184"/>
      <c r="GF130" s="15"/>
      <c r="GG130" s="15"/>
      <c r="GH130" s="15"/>
      <c r="GI130" s="15"/>
      <c r="GJ130" s="15"/>
      <c r="GK130" s="15"/>
      <c r="GL130" s="184"/>
      <c r="GM130" s="15"/>
      <c r="GN130" s="15"/>
      <c r="GO130" s="15"/>
      <c r="GP130" s="15"/>
      <c r="GQ130" s="15"/>
      <c r="GR130" s="15"/>
      <c r="GS130" s="184"/>
      <c r="GT130" s="15"/>
      <c r="GU130" s="15"/>
      <c r="GV130" s="15"/>
      <c r="GW130" s="15"/>
      <c r="GX130" s="15"/>
      <c r="GY130" s="15"/>
      <c r="GZ130" s="184"/>
      <c r="HA130" s="15"/>
      <c r="HB130" s="15"/>
      <c r="HC130" s="15"/>
      <c r="HD130" s="15"/>
      <c r="HE130" s="15"/>
      <c r="HF130" s="15"/>
      <c r="HG130" s="184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  <c r="MH130" s="15"/>
      <c r="MI130" s="15"/>
      <c r="MJ130" s="15"/>
      <c r="MK130" s="15"/>
      <c r="ML130" s="15"/>
      <c r="MM130" s="15"/>
      <c r="MN130" s="15"/>
      <c r="MO130" s="15"/>
      <c r="MP130" s="15"/>
      <c r="MQ130" s="15"/>
      <c r="MR130" s="15"/>
      <c r="MS130" s="15"/>
      <c r="MT130" s="15"/>
      <c r="MU130" s="15"/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</row>
    <row r="131" spans="2:390" ht="19.5" customHeight="1" x14ac:dyDescent="0.45">
      <c r="B131" s="1">
        <f t="shared" si="82"/>
        <v>4</v>
      </c>
      <c r="C131" s="1">
        <f>+C130+1</f>
        <v>2</v>
      </c>
      <c r="D131" s="1">
        <v>0</v>
      </c>
      <c r="E131" s="93" t="str">
        <f t="shared" si="81"/>
        <v>4.2.0</v>
      </c>
      <c r="F131" s="94" t="s">
        <v>35</v>
      </c>
      <c r="G131" s="94"/>
      <c r="H131" s="95"/>
      <c r="I131" s="95"/>
      <c r="J131" s="96"/>
      <c r="K131" s="96"/>
      <c r="L131" s="97"/>
      <c r="M131" s="94"/>
      <c r="N131" s="94"/>
      <c r="O131" s="95">
        <f>SUM(O132:O134)</f>
        <v>96</v>
      </c>
      <c r="P131" s="95"/>
      <c r="Q131" s="95"/>
      <c r="R131" s="168"/>
      <c r="S131" s="98"/>
      <c r="T131" s="163" t="str">
        <f t="shared" si="61"/>
        <v/>
      </c>
      <c r="U131" s="164">
        <f>+SUMPRODUCT(U132:U134,O132:O134)/O131</f>
        <v>0</v>
      </c>
      <c r="V131" s="200">
        <f t="shared" si="62"/>
        <v>0</v>
      </c>
      <c r="W131" s="158">
        <f t="shared" si="84"/>
        <v>0</v>
      </c>
      <c r="X131" s="159">
        <f t="shared" si="85"/>
        <v>0</v>
      </c>
      <c r="Y131" s="199">
        <f t="shared" si="63"/>
        <v>0</v>
      </c>
      <c r="Z131" s="36"/>
      <c r="AA131" s="15"/>
      <c r="AB131" s="15"/>
      <c r="AC131" s="15"/>
      <c r="AD131" s="15"/>
      <c r="AE131" s="15"/>
      <c r="AF131" s="15"/>
      <c r="AG131" s="184"/>
      <c r="AH131" s="15"/>
      <c r="AI131" s="15"/>
      <c r="AJ131" s="15"/>
      <c r="AK131" s="15"/>
      <c r="AL131" s="15"/>
      <c r="AM131" s="15"/>
      <c r="AN131" s="184"/>
      <c r="AO131" s="15"/>
      <c r="AP131" s="15"/>
      <c r="AQ131" s="15"/>
      <c r="AR131" s="15"/>
      <c r="AS131" s="15"/>
      <c r="AT131" s="15"/>
      <c r="AU131" s="184"/>
      <c r="AV131" s="15"/>
      <c r="AW131" s="15"/>
      <c r="AX131" s="15"/>
      <c r="AY131" s="15"/>
      <c r="AZ131" s="15"/>
      <c r="BA131" s="15"/>
      <c r="BB131" s="184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84"/>
      <c r="CE131" s="15"/>
      <c r="CF131" s="15"/>
      <c r="CG131" s="15"/>
      <c r="CH131" s="15"/>
      <c r="CI131" s="15"/>
      <c r="CJ131" s="15"/>
      <c r="CK131" s="184"/>
      <c r="CL131" s="15"/>
      <c r="CM131" s="15"/>
      <c r="CN131" s="15"/>
      <c r="CO131" s="15"/>
      <c r="CP131" s="15"/>
      <c r="CQ131" s="15"/>
      <c r="CR131" s="184"/>
      <c r="CS131" s="15"/>
      <c r="CT131" s="15"/>
      <c r="CU131" s="15"/>
      <c r="CV131" s="15"/>
      <c r="CW131" s="15"/>
      <c r="CX131" s="15"/>
      <c r="CY131" s="184"/>
      <c r="CZ131" s="15"/>
      <c r="DA131" s="15"/>
      <c r="DB131" s="15"/>
      <c r="DC131" s="15"/>
      <c r="DD131" s="15"/>
      <c r="DE131" s="15"/>
      <c r="DF131" s="184"/>
      <c r="DG131" s="15"/>
      <c r="DH131" s="15"/>
      <c r="DI131" s="15"/>
      <c r="DJ131" s="15"/>
      <c r="DK131" s="15"/>
      <c r="DL131" s="15"/>
      <c r="DM131" s="184"/>
      <c r="DN131" s="15"/>
      <c r="DO131" s="15"/>
      <c r="DP131" s="15"/>
      <c r="DQ131" s="15"/>
      <c r="DR131" s="15"/>
      <c r="DS131" s="15"/>
      <c r="DT131" s="184"/>
      <c r="DU131" s="15"/>
      <c r="DV131" s="15"/>
      <c r="DW131" s="15"/>
      <c r="DX131" s="15"/>
      <c r="DY131" s="15"/>
      <c r="DZ131" s="15"/>
      <c r="EA131" s="184"/>
      <c r="EB131" s="15"/>
      <c r="EC131" s="15"/>
      <c r="ED131" s="15"/>
      <c r="EE131" s="15"/>
      <c r="EF131" s="15"/>
      <c r="EG131" s="15"/>
      <c r="EH131" s="184"/>
      <c r="EI131" s="15"/>
      <c r="EJ131" s="15"/>
      <c r="EK131" s="15"/>
      <c r="EL131" s="15"/>
      <c r="EM131" s="15"/>
      <c r="EN131" s="15"/>
      <c r="EO131" s="184"/>
      <c r="EP131" s="15"/>
      <c r="EQ131" s="15"/>
      <c r="ER131" s="15"/>
      <c r="ES131" s="15"/>
      <c r="ET131" s="15"/>
      <c r="EU131" s="15"/>
      <c r="EV131" s="184"/>
      <c r="EW131" s="15"/>
      <c r="EX131" s="15"/>
      <c r="EY131" s="15"/>
      <c r="EZ131" s="15"/>
      <c r="FA131" s="15"/>
      <c r="FB131" s="15"/>
      <c r="FC131" s="184"/>
      <c r="FD131" s="15"/>
      <c r="FE131" s="15"/>
      <c r="FF131" s="15"/>
      <c r="FG131" s="15"/>
      <c r="FH131" s="15"/>
      <c r="FI131" s="15"/>
      <c r="FJ131" s="184"/>
      <c r="FK131" s="15"/>
      <c r="FL131" s="15"/>
      <c r="FM131" s="15"/>
      <c r="FN131" s="15"/>
      <c r="FO131" s="15"/>
      <c r="FP131" s="15"/>
      <c r="FQ131" s="184"/>
      <c r="FR131" s="15"/>
      <c r="FS131" s="15"/>
      <c r="FT131" s="15"/>
      <c r="FU131" s="15"/>
      <c r="FV131" s="15"/>
      <c r="FW131" s="178"/>
      <c r="FX131" s="184"/>
      <c r="FY131" s="181"/>
      <c r="FZ131" s="15"/>
      <c r="GA131" s="15"/>
      <c r="GB131" s="15"/>
      <c r="GC131" s="15"/>
      <c r="GD131" s="15"/>
      <c r="GE131" s="184"/>
      <c r="GF131" s="15"/>
      <c r="GG131" s="15"/>
      <c r="GH131" s="15"/>
      <c r="GI131" s="15"/>
      <c r="GJ131" s="15"/>
      <c r="GK131" s="15"/>
      <c r="GL131" s="184"/>
      <c r="GM131" s="15"/>
      <c r="GN131" s="15"/>
      <c r="GO131" s="15"/>
      <c r="GP131" s="15"/>
      <c r="GQ131" s="15"/>
      <c r="GR131" s="15"/>
      <c r="GS131" s="184"/>
      <c r="GT131" s="15"/>
      <c r="GU131" s="15"/>
      <c r="GV131" s="15"/>
      <c r="GW131" s="15"/>
      <c r="GX131" s="15"/>
      <c r="GY131" s="15"/>
      <c r="GZ131" s="184"/>
      <c r="HA131" s="15"/>
      <c r="HB131" s="15"/>
      <c r="HC131" s="15"/>
      <c r="HD131" s="15"/>
      <c r="HE131" s="15"/>
      <c r="HF131" s="15"/>
      <c r="HG131" s="184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5"/>
      <c r="JV131" s="15"/>
      <c r="JW131" s="15"/>
      <c r="JX131" s="15"/>
      <c r="JY131" s="15"/>
      <c r="JZ131" s="15"/>
      <c r="KA131" s="15"/>
      <c r="KB131" s="15"/>
      <c r="KC131" s="15"/>
      <c r="KD131" s="15"/>
      <c r="KE131" s="15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5"/>
      <c r="KV131" s="15"/>
      <c r="KW131" s="15"/>
      <c r="KX131" s="15"/>
      <c r="KY131" s="15"/>
      <c r="KZ131" s="15"/>
      <c r="LA131" s="15"/>
      <c r="LB131" s="15"/>
      <c r="LC131" s="15"/>
      <c r="LD131" s="15"/>
      <c r="LE131" s="15"/>
      <c r="LF131" s="15"/>
      <c r="LG131" s="15"/>
      <c r="LH131" s="15"/>
      <c r="LI131" s="15"/>
      <c r="LJ131" s="15"/>
      <c r="LK131" s="15"/>
      <c r="LL131" s="15"/>
      <c r="LM131" s="15"/>
      <c r="LN131" s="15"/>
      <c r="LO131" s="15"/>
      <c r="LP131" s="15"/>
      <c r="LQ131" s="15"/>
      <c r="LR131" s="15"/>
      <c r="LS131" s="15"/>
      <c r="LT131" s="15"/>
      <c r="LU131" s="15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5"/>
      <c r="MG131" s="15"/>
      <c r="MH131" s="15"/>
      <c r="MI131" s="15"/>
      <c r="MJ131" s="15"/>
      <c r="MK131" s="15"/>
      <c r="ML131" s="15"/>
      <c r="MM131" s="15"/>
      <c r="MN131" s="15"/>
      <c r="MO131" s="15"/>
      <c r="MP131" s="15"/>
      <c r="MQ131" s="15"/>
      <c r="MR131" s="15"/>
      <c r="MS131" s="15"/>
      <c r="MT131" s="15"/>
      <c r="MU131" s="15"/>
      <c r="MV131" s="15"/>
      <c r="MW131" s="15"/>
      <c r="MX131" s="15"/>
      <c r="MY131" s="15"/>
      <c r="MZ131" s="15"/>
      <c r="NA131" s="15"/>
      <c r="NB131" s="15"/>
      <c r="NC131" s="15"/>
      <c r="ND131" s="15"/>
      <c r="NE131" s="15"/>
      <c r="NF131" s="15"/>
      <c r="NG131" s="15"/>
      <c r="NH131" s="15"/>
      <c r="NI131" s="15"/>
      <c r="NJ131" s="15"/>
      <c r="NK131" s="15"/>
      <c r="NL131" s="15"/>
      <c r="NM131" s="15"/>
      <c r="NN131" s="15"/>
      <c r="NO131" s="15"/>
      <c r="NP131" s="15"/>
      <c r="NQ131" s="15"/>
      <c r="NR131" s="15"/>
      <c r="NS131" s="15"/>
      <c r="NT131" s="15"/>
      <c r="NU131" s="15"/>
      <c r="NV131" s="15"/>
      <c r="NW131" s="15"/>
      <c r="NX131" s="15"/>
      <c r="NY131" s="15"/>
      <c r="NZ131" s="15"/>
    </row>
    <row r="132" spans="2:390" ht="19.5" customHeight="1" x14ac:dyDescent="0.45">
      <c r="B132" s="1">
        <f t="shared" si="82"/>
        <v>4</v>
      </c>
      <c r="C132" s="1">
        <f>+C131</f>
        <v>2</v>
      </c>
      <c r="D132" s="1">
        <f>+D131+1</f>
        <v>1</v>
      </c>
      <c r="E132" s="59" t="str">
        <f t="shared" si="81"/>
        <v>4.2.1</v>
      </c>
      <c r="F132" s="23" t="s">
        <v>122</v>
      </c>
      <c r="G132" s="191">
        <v>1</v>
      </c>
      <c r="H132" s="52" t="s">
        <v>117</v>
      </c>
      <c r="I132" s="52" t="s">
        <v>158</v>
      </c>
      <c r="J132" s="52">
        <f>28*1+62*3</f>
        <v>214</v>
      </c>
      <c r="K132" s="52">
        <v>0</v>
      </c>
      <c r="L132" s="20">
        <f>+J132-K132</f>
        <v>214</v>
      </c>
      <c r="M132" s="52">
        <v>2</v>
      </c>
      <c r="N132" s="52">
        <v>24</v>
      </c>
      <c r="O132" s="51">
        <f t="shared" si="83"/>
        <v>48</v>
      </c>
      <c r="P132" s="51">
        <f>+SUM(AA132:NZ132)</f>
        <v>48</v>
      </c>
      <c r="Q132" s="51">
        <f>+O132-P132</f>
        <v>0</v>
      </c>
      <c r="R132" s="19">
        <v>46111</v>
      </c>
      <c r="S132" s="20">
        <v>10</v>
      </c>
      <c r="T132" s="21">
        <f t="shared" si="61"/>
        <v>46122</v>
      </c>
      <c r="U132" s="22">
        <f>+K132/J132</f>
        <v>0</v>
      </c>
      <c r="V132" s="199">
        <f t="shared" si="62"/>
        <v>0</v>
      </c>
      <c r="W132" s="158">
        <f t="shared" si="84"/>
        <v>0</v>
      </c>
      <c r="X132" s="159">
        <f t="shared" si="85"/>
        <v>0</v>
      </c>
      <c r="Y132" s="199">
        <f t="shared" si="63"/>
        <v>0</v>
      </c>
      <c r="Z132" s="36"/>
      <c r="AA132" s="15"/>
      <c r="AB132" s="15"/>
      <c r="AC132" s="15"/>
      <c r="AD132" s="15"/>
      <c r="AE132" s="15"/>
      <c r="AF132" s="15"/>
      <c r="AG132" s="184"/>
      <c r="AH132" s="15"/>
      <c r="AI132" s="15"/>
      <c r="AJ132" s="15"/>
      <c r="AK132" s="15"/>
      <c r="AL132" s="15"/>
      <c r="AM132" s="15"/>
      <c r="AN132" s="184"/>
      <c r="AO132" s="15"/>
      <c r="AP132" s="15"/>
      <c r="AQ132" s="15"/>
      <c r="AR132" s="15"/>
      <c r="AS132" s="15"/>
      <c r="AT132" s="15"/>
      <c r="AU132" s="184"/>
      <c r="AV132" s="15"/>
      <c r="AW132" s="15"/>
      <c r="AX132" s="15"/>
      <c r="AY132" s="15"/>
      <c r="AZ132" s="15"/>
      <c r="BA132" s="15"/>
      <c r="BB132" s="184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84"/>
      <c r="CE132" s="15"/>
      <c r="CF132" s="15"/>
      <c r="CG132" s="15"/>
      <c r="CH132" s="15"/>
      <c r="CI132" s="15"/>
      <c r="CJ132" s="15"/>
      <c r="CK132" s="184"/>
      <c r="CL132" s="15"/>
      <c r="CM132" s="15"/>
      <c r="CN132" s="15"/>
      <c r="CO132" s="15"/>
      <c r="CP132" s="15"/>
      <c r="CQ132" s="15"/>
      <c r="CR132" s="184"/>
      <c r="CS132" s="15"/>
      <c r="CT132" s="15"/>
      <c r="CU132" s="15"/>
      <c r="CV132" s="15"/>
      <c r="CW132" s="15"/>
      <c r="CX132" s="15"/>
      <c r="CY132" s="184"/>
      <c r="CZ132" s="15"/>
      <c r="DA132" s="15"/>
      <c r="DB132" s="15"/>
      <c r="DC132" s="15"/>
      <c r="DD132" s="15"/>
      <c r="DE132" s="15"/>
      <c r="DF132" s="184"/>
      <c r="DG132" s="15"/>
      <c r="DH132" s="15"/>
      <c r="DI132" s="15"/>
      <c r="DJ132" s="15"/>
      <c r="DK132" s="15"/>
      <c r="DL132" s="15"/>
      <c r="DM132" s="184"/>
      <c r="DN132" s="15"/>
      <c r="DO132" s="15"/>
      <c r="DP132" s="15"/>
      <c r="DQ132" s="15"/>
      <c r="DR132" s="15"/>
      <c r="DS132" s="15"/>
      <c r="DT132" s="184"/>
      <c r="DU132" s="15"/>
      <c r="DV132" s="15"/>
      <c r="DW132" s="15"/>
      <c r="DX132" s="15"/>
      <c r="DY132" s="15"/>
      <c r="DZ132" s="15"/>
      <c r="EA132" s="184"/>
      <c r="EB132" s="15"/>
      <c r="EC132" s="15"/>
      <c r="ED132" s="15"/>
      <c r="EE132" s="15"/>
      <c r="EF132" s="15"/>
      <c r="EG132" s="15"/>
      <c r="EH132" s="184"/>
      <c r="EI132" s="15"/>
      <c r="EJ132" s="15"/>
      <c r="EK132" s="15"/>
      <c r="EL132" s="15"/>
      <c r="EM132" s="15"/>
      <c r="EN132" s="15"/>
      <c r="EO132" s="184"/>
      <c r="EP132" s="15"/>
      <c r="EQ132" s="15"/>
      <c r="ER132" s="15"/>
      <c r="ES132" s="15"/>
      <c r="ET132" s="15"/>
      <c r="EU132" s="15"/>
      <c r="EV132" s="184"/>
      <c r="EW132" s="15">
        <v>4</v>
      </c>
      <c r="EX132" s="15">
        <v>4</v>
      </c>
      <c r="EY132" s="15">
        <v>4</v>
      </c>
      <c r="EZ132" s="15">
        <v>4</v>
      </c>
      <c r="FA132" s="15">
        <v>4</v>
      </c>
      <c r="FB132" s="15">
        <v>4</v>
      </c>
      <c r="FC132" s="184"/>
      <c r="FD132" s="15">
        <v>4</v>
      </c>
      <c r="FE132" s="15">
        <v>4</v>
      </c>
      <c r="FF132" s="15">
        <v>4</v>
      </c>
      <c r="FG132" s="15">
        <v>4</v>
      </c>
      <c r="FH132" s="15">
        <v>4</v>
      </c>
      <c r="FI132" s="15">
        <v>4</v>
      </c>
      <c r="FJ132" s="184"/>
      <c r="FK132" s="15"/>
      <c r="FL132" s="15"/>
      <c r="FM132" s="15"/>
      <c r="FN132" s="15"/>
      <c r="FO132" s="15"/>
      <c r="FP132" s="15"/>
      <c r="FQ132" s="184"/>
      <c r="FR132" s="15"/>
      <c r="FS132" s="15"/>
      <c r="FT132" s="15"/>
      <c r="FU132" s="15"/>
      <c r="FV132" s="15"/>
      <c r="FW132" s="178"/>
      <c r="FX132" s="184"/>
      <c r="FY132" s="181"/>
      <c r="FZ132" s="15"/>
      <c r="GA132" s="15"/>
      <c r="GB132" s="15"/>
      <c r="GC132" s="15"/>
      <c r="GD132" s="15"/>
      <c r="GE132" s="184"/>
      <c r="GF132" s="15"/>
      <c r="GG132" s="15"/>
      <c r="GH132" s="15"/>
      <c r="GI132" s="15"/>
      <c r="GJ132" s="15"/>
      <c r="GK132" s="15"/>
      <c r="GL132" s="184"/>
      <c r="GM132" s="15"/>
      <c r="GN132" s="15"/>
      <c r="GO132" s="15"/>
      <c r="GP132" s="15"/>
      <c r="GQ132" s="15"/>
      <c r="GR132" s="15"/>
      <c r="GS132" s="184"/>
      <c r="GT132" s="15"/>
      <c r="GU132" s="15"/>
      <c r="GV132" s="15"/>
      <c r="GW132" s="15"/>
      <c r="GX132" s="15"/>
      <c r="GY132" s="15"/>
      <c r="GZ132" s="184"/>
      <c r="HA132" s="15"/>
      <c r="HB132" s="15"/>
      <c r="HC132" s="15"/>
      <c r="HD132" s="15"/>
      <c r="HE132" s="15"/>
      <c r="HF132" s="15"/>
      <c r="HG132" s="184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  <c r="JT132" s="15"/>
      <c r="JU132" s="15"/>
      <c r="JV132" s="15"/>
      <c r="JW132" s="15"/>
      <c r="JX132" s="15"/>
      <c r="JY132" s="15"/>
      <c r="JZ132" s="15"/>
      <c r="KA132" s="15"/>
      <c r="KB132" s="15"/>
      <c r="KC132" s="15"/>
      <c r="KD132" s="15"/>
      <c r="KE132" s="15"/>
      <c r="KF132" s="15"/>
      <c r="KG132" s="15"/>
      <c r="KH132" s="15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5"/>
      <c r="KT132" s="15"/>
      <c r="KU132" s="15"/>
      <c r="KV132" s="15"/>
      <c r="KW132" s="15"/>
      <c r="KX132" s="15"/>
      <c r="KY132" s="15"/>
      <c r="KZ132" s="15"/>
      <c r="LA132" s="15"/>
      <c r="LB132" s="15"/>
      <c r="LC132" s="15"/>
      <c r="LD132" s="15"/>
      <c r="LE132" s="15"/>
      <c r="LF132" s="15"/>
      <c r="LG132" s="15"/>
      <c r="LH132" s="15"/>
      <c r="LI132" s="15"/>
      <c r="LJ132" s="15"/>
      <c r="LK132" s="15"/>
      <c r="LL132" s="15"/>
      <c r="LM132" s="15"/>
      <c r="LN132" s="15"/>
      <c r="LO132" s="15"/>
      <c r="LP132" s="15"/>
      <c r="LQ132" s="15"/>
      <c r="LR132" s="15"/>
      <c r="LS132" s="15"/>
      <c r="LT132" s="15"/>
      <c r="LU132" s="15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5"/>
      <c r="MG132" s="15"/>
      <c r="MH132" s="15"/>
      <c r="MI132" s="15"/>
      <c r="MJ132" s="15"/>
      <c r="MK132" s="15"/>
      <c r="ML132" s="15"/>
      <c r="MM132" s="15"/>
      <c r="MN132" s="15"/>
      <c r="MO132" s="15"/>
      <c r="MP132" s="15"/>
      <c r="MQ132" s="15"/>
      <c r="MR132" s="15"/>
      <c r="MS132" s="15"/>
      <c r="MT132" s="15"/>
      <c r="MU132" s="15"/>
      <c r="MV132" s="15"/>
      <c r="MW132" s="15"/>
      <c r="MX132" s="15"/>
      <c r="MY132" s="15"/>
      <c r="MZ132" s="15"/>
      <c r="NA132" s="15"/>
      <c r="NB132" s="15"/>
      <c r="NC132" s="15"/>
      <c r="ND132" s="15"/>
      <c r="NE132" s="15"/>
      <c r="NF132" s="15"/>
      <c r="NG132" s="15"/>
      <c r="NH132" s="15"/>
      <c r="NI132" s="15"/>
      <c r="NJ132" s="15"/>
      <c r="NK132" s="15"/>
      <c r="NL132" s="15"/>
      <c r="NM132" s="15"/>
      <c r="NN132" s="15"/>
      <c r="NO132" s="15"/>
      <c r="NP132" s="15"/>
      <c r="NQ132" s="15"/>
      <c r="NR132" s="15"/>
      <c r="NS132" s="15"/>
      <c r="NT132" s="15"/>
      <c r="NU132" s="15"/>
      <c r="NV132" s="15"/>
      <c r="NW132" s="15"/>
      <c r="NX132" s="15"/>
      <c r="NY132" s="15"/>
      <c r="NZ132" s="15"/>
    </row>
    <row r="133" spans="2:390" ht="19.5" customHeight="1" x14ac:dyDescent="0.45">
      <c r="B133" s="1">
        <f t="shared" si="82"/>
        <v>4</v>
      </c>
      <c r="C133" s="1">
        <f>+C132</f>
        <v>2</v>
      </c>
      <c r="D133" s="1">
        <f>+D132+1</f>
        <v>2</v>
      </c>
      <c r="E133" s="59" t="str">
        <f t="shared" si="81"/>
        <v>4.2.2</v>
      </c>
      <c r="F133" s="23" t="s">
        <v>123</v>
      </c>
      <c r="G133" s="191">
        <v>1</v>
      </c>
      <c r="H133" s="52" t="s">
        <v>117</v>
      </c>
      <c r="I133" s="52" t="s">
        <v>156</v>
      </c>
      <c r="J133" s="52">
        <v>90</v>
      </c>
      <c r="K133" s="52">
        <v>0</v>
      </c>
      <c r="L133" s="20">
        <f>+J133-K133</f>
        <v>90</v>
      </c>
      <c r="M133" s="52">
        <v>2</v>
      </c>
      <c r="N133" s="52">
        <v>12</v>
      </c>
      <c r="O133" s="51">
        <f t="shared" si="83"/>
        <v>24</v>
      </c>
      <c r="P133" s="51">
        <f>+SUM(AA133:NZ133)</f>
        <v>24</v>
      </c>
      <c r="Q133" s="51">
        <f>+O133-P133</f>
        <v>0</v>
      </c>
      <c r="R133" s="19">
        <v>46121</v>
      </c>
      <c r="S133" s="20">
        <v>5</v>
      </c>
      <c r="T133" s="21">
        <f t="shared" si="61"/>
        <v>46127</v>
      </c>
      <c r="U133" s="22">
        <f>+K133/J133</f>
        <v>0</v>
      </c>
      <c r="V133" s="199">
        <f t="shared" si="62"/>
        <v>0</v>
      </c>
      <c r="W133" s="158">
        <f t="shared" si="84"/>
        <v>0</v>
      </c>
      <c r="X133" s="159">
        <f t="shared" si="85"/>
        <v>0</v>
      </c>
      <c r="Y133" s="199">
        <f t="shared" si="63"/>
        <v>0</v>
      </c>
      <c r="Z133" s="36"/>
      <c r="AA133" s="15"/>
      <c r="AB133" s="15"/>
      <c r="AC133" s="15"/>
      <c r="AD133" s="15"/>
      <c r="AE133" s="15"/>
      <c r="AF133" s="15"/>
      <c r="AG133" s="184"/>
      <c r="AH133" s="15"/>
      <c r="AI133" s="15"/>
      <c r="AJ133" s="15"/>
      <c r="AK133" s="15"/>
      <c r="AL133" s="15"/>
      <c r="AM133" s="15"/>
      <c r="AN133" s="184"/>
      <c r="AO133" s="15"/>
      <c r="AP133" s="15"/>
      <c r="AQ133" s="15"/>
      <c r="AR133" s="15"/>
      <c r="AS133" s="15"/>
      <c r="AT133" s="15"/>
      <c r="AU133" s="184"/>
      <c r="AV133" s="15"/>
      <c r="AW133" s="15"/>
      <c r="AX133" s="15"/>
      <c r="AY133" s="15"/>
      <c r="AZ133" s="15"/>
      <c r="BA133" s="15"/>
      <c r="BB133" s="184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84"/>
      <c r="CE133" s="15"/>
      <c r="CF133" s="15"/>
      <c r="CG133" s="15"/>
      <c r="CH133" s="15"/>
      <c r="CI133" s="15"/>
      <c r="CJ133" s="15"/>
      <c r="CK133" s="184"/>
      <c r="CL133" s="15"/>
      <c r="CM133" s="15"/>
      <c r="CN133" s="15"/>
      <c r="CO133" s="15"/>
      <c r="CP133" s="15"/>
      <c r="CQ133" s="15"/>
      <c r="CR133" s="184"/>
      <c r="CS133" s="15"/>
      <c r="CT133" s="15"/>
      <c r="CU133" s="15"/>
      <c r="CV133" s="15"/>
      <c r="CW133" s="15"/>
      <c r="CX133" s="15"/>
      <c r="CY133" s="184"/>
      <c r="CZ133" s="15"/>
      <c r="DA133" s="15"/>
      <c r="DB133" s="15"/>
      <c r="DC133" s="15"/>
      <c r="DD133" s="15"/>
      <c r="DE133" s="15"/>
      <c r="DF133" s="184"/>
      <c r="DG133" s="15"/>
      <c r="DH133" s="15"/>
      <c r="DI133" s="15"/>
      <c r="DJ133" s="15"/>
      <c r="DK133" s="15"/>
      <c r="DL133" s="15"/>
      <c r="DM133" s="184"/>
      <c r="DN133" s="15"/>
      <c r="DO133" s="15"/>
      <c r="DP133" s="15"/>
      <c r="DQ133" s="15"/>
      <c r="DR133" s="15"/>
      <c r="DS133" s="15"/>
      <c r="DT133" s="184"/>
      <c r="DU133" s="15"/>
      <c r="DV133" s="15"/>
      <c r="DW133" s="15"/>
      <c r="DX133" s="15"/>
      <c r="DY133" s="15"/>
      <c r="DZ133" s="15"/>
      <c r="EA133" s="184"/>
      <c r="EB133" s="15"/>
      <c r="EC133" s="15"/>
      <c r="ED133" s="15"/>
      <c r="EE133" s="15"/>
      <c r="EF133" s="15"/>
      <c r="EG133" s="15"/>
      <c r="EH133" s="184"/>
      <c r="EI133" s="15"/>
      <c r="EJ133" s="15"/>
      <c r="EK133" s="15"/>
      <c r="EL133" s="15"/>
      <c r="EM133" s="15"/>
      <c r="EN133" s="15"/>
      <c r="EO133" s="184"/>
      <c r="EP133" s="15"/>
      <c r="EQ133" s="15"/>
      <c r="ER133" s="15"/>
      <c r="ES133" s="15"/>
      <c r="ET133" s="15"/>
      <c r="EU133" s="15"/>
      <c r="EV133" s="184"/>
      <c r="EW133" s="15"/>
      <c r="EX133" s="15"/>
      <c r="EY133" s="15"/>
      <c r="EZ133" s="15"/>
      <c r="FA133" s="15"/>
      <c r="FB133" s="15"/>
      <c r="FC133" s="184"/>
      <c r="FD133" s="15"/>
      <c r="FE133" s="15"/>
      <c r="FF133" s="15"/>
      <c r="FG133" s="15">
        <v>4</v>
      </c>
      <c r="FH133" s="15">
        <v>4</v>
      </c>
      <c r="FI133" s="15">
        <v>4</v>
      </c>
      <c r="FJ133" s="184"/>
      <c r="FK133" s="15">
        <v>4</v>
      </c>
      <c r="FL133" s="15">
        <v>4</v>
      </c>
      <c r="FM133" s="15">
        <v>4</v>
      </c>
      <c r="FN133" s="15"/>
      <c r="FO133" s="15"/>
      <c r="FP133" s="15"/>
      <c r="FQ133" s="184"/>
      <c r="FR133" s="15"/>
      <c r="FS133" s="15"/>
      <c r="FT133" s="15"/>
      <c r="FU133" s="15"/>
      <c r="FV133" s="15"/>
      <c r="FW133" s="178"/>
      <c r="FX133" s="184"/>
      <c r="FY133" s="181"/>
      <c r="FZ133" s="15"/>
      <c r="GA133" s="15"/>
      <c r="GB133" s="15"/>
      <c r="GC133" s="15"/>
      <c r="GD133" s="15"/>
      <c r="GE133" s="184"/>
      <c r="GF133" s="15"/>
      <c r="GG133" s="15"/>
      <c r="GH133" s="15"/>
      <c r="GI133" s="15"/>
      <c r="GJ133" s="15"/>
      <c r="GK133" s="15"/>
      <c r="GL133" s="184"/>
      <c r="GM133" s="15"/>
      <c r="GN133" s="15"/>
      <c r="GO133" s="15"/>
      <c r="GP133" s="15"/>
      <c r="GQ133" s="15"/>
      <c r="GR133" s="15"/>
      <c r="GS133" s="184"/>
      <c r="GT133" s="15"/>
      <c r="GU133" s="15"/>
      <c r="GV133" s="15"/>
      <c r="GW133" s="15"/>
      <c r="GX133" s="15"/>
      <c r="GY133" s="15"/>
      <c r="GZ133" s="184"/>
      <c r="HA133" s="15"/>
      <c r="HB133" s="15"/>
      <c r="HC133" s="15"/>
      <c r="HD133" s="15"/>
      <c r="HE133" s="15"/>
      <c r="HF133" s="15"/>
      <c r="HG133" s="184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/>
      <c r="LI133" s="15"/>
      <c r="LJ133" s="15"/>
      <c r="LK133" s="15"/>
      <c r="LL133" s="15"/>
      <c r="LM133" s="15"/>
      <c r="LN133" s="15"/>
      <c r="LO133" s="15"/>
      <c r="LP133" s="15"/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  <c r="MG133" s="15"/>
      <c r="MH133" s="15"/>
      <c r="MI133" s="15"/>
      <c r="MJ133" s="15"/>
      <c r="MK133" s="15"/>
      <c r="ML133" s="15"/>
      <c r="MM133" s="15"/>
      <c r="MN133" s="15"/>
      <c r="MO133" s="15"/>
      <c r="MP133" s="15"/>
      <c r="MQ133" s="15"/>
      <c r="MR133" s="15"/>
      <c r="MS133" s="15"/>
      <c r="MT133" s="15"/>
      <c r="MU133" s="15"/>
      <c r="MV133" s="15"/>
      <c r="MW133" s="15"/>
      <c r="MX133" s="15"/>
      <c r="MY133" s="15"/>
      <c r="MZ133" s="15"/>
      <c r="NA133" s="15"/>
      <c r="NB133" s="15"/>
      <c r="NC133" s="15"/>
      <c r="ND133" s="15"/>
      <c r="NE133" s="15"/>
      <c r="NF133" s="15"/>
      <c r="NG133" s="15"/>
      <c r="NH133" s="15"/>
      <c r="NI133" s="15"/>
      <c r="NJ133" s="15"/>
      <c r="NK133" s="15"/>
      <c r="NL133" s="15"/>
      <c r="NM133" s="15"/>
      <c r="NN133" s="15"/>
      <c r="NO133" s="15"/>
      <c r="NP133" s="15"/>
      <c r="NQ133" s="15"/>
      <c r="NR133" s="15"/>
      <c r="NS133" s="15"/>
      <c r="NT133" s="15"/>
      <c r="NU133" s="15"/>
      <c r="NV133" s="15"/>
      <c r="NW133" s="15"/>
      <c r="NX133" s="15"/>
      <c r="NY133" s="15"/>
      <c r="NZ133" s="15"/>
    </row>
    <row r="134" spans="2:390" ht="19.5" customHeight="1" x14ac:dyDescent="0.45">
      <c r="B134" s="1">
        <f t="shared" si="82"/>
        <v>4</v>
      </c>
      <c r="C134" s="1">
        <f>+C133</f>
        <v>2</v>
      </c>
      <c r="D134" s="1">
        <f>+D133+1</f>
        <v>3</v>
      </c>
      <c r="E134" s="59" t="str">
        <f t="shared" si="81"/>
        <v>4.2.3</v>
      </c>
      <c r="F134" s="23" t="s">
        <v>124</v>
      </c>
      <c r="G134" s="191">
        <v>1</v>
      </c>
      <c r="H134" s="52" t="s">
        <v>117</v>
      </c>
      <c r="I134" s="52" t="s">
        <v>156</v>
      </c>
      <c r="J134" s="52">
        <v>90</v>
      </c>
      <c r="K134" s="52">
        <v>0</v>
      </c>
      <c r="L134" s="20">
        <f>+J134-K134</f>
        <v>90</v>
      </c>
      <c r="M134" s="52">
        <v>2</v>
      </c>
      <c r="N134" s="52">
        <v>12</v>
      </c>
      <c r="O134" s="51">
        <f t="shared" si="83"/>
        <v>24</v>
      </c>
      <c r="P134" s="51">
        <f>+SUM(AA134:NZ134)</f>
        <v>24</v>
      </c>
      <c r="Q134" s="51">
        <f>+O134-P134</f>
        <v>0</v>
      </c>
      <c r="R134" s="19">
        <v>46128</v>
      </c>
      <c r="S134" s="20">
        <v>5</v>
      </c>
      <c r="T134" s="21">
        <f t="shared" si="61"/>
        <v>46134</v>
      </c>
      <c r="U134" s="22">
        <f>+K134/J134</f>
        <v>0</v>
      </c>
      <c r="V134" s="199">
        <f t="shared" si="62"/>
        <v>0</v>
      </c>
      <c r="W134" s="158">
        <f t="shared" si="84"/>
        <v>0</v>
      </c>
      <c r="X134" s="159">
        <f t="shared" si="85"/>
        <v>0</v>
      </c>
      <c r="Y134" s="199">
        <f t="shared" si="63"/>
        <v>0</v>
      </c>
      <c r="Z134" s="36"/>
      <c r="AA134" s="15"/>
      <c r="AB134" s="15"/>
      <c r="AC134" s="15"/>
      <c r="AD134" s="15"/>
      <c r="AE134" s="15"/>
      <c r="AF134" s="15"/>
      <c r="AG134" s="184"/>
      <c r="AH134" s="15"/>
      <c r="AI134" s="15"/>
      <c r="AJ134" s="15"/>
      <c r="AK134" s="15"/>
      <c r="AL134" s="15"/>
      <c r="AM134" s="15"/>
      <c r="AN134" s="184"/>
      <c r="AO134" s="15"/>
      <c r="AP134" s="15"/>
      <c r="AQ134" s="15"/>
      <c r="AR134" s="15"/>
      <c r="AS134" s="15"/>
      <c r="AT134" s="15"/>
      <c r="AU134" s="184"/>
      <c r="AV134" s="15"/>
      <c r="AW134" s="15"/>
      <c r="AX134" s="15"/>
      <c r="AY134" s="15"/>
      <c r="AZ134" s="15"/>
      <c r="BA134" s="15"/>
      <c r="BB134" s="184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84"/>
      <c r="CE134" s="15"/>
      <c r="CF134" s="15"/>
      <c r="CG134" s="15"/>
      <c r="CH134" s="15"/>
      <c r="CI134" s="15"/>
      <c r="CJ134" s="15"/>
      <c r="CK134" s="184"/>
      <c r="CL134" s="15"/>
      <c r="CM134" s="15"/>
      <c r="CN134" s="15"/>
      <c r="CO134" s="15"/>
      <c r="CP134" s="15"/>
      <c r="CQ134" s="15"/>
      <c r="CR134" s="184"/>
      <c r="CS134" s="15"/>
      <c r="CT134" s="15"/>
      <c r="CU134" s="15"/>
      <c r="CV134" s="15"/>
      <c r="CW134" s="15"/>
      <c r="CX134" s="15"/>
      <c r="CY134" s="184"/>
      <c r="CZ134" s="15"/>
      <c r="DA134" s="15"/>
      <c r="DB134" s="15"/>
      <c r="DC134" s="15"/>
      <c r="DD134" s="15"/>
      <c r="DE134" s="15"/>
      <c r="DF134" s="184"/>
      <c r="DG134" s="15"/>
      <c r="DH134" s="15"/>
      <c r="DI134" s="15"/>
      <c r="DJ134" s="15"/>
      <c r="DK134" s="15"/>
      <c r="DL134" s="15"/>
      <c r="DM134" s="184"/>
      <c r="DN134" s="15"/>
      <c r="DO134" s="15"/>
      <c r="DP134" s="15"/>
      <c r="DQ134" s="15"/>
      <c r="DR134" s="15"/>
      <c r="DS134" s="15"/>
      <c r="DT134" s="184"/>
      <c r="DU134" s="15"/>
      <c r="DV134" s="15"/>
      <c r="DW134" s="15"/>
      <c r="DX134" s="15"/>
      <c r="DY134" s="15"/>
      <c r="DZ134" s="15"/>
      <c r="EA134" s="184"/>
      <c r="EB134" s="15"/>
      <c r="EC134" s="15"/>
      <c r="ED134" s="15"/>
      <c r="EE134" s="15"/>
      <c r="EF134" s="15"/>
      <c r="EG134" s="15"/>
      <c r="EH134" s="184"/>
      <c r="EI134" s="15"/>
      <c r="EJ134" s="15"/>
      <c r="EK134" s="15"/>
      <c r="EL134" s="15"/>
      <c r="EM134" s="15"/>
      <c r="EN134" s="15"/>
      <c r="EO134" s="184"/>
      <c r="EP134" s="15"/>
      <c r="EQ134" s="15"/>
      <c r="ER134" s="15"/>
      <c r="ES134" s="15"/>
      <c r="ET134" s="15"/>
      <c r="EU134" s="15"/>
      <c r="EV134" s="184"/>
      <c r="EW134" s="15"/>
      <c r="EX134" s="15"/>
      <c r="EY134" s="15"/>
      <c r="EZ134" s="15"/>
      <c r="FA134" s="15"/>
      <c r="FB134" s="15"/>
      <c r="FC134" s="184"/>
      <c r="FD134" s="15"/>
      <c r="FE134" s="15"/>
      <c r="FF134" s="15"/>
      <c r="FG134" s="15"/>
      <c r="FH134" s="15"/>
      <c r="FI134" s="15"/>
      <c r="FJ134" s="184"/>
      <c r="FK134" s="15"/>
      <c r="FL134" s="15"/>
      <c r="FM134" s="15"/>
      <c r="FN134" s="15">
        <v>4</v>
      </c>
      <c r="FO134" s="15">
        <v>4</v>
      </c>
      <c r="FP134" s="15">
        <v>4</v>
      </c>
      <c r="FQ134" s="184"/>
      <c r="FR134" s="15">
        <v>4</v>
      </c>
      <c r="FS134" s="15">
        <v>4</v>
      </c>
      <c r="FT134" s="15">
        <v>4</v>
      </c>
      <c r="FU134" s="15"/>
      <c r="FV134" s="15"/>
      <c r="FW134" s="178"/>
      <c r="FX134" s="184"/>
      <c r="FY134" s="181"/>
      <c r="FZ134" s="15"/>
      <c r="GA134" s="15"/>
      <c r="GB134" s="15"/>
      <c r="GC134" s="15"/>
      <c r="GD134" s="15"/>
      <c r="GE134" s="184"/>
      <c r="GF134" s="15"/>
      <c r="GG134" s="15"/>
      <c r="GH134" s="15"/>
      <c r="GI134" s="15"/>
      <c r="GJ134" s="15"/>
      <c r="GK134" s="15"/>
      <c r="GL134" s="184"/>
      <c r="GM134" s="15"/>
      <c r="GN134" s="15"/>
      <c r="GO134" s="15"/>
      <c r="GP134" s="15"/>
      <c r="GQ134" s="15"/>
      <c r="GR134" s="15"/>
      <c r="GS134" s="184"/>
      <c r="GT134" s="15"/>
      <c r="GU134" s="15"/>
      <c r="GV134" s="15"/>
      <c r="GW134" s="15"/>
      <c r="GX134" s="15"/>
      <c r="GY134" s="15"/>
      <c r="GZ134" s="184"/>
      <c r="HA134" s="15"/>
      <c r="HB134" s="15"/>
      <c r="HC134" s="15"/>
      <c r="HD134" s="15"/>
      <c r="HE134" s="15"/>
      <c r="HF134" s="15"/>
      <c r="HG134" s="184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5"/>
      <c r="JL134" s="15"/>
      <c r="JM134" s="15"/>
      <c r="JN134" s="15"/>
      <c r="JO134" s="15"/>
      <c r="JP134" s="15"/>
      <c r="JQ134" s="15"/>
      <c r="JR134" s="15"/>
      <c r="JS134" s="15"/>
      <c r="JT134" s="15"/>
      <c r="JU134" s="15"/>
      <c r="JV134" s="15"/>
      <c r="JW134" s="15"/>
      <c r="JX134" s="15"/>
      <c r="JY134" s="15"/>
      <c r="JZ134" s="15"/>
      <c r="KA134" s="15"/>
      <c r="KB134" s="15"/>
      <c r="KC134" s="15"/>
      <c r="KD134" s="15"/>
      <c r="KE134" s="15"/>
      <c r="KF134" s="15"/>
      <c r="KG134" s="15"/>
      <c r="KH134" s="15"/>
      <c r="KI134" s="15"/>
      <c r="KJ134" s="15"/>
      <c r="KK134" s="15"/>
      <c r="KL134" s="15"/>
      <c r="KM134" s="15"/>
      <c r="KN134" s="15"/>
      <c r="KO134" s="15"/>
      <c r="KP134" s="15"/>
      <c r="KQ134" s="15"/>
      <c r="KR134" s="15"/>
      <c r="KS134" s="15"/>
      <c r="KT134" s="15"/>
      <c r="KU134" s="15"/>
      <c r="KV134" s="15"/>
      <c r="KW134" s="15"/>
      <c r="KX134" s="15"/>
      <c r="KY134" s="15"/>
      <c r="KZ134" s="15"/>
      <c r="LA134" s="15"/>
      <c r="LB134" s="15"/>
      <c r="LC134" s="15"/>
      <c r="LD134" s="15"/>
      <c r="LE134" s="15"/>
      <c r="LF134" s="15"/>
      <c r="LG134" s="15"/>
      <c r="LH134" s="15"/>
      <c r="LI134" s="15"/>
      <c r="LJ134" s="15"/>
      <c r="LK134" s="15"/>
      <c r="LL134" s="15"/>
      <c r="LM134" s="15"/>
      <c r="LN134" s="15"/>
      <c r="LO134" s="15"/>
      <c r="LP134" s="15"/>
      <c r="LQ134" s="15"/>
      <c r="LR134" s="15"/>
      <c r="LS134" s="15"/>
      <c r="LT134" s="15"/>
      <c r="LU134" s="15"/>
      <c r="LV134" s="15"/>
      <c r="LW134" s="15"/>
      <c r="LX134" s="15"/>
      <c r="LY134" s="15"/>
      <c r="LZ134" s="15"/>
      <c r="MA134" s="15"/>
      <c r="MB134" s="15"/>
      <c r="MC134" s="15"/>
      <c r="MD134" s="15"/>
      <c r="ME134" s="15"/>
      <c r="MF134" s="15"/>
      <c r="MG134" s="15"/>
      <c r="MH134" s="15"/>
      <c r="MI134" s="15"/>
      <c r="MJ134" s="15"/>
      <c r="MK134" s="15"/>
      <c r="ML134" s="15"/>
      <c r="MM134" s="15"/>
      <c r="MN134" s="15"/>
      <c r="MO134" s="15"/>
      <c r="MP134" s="15"/>
      <c r="MQ134" s="15"/>
      <c r="MR134" s="15"/>
      <c r="MS134" s="15"/>
      <c r="MT134" s="15"/>
      <c r="MU134" s="15"/>
      <c r="MV134" s="15"/>
      <c r="MW134" s="15"/>
      <c r="MX134" s="15"/>
      <c r="MY134" s="15"/>
      <c r="MZ134" s="15"/>
      <c r="NA134" s="15"/>
      <c r="NB134" s="15"/>
      <c r="NC134" s="15"/>
      <c r="ND134" s="15"/>
      <c r="NE134" s="15"/>
      <c r="NF134" s="15"/>
      <c r="NG134" s="15"/>
      <c r="NH134" s="15"/>
      <c r="NI134" s="15"/>
      <c r="NJ134" s="15"/>
      <c r="NK134" s="15"/>
      <c r="NL134" s="15"/>
      <c r="NM134" s="15"/>
      <c r="NN134" s="15"/>
      <c r="NO134" s="15"/>
      <c r="NP134" s="15"/>
      <c r="NQ134" s="15"/>
      <c r="NR134" s="15"/>
      <c r="NS134" s="15"/>
      <c r="NT134" s="15"/>
      <c r="NU134" s="15"/>
      <c r="NV134" s="15"/>
      <c r="NW134" s="15"/>
      <c r="NX134" s="15"/>
      <c r="NY134" s="15"/>
      <c r="NZ134" s="15"/>
    </row>
    <row r="135" spans="2:390" ht="19.5" customHeight="1" x14ac:dyDescent="0.45">
      <c r="B135" s="1">
        <f t="shared" si="82"/>
        <v>4</v>
      </c>
      <c r="C135" s="1">
        <f>+C134+1</f>
        <v>3</v>
      </c>
      <c r="D135" s="1">
        <v>0</v>
      </c>
      <c r="E135" s="93" t="str">
        <f t="shared" si="81"/>
        <v>4.3.0</v>
      </c>
      <c r="F135" s="94" t="s">
        <v>13</v>
      </c>
      <c r="G135" s="94"/>
      <c r="H135" s="95"/>
      <c r="I135" s="95"/>
      <c r="J135" s="97"/>
      <c r="K135" s="97"/>
      <c r="L135" s="98"/>
      <c r="M135" s="97"/>
      <c r="N135" s="97"/>
      <c r="O135" s="95">
        <f>SUM(O136:O138)</f>
        <v>72</v>
      </c>
      <c r="P135" s="95"/>
      <c r="Q135" s="95"/>
      <c r="R135" s="168"/>
      <c r="S135" s="98"/>
      <c r="T135" s="163" t="str">
        <f t="shared" si="61"/>
        <v/>
      </c>
      <c r="U135" s="164">
        <f>+SUMPRODUCT(U136:U138,O136:O138)/O135</f>
        <v>0</v>
      </c>
      <c r="V135" s="200">
        <f t="shared" si="62"/>
        <v>0</v>
      </c>
      <c r="W135" s="158">
        <f t="shared" si="84"/>
        <v>0</v>
      </c>
      <c r="X135" s="159">
        <f t="shared" si="85"/>
        <v>0</v>
      </c>
      <c r="Y135" s="199">
        <f t="shared" si="63"/>
        <v>0</v>
      </c>
      <c r="Z135" s="36"/>
      <c r="AA135" s="15"/>
      <c r="AB135" s="15"/>
      <c r="AC135" s="15"/>
      <c r="AD135" s="15"/>
      <c r="AE135" s="15"/>
      <c r="AF135" s="15"/>
      <c r="AG135" s="184"/>
      <c r="AH135" s="15"/>
      <c r="AI135" s="15"/>
      <c r="AJ135" s="15"/>
      <c r="AK135" s="15"/>
      <c r="AL135" s="15"/>
      <c r="AM135" s="15"/>
      <c r="AN135" s="184"/>
      <c r="AO135" s="15"/>
      <c r="AP135" s="15"/>
      <c r="AQ135" s="15"/>
      <c r="AR135" s="15"/>
      <c r="AS135" s="15"/>
      <c r="AT135" s="15"/>
      <c r="AU135" s="184"/>
      <c r="AV135" s="15"/>
      <c r="AW135" s="15"/>
      <c r="AX135" s="15"/>
      <c r="AY135" s="15"/>
      <c r="AZ135" s="15"/>
      <c r="BA135" s="15"/>
      <c r="BB135" s="184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84"/>
      <c r="CE135" s="15"/>
      <c r="CF135" s="15"/>
      <c r="CG135" s="15"/>
      <c r="CH135" s="15"/>
      <c r="CI135" s="15"/>
      <c r="CJ135" s="15"/>
      <c r="CK135" s="184"/>
      <c r="CL135" s="15"/>
      <c r="CM135" s="15"/>
      <c r="CN135" s="15"/>
      <c r="CO135" s="15"/>
      <c r="CP135" s="15"/>
      <c r="CQ135" s="15"/>
      <c r="CR135" s="184"/>
      <c r="CS135" s="15"/>
      <c r="CT135" s="15"/>
      <c r="CU135" s="15"/>
      <c r="CV135" s="15"/>
      <c r="CW135" s="15"/>
      <c r="CX135" s="15"/>
      <c r="CY135" s="184"/>
      <c r="CZ135" s="15"/>
      <c r="DA135" s="15"/>
      <c r="DB135" s="15"/>
      <c r="DC135" s="15"/>
      <c r="DD135" s="15"/>
      <c r="DE135" s="15"/>
      <c r="DF135" s="184"/>
      <c r="DG135" s="15"/>
      <c r="DH135" s="15"/>
      <c r="DI135" s="15"/>
      <c r="DJ135" s="15"/>
      <c r="DK135" s="15"/>
      <c r="DL135" s="15"/>
      <c r="DM135" s="184"/>
      <c r="DN135" s="15"/>
      <c r="DO135" s="15"/>
      <c r="DP135" s="15"/>
      <c r="DQ135" s="15"/>
      <c r="DR135" s="15"/>
      <c r="DS135" s="15"/>
      <c r="DT135" s="184"/>
      <c r="DU135" s="15"/>
      <c r="DV135" s="15"/>
      <c r="DW135" s="15"/>
      <c r="DX135" s="15"/>
      <c r="DY135" s="15"/>
      <c r="DZ135" s="15"/>
      <c r="EA135" s="184"/>
      <c r="EB135" s="15"/>
      <c r="EC135" s="15"/>
      <c r="ED135" s="15"/>
      <c r="EE135" s="15"/>
      <c r="EF135" s="15"/>
      <c r="EG135" s="15"/>
      <c r="EH135" s="184"/>
      <c r="EI135" s="15"/>
      <c r="EJ135" s="15"/>
      <c r="EK135" s="15"/>
      <c r="EL135" s="15"/>
      <c r="EM135" s="15"/>
      <c r="EN135" s="15"/>
      <c r="EO135" s="184"/>
      <c r="EP135" s="15"/>
      <c r="EQ135" s="15"/>
      <c r="ER135" s="15"/>
      <c r="ES135" s="15"/>
      <c r="ET135" s="15"/>
      <c r="EU135" s="15"/>
      <c r="EV135" s="184"/>
      <c r="EW135" s="15"/>
      <c r="EX135" s="15"/>
      <c r="EY135" s="15"/>
      <c r="EZ135" s="15"/>
      <c r="FA135" s="15"/>
      <c r="FB135" s="15"/>
      <c r="FC135" s="184"/>
      <c r="FD135" s="15"/>
      <c r="FE135" s="15"/>
      <c r="FF135" s="15"/>
      <c r="FG135" s="15"/>
      <c r="FH135" s="15"/>
      <c r="FI135" s="15"/>
      <c r="FJ135" s="184"/>
      <c r="FK135" s="15"/>
      <c r="FL135" s="15"/>
      <c r="FM135" s="15"/>
      <c r="FN135" s="15"/>
      <c r="FO135" s="15"/>
      <c r="FP135" s="15"/>
      <c r="FQ135" s="184"/>
      <c r="FR135" s="15"/>
      <c r="FS135" s="15"/>
      <c r="FT135" s="15"/>
      <c r="FU135" s="15"/>
      <c r="FV135" s="15"/>
      <c r="FW135" s="178"/>
      <c r="FX135" s="184"/>
      <c r="FY135" s="181"/>
      <c r="FZ135" s="15"/>
      <c r="GA135" s="15"/>
      <c r="GB135" s="15"/>
      <c r="GC135" s="15"/>
      <c r="GD135" s="15"/>
      <c r="GE135" s="184"/>
      <c r="GF135" s="15"/>
      <c r="GG135" s="15"/>
      <c r="GH135" s="15"/>
      <c r="GI135" s="15"/>
      <c r="GJ135" s="15"/>
      <c r="GK135" s="15"/>
      <c r="GL135" s="184"/>
      <c r="GM135" s="15"/>
      <c r="GN135" s="15"/>
      <c r="GO135" s="15"/>
      <c r="GP135" s="15"/>
      <c r="GQ135" s="15"/>
      <c r="GR135" s="15"/>
      <c r="GS135" s="184"/>
      <c r="GT135" s="15"/>
      <c r="GU135" s="15"/>
      <c r="GV135" s="15"/>
      <c r="GW135" s="15"/>
      <c r="GX135" s="15"/>
      <c r="GY135" s="15"/>
      <c r="GZ135" s="184"/>
      <c r="HA135" s="15"/>
      <c r="HB135" s="15"/>
      <c r="HC135" s="15"/>
      <c r="HD135" s="15"/>
      <c r="HE135" s="15"/>
      <c r="HF135" s="15"/>
      <c r="HG135" s="184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5"/>
      <c r="JL135" s="15"/>
      <c r="JM135" s="15"/>
      <c r="JN135" s="15"/>
      <c r="JO135" s="15"/>
      <c r="JP135" s="15"/>
      <c r="JQ135" s="15"/>
      <c r="JR135" s="15"/>
      <c r="JS135" s="15"/>
      <c r="JT135" s="15"/>
      <c r="JU135" s="15"/>
      <c r="JV135" s="15"/>
      <c r="JW135" s="15"/>
      <c r="JX135" s="15"/>
      <c r="JY135" s="15"/>
      <c r="JZ135" s="15"/>
      <c r="KA135" s="15"/>
      <c r="KB135" s="15"/>
      <c r="KC135" s="15"/>
      <c r="KD135" s="15"/>
      <c r="KE135" s="15"/>
      <c r="KF135" s="15"/>
      <c r="KG135" s="15"/>
      <c r="KH135" s="15"/>
      <c r="KI135" s="15"/>
      <c r="KJ135" s="15"/>
      <c r="KK135" s="15"/>
      <c r="KL135" s="15"/>
      <c r="KM135" s="15"/>
      <c r="KN135" s="15"/>
      <c r="KO135" s="15"/>
      <c r="KP135" s="15"/>
      <c r="KQ135" s="15"/>
      <c r="KR135" s="15"/>
      <c r="KS135" s="15"/>
      <c r="KT135" s="15"/>
      <c r="KU135" s="15"/>
      <c r="KV135" s="15"/>
      <c r="KW135" s="15"/>
      <c r="KX135" s="15"/>
      <c r="KY135" s="15"/>
      <c r="KZ135" s="15"/>
      <c r="LA135" s="15"/>
      <c r="LB135" s="15"/>
      <c r="LC135" s="15"/>
      <c r="LD135" s="15"/>
      <c r="LE135" s="15"/>
      <c r="LF135" s="15"/>
      <c r="LG135" s="15"/>
      <c r="LH135" s="15"/>
      <c r="LI135" s="15"/>
      <c r="LJ135" s="15"/>
      <c r="LK135" s="15"/>
      <c r="LL135" s="15"/>
      <c r="LM135" s="15"/>
      <c r="LN135" s="15"/>
      <c r="LO135" s="15"/>
      <c r="LP135" s="15"/>
      <c r="LQ135" s="15"/>
      <c r="LR135" s="15"/>
      <c r="LS135" s="15"/>
      <c r="LT135" s="15"/>
      <c r="LU135" s="15"/>
      <c r="LV135" s="15"/>
      <c r="LW135" s="15"/>
      <c r="LX135" s="15"/>
      <c r="LY135" s="15"/>
      <c r="LZ135" s="15"/>
      <c r="MA135" s="15"/>
      <c r="MB135" s="15"/>
      <c r="MC135" s="15"/>
      <c r="MD135" s="15"/>
      <c r="ME135" s="15"/>
      <c r="MF135" s="15"/>
      <c r="MG135" s="15"/>
      <c r="MH135" s="15"/>
      <c r="MI135" s="15"/>
      <c r="MJ135" s="15"/>
      <c r="MK135" s="15"/>
      <c r="ML135" s="15"/>
      <c r="MM135" s="15"/>
      <c r="MN135" s="15"/>
      <c r="MO135" s="15"/>
      <c r="MP135" s="15"/>
      <c r="MQ135" s="15"/>
      <c r="MR135" s="15"/>
      <c r="MS135" s="15"/>
      <c r="MT135" s="15"/>
      <c r="MU135" s="15"/>
      <c r="MV135" s="15"/>
      <c r="MW135" s="15"/>
      <c r="MX135" s="15"/>
      <c r="MY135" s="15"/>
      <c r="MZ135" s="15"/>
      <c r="NA135" s="15"/>
      <c r="NB135" s="15"/>
      <c r="NC135" s="15"/>
      <c r="ND135" s="15"/>
      <c r="NE135" s="15"/>
      <c r="NF135" s="15"/>
      <c r="NG135" s="15"/>
      <c r="NH135" s="15"/>
      <c r="NI135" s="15"/>
      <c r="NJ135" s="15"/>
      <c r="NK135" s="15"/>
      <c r="NL135" s="15"/>
      <c r="NM135" s="15"/>
      <c r="NN135" s="15"/>
      <c r="NO135" s="15"/>
      <c r="NP135" s="15"/>
      <c r="NQ135" s="15"/>
      <c r="NR135" s="15"/>
      <c r="NS135" s="15"/>
      <c r="NT135" s="15"/>
      <c r="NU135" s="15"/>
      <c r="NV135" s="15"/>
      <c r="NW135" s="15"/>
      <c r="NX135" s="15"/>
      <c r="NY135" s="15"/>
      <c r="NZ135" s="15"/>
    </row>
    <row r="136" spans="2:390" ht="19.5" customHeight="1" x14ac:dyDescent="0.45">
      <c r="B136" s="1">
        <f t="shared" si="82"/>
        <v>4</v>
      </c>
      <c r="C136" s="1">
        <f>+C135</f>
        <v>3</v>
      </c>
      <c r="D136" s="1">
        <f>+D135+1</f>
        <v>1</v>
      </c>
      <c r="E136" s="59" t="str">
        <f t="shared" si="81"/>
        <v>4.3.1</v>
      </c>
      <c r="F136" s="23" t="s">
        <v>122</v>
      </c>
      <c r="G136" s="191">
        <v>1</v>
      </c>
      <c r="H136" s="52" t="s">
        <v>117</v>
      </c>
      <c r="I136" s="52" t="s">
        <v>158</v>
      </c>
      <c r="J136" s="52">
        <f>18*2+60*1</f>
        <v>96</v>
      </c>
      <c r="K136" s="52">
        <v>0</v>
      </c>
      <c r="L136" s="20">
        <f>+J136-K136</f>
        <v>96</v>
      </c>
      <c r="M136" s="52">
        <v>2</v>
      </c>
      <c r="N136" s="52">
        <v>12</v>
      </c>
      <c r="O136" s="51">
        <f t="shared" si="83"/>
        <v>24</v>
      </c>
      <c r="P136" s="51">
        <f>+SUM(AA136:NZ136)</f>
        <v>24</v>
      </c>
      <c r="Q136" s="51">
        <f>+O136-P136</f>
        <v>0</v>
      </c>
      <c r="R136" s="19">
        <v>46125</v>
      </c>
      <c r="S136" s="20">
        <v>10</v>
      </c>
      <c r="T136" s="21">
        <f t="shared" si="61"/>
        <v>46136</v>
      </c>
      <c r="U136" s="22">
        <f>+K136/J136</f>
        <v>0</v>
      </c>
      <c r="V136" s="199">
        <f t="shared" si="62"/>
        <v>0</v>
      </c>
      <c r="W136" s="158">
        <f t="shared" si="84"/>
        <v>0</v>
      </c>
      <c r="X136" s="159">
        <f t="shared" si="85"/>
        <v>0</v>
      </c>
      <c r="Y136" s="199">
        <f t="shared" si="63"/>
        <v>0</v>
      </c>
      <c r="Z136" s="36"/>
      <c r="AA136" s="15"/>
      <c r="AB136" s="15"/>
      <c r="AC136" s="15"/>
      <c r="AD136" s="15"/>
      <c r="AE136" s="15"/>
      <c r="AF136" s="15"/>
      <c r="AG136" s="184"/>
      <c r="AH136" s="15"/>
      <c r="AI136" s="15"/>
      <c r="AJ136" s="15"/>
      <c r="AK136" s="15"/>
      <c r="AL136" s="15"/>
      <c r="AM136" s="15"/>
      <c r="AN136" s="184"/>
      <c r="AO136" s="15"/>
      <c r="AP136" s="15"/>
      <c r="AQ136" s="15"/>
      <c r="AR136" s="15"/>
      <c r="AS136" s="15"/>
      <c r="AT136" s="15"/>
      <c r="AU136" s="184"/>
      <c r="AV136" s="15"/>
      <c r="AW136" s="15"/>
      <c r="AX136" s="15"/>
      <c r="AY136" s="15"/>
      <c r="AZ136" s="15"/>
      <c r="BA136" s="15"/>
      <c r="BB136" s="184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84"/>
      <c r="CE136" s="15"/>
      <c r="CF136" s="15"/>
      <c r="CG136" s="15"/>
      <c r="CH136" s="15"/>
      <c r="CI136" s="15"/>
      <c r="CJ136" s="15"/>
      <c r="CK136" s="184"/>
      <c r="CL136" s="15"/>
      <c r="CM136" s="15"/>
      <c r="CN136" s="15"/>
      <c r="CO136" s="15"/>
      <c r="CP136" s="15"/>
      <c r="CQ136" s="15"/>
      <c r="CR136" s="184"/>
      <c r="CS136" s="15"/>
      <c r="CT136" s="15"/>
      <c r="CU136" s="15"/>
      <c r="CV136" s="15"/>
      <c r="CW136" s="15"/>
      <c r="CX136" s="15"/>
      <c r="CY136" s="184"/>
      <c r="CZ136" s="15"/>
      <c r="DA136" s="15"/>
      <c r="DB136" s="15"/>
      <c r="DC136" s="15"/>
      <c r="DD136" s="15"/>
      <c r="DE136" s="15"/>
      <c r="DF136" s="184"/>
      <c r="DG136" s="15"/>
      <c r="DH136" s="15"/>
      <c r="DI136" s="15"/>
      <c r="DJ136" s="15"/>
      <c r="DK136" s="15"/>
      <c r="DL136" s="15"/>
      <c r="DM136" s="184"/>
      <c r="DN136" s="15"/>
      <c r="DO136" s="15"/>
      <c r="DP136" s="15"/>
      <c r="DQ136" s="15"/>
      <c r="DR136" s="15"/>
      <c r="DS136" s="15"/>
      <c r="DT136" s="184"/>
      <c r="DU136" s="15"/>
      <c r="DV136" s="15"/>
      <c r="DW136" s="15"/>
      <c r="DX136" s="15"/>
      <c r="DY136" s="15"/>
      <c r="DZ136" s="15"/>
      <c r="EA136" s="184"/>
      <c r="EB136" s="15"/>
      <c r="EC136" s="15"/>
      <c r="ED136" s="15"/>
      <c r="EE136" s="15"/>
      <c r="EF136" s="15"/>
      <c r="EG136" s="15"/>
      <c r="EH136" s="184"/>
      <c r="EI136" s="15"/>
      <c r="EJ136" s="15"/>
      <c r="EK136" s="15"/>
      <c r="EL136" s="15"/>
      <c r="EM136" s="15"/>
      <c r="EN136" s="15"/>
      <c r="EO136" s="184"/>
      <c r="EP136" s="15"/>
      <c r="EQ136" s="15"/>
      <c r="ER136" s="15"/>
      <c r="ES136" s="15"/>
      <c r="ET136" s="15"/>
      <c r="EU136" s="15"/>
      <c r="EV136" s="184"/>
      <c r="EW136" s="15"/>
      <c r="EX136" s="15"/>
      <c r="EY136" s="15"/>
      <c r="EZ136" s="15"/>
      <c r="FA136" s="15"/>
      <c r="FB136" s="15"/>
      <c r="FC136" s="184"/>
      <c r="FD136" s="15"/>
      <c r="FE136" s="15"/>
      <c r="FF136" s="15"/>
      <c r="FG136" s="15"/>
      <c r="FH136" s="15"/>
      <c r="FI136" s="15"/>
      <c r="FJ136" s="184"/>
      <c r="FK136" s="15">
        <v>2</v>
      </c>
      <c r="FL136" s="15">
        <v>2</v>
      </c>
      <c r="FM136" s="15">
        <v>2</v>
      </c>
      <c r="FN136" s="15">
        <v>2</v>
      </c>
      <c r="FO136" s="15">
        <v>2</v>
      </c>
      <c r="FP136" s="15">
        <v>2</v>
      </c>
      <c r="FQ136" s="184"/>
      <c r="FR136" s="15">
        <v>2</v>
      </c>
      <c r="FS136" s="15">
        <v>2</v>
      </c>
      <c r="FT136" s="15">
        <v>2</v>
      </c>
      <c r="FU136" s="15">
        <v>2</v>
      </c>
      <c r="FV136" s="15">
        <v>2</v>
      </c>
      <c r="FW136" s="178">
        <v>2</v>
      </c>
      <c r="FX136" s="184"/>
      <c r="FY136" s="181"/>
      <c r="FZ136" s="15"/>
      <c r="GA136" s="15"/>
      <c r="GB136" s="15"/>
      <c r="GC136" s="15"/>
      <c r="GD136" s="15"/>
      <c r="GE136" s="184"/>
      <c r="GF136" s="15"/>
      <c r="GG136" s="15"/>
      <c r="GH136" s="15"/>
      <c r="GI136" s="15"/>
      <c r="GJ136" s="15"/>
      <c r="GK136" s="15"/>
      <c r="GL136" s="184"/>
      <c r="GM136" s="15"/>
      <c r="GN136" s="15"/>
      <c r="GO136" s="15"/>
      <c r="GP136" s="15"/>
      <c r="GQ136" s="15"/>
      <c r="GR136" s="15"/>
      <c r="GS136" s="184"/>
      <c r="GT136" s="15"/>
      <c r="GU136" s="15"/>
      <c r="GV136" s="15"/>
      <c r="GW136" s="15"/>
      <c r="GX136" s="15"/>
      <c r="GY136" s="15"/>
      <c r="GZ136" s="184"/>
      <c r="HA136" s="15"/>
      <c r="HB136" s="15"/>
      <c r="HC136" s="15"/>
      <c r="HD136" s="15"/>
      <c r="HE136" s="15"/>
      <c r="HF136" s="15"/>
      <c r="HG136" s="184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/>
      <c r="KE136" s="15"/>
      <c r="KF136" s="15"/>
      <c r="KG136" s="15"/>
      <c r="KH136" s="15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5"/>
      <c r="KT136" s="15"/>
      <c r="KU136" s="15"/>
      <c r="KV136" s="15"/>
      <c r="KW136" s="15"/>
      <c r="KX136" s="15"/>
      <c r="KY136" s="15"/>
      <c r="KZ136" s="15"/>
      <c r="LA136" s="15"/>
      <c r="LB136" s="15"/>
      <c r="LC136" s="15"/>
      <c r="LD136" s="15"/>
      <c r="LE136" s="15"/>
      <c r="LF136" s="15"/>
      <c r="LG136" s="15"/>
      <c r="LH136" s="15"/>
      <c r="LI136" s="15"/>
      <c r="LJ136" s="15"/>
      <c r="LK136" s="15"/>
      <c r="LL136" s="15"/>
      <c r="LM136" s="15"/>
      <c r="LN136" s="15"/>
      <c r="LO136" s="15"/>
      <c r="LP136" s="15"/>
      <c r="LQ136" s="15"/>
      <c r="LR136" s="15"/>
      <c r="LS136" s="15"/>
      <c r="LT136" s="15"/>
      <c r="LU136" s="15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5"/>
      <c r="MG136" s="15"/>
      <c r="MH136" s="15"/>
      <c r="MI136" s="15"/>
      <c r="MJ136" s="15"/>
      <c r="MK136" s="15"/>
      <c r="ML136" s="15"/>
      <c r="MM136" s="15"/>
      <c r="MN136" s="15"/>
      <c r="MO136" s="15"/>
      <c r="MP136" s="15"/>
      <c r="MQ136" s="15"/>
      <c r="MR136" s="15"/>
      <c r="MS136" s="15"/>
      <c r="MT136" s="15"/>
      <c r="MU136" s="15"/>
      <c r="MV136" s="15"/>
      <c r="MW136" s="15"/>
      <c r="MX136" s="15"/>
      <c r="MY136" s="15"/>
      <c r="MZ136" s="15"/>
      <c r="NA136" s="15"/>
      <c r="NB136" s="15"/>
      <c r="NC136" s="15"/>
      <c r="ND136" s="15"/>
      <c r="NE136" s="15"/>
      <c r="NF136" s="15"/>
      <c r="NG136" s="15"/>
      <c r="NH136" s="15"/>
      <c r="NI136" s="15"/>
      <c r="NJ136" s="15"/>
      <c r="NK136" s="15"/>
      <c r="NL136" s="15"/>
      <c r="NM136" s="15"/>
      <c r="NN136" s="15"/>
      <c r="NO136" s="15"/>
      <c r="NP136" s="15"/>
      <c r="NQ136" s="15"/>
      <c r="NR136" s="15"/>
      <c r="NS136" s="15"/>
      <c r="NT136" s="15"/>
      <c r="NU136" s="15"/>
      <c r="NV136" s="15"/>
      <c r="NW136" s="15"/>
      <c r="NX136" s="15"/>
      <c r="NY136" s="15"/>
      <c r="NZ136" s="15"/>
    </row>
    <row r="137" spans="2:390" ht="19.5" customHeight="1" x14ac:dyDescent="0.45">
      <c r="B137" s="1">
        <f t="shared" si="82"/>
        <v>4</v>
      </c>
      <c r="C137" s="1">
        <f>+C136</f>
        <v>3</v>
      </c>
      <c r="D137" s="1">
        <f>+D136+1</f>
        <v>2</v>
      </c>
      <c r="E137" s="59" t="str">
        <f t="shared" si="81"/>
        <v>4.3.2</v>
      </c>
      <c r="F137" s="23" t="s">
        <v>123</v>
      </c>
      <c r="G137" s="191">
        <v>1</v>
      </c>
      <c r="H137" s="52" t="s">
        <v>117</v>
      </c>
      <c r="I137" s="52" t="s">
        <v>156</v>
      </c>
      <c r="J137" s="52">
        <v>78</v>
      </c>
      <c r="K137" s="52">
        <v>0</v>
      </c>
      <c r="L137" s="20">
        <f>+J137-K137</f>
        <v>78</v>
      </c>
      <c r="M137" s="52">
        <v>2</v>
      </c>
      <c r="N137" s="52">
        <v>12</v>
      </c>
      <c r="O137" s="51">
        <f t="shared" si="83"/>
        <v>24</v>
      </c>
      <c r="P137" s="51">
        <f>+SUM(AA137:NZ137)</f>
        <v>24</v>
      </c>
      <c r="Q137" s="51">
        <f>+O137-P137</f>
        <v>0</v>
      </c>
      <c r="R137" s="19">
        <v>46125</v>
      </c>
      <c r="S137" s="20">
        <v>10</v>
      </c>
      <c r="T137" s="21">
        <f t="shared" si="61"/>
        <v>46136</v>
      </c>
      <c r="U137" s="22">
        <f>+K137/J137</f>
        <v>0</v>
      </c>
      <c r="V137" s="199">
        <f t="shared" si="62"/>
        <v>0</v>
      </c>
      <c r="W137" s="158">
        <f t="shared" si="84"/>
        <v>0</v>
      </c>
      <c r="X137" s="159">
        <f t="shared" si="85"/>
        <v>0</v>
      </c>
      <c r="Y137" s="199">
        <f t="shared" si="63"/>
        <v>0</v>
      </c>
      <c r="Z137" s="36"/>
      <c r="AA137" s="15"/>
      <c r="AB137" s="15"/>
      <c r="AC137" s="15"/>
      <c r="AD137" s="15"/>
      <c r="AE137" s="15"/>
      <c r="AF137" s="15"/>
      <c r="AG137" s="184"/>
      <c r="AH137" s="15"/>
      <c r="AI137" s="15"/>
      <c r="AJ137" s="15"/>
      <c r="AK137" s="15"/>
      <c r="AL137" s="15"/>
      <c r="AM137" s="15"/>
      <c r="AN137" s="184"/>
      <c r="AO137" s="15"/>
      <c r="AP137" s="15"/>
      <c r="AQ137" s="15"/>
      <c r="AR137" s="15"/>
      <c r="AS137" s="15"/>
      <c r="AT137" s="15"/>
      <c r="AU137" s="184"/>
      <c r="AV137" s="15"/>
      <c r="AW137" s="15"/>
      <c r="AX137" s="15"/>
      <c r="AY137" s="15"/>
      <c r="AZ137" s="15"/>
      <c r="BA137" s="15"/>
      <c r="BB137" s="184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84"/>
      <c r="CE137" s="15"/>
      <c r="CF137" s="15"/>
      <c r="CG137" s="15"/>
      <c r="CH137" s="15"/>
      <c r="CI137" s="15"/>
      <c r="CJ137" s="15"/>
      <c r="CK137" s="184"/>
      <c r="CL137" s="15"/>
      <c r="CM137" s="15"/>
      <c r="CN137" s="15"/>
      <c r="CO137" s="15"/>
      <c r="CP137" s="15"/>
      <c r="CQ137" s="15"/>
      <c r="CR137" s="184"/>
      <c r="CS137" s="15"/>
      <c r="CT137" s="15"/>
      <c r="CU137" s="15"/>
      <c r="CV137" s="15"/>
      <c r="CW137" s="15"/>
      <c r="CX137" s="15"/>
      <c r="CY137" s="184"/>
      <c r="CZ137" s="15"/>
      <c r="DA137" s="15"/>
      <c r="DB137" s="15"/>
      <c r="DC137" s="15"/>
      <c r="DD137" s="15"/>
      <c r="DE137" s="15"/>
      <c r="DF137" s="184"/>
      <c r="DG137" s="15"/>
      <c r="DH137" s="15"/>
      <c r="DI137" s="15"/>
      <c r="DJ137" s="15"/>
      <c r="DK137" s="15"/>
      <c r="DL137" s="15"/>
      <c r="DM137" s="184"/>
      <c r="DN137" s="15"/>
      <c r="DO137" s="15"/>
      <c r="DP137" s="15"/>
      <c r="DQ137" s="15"/>
      <c r="DR137" s="15"/>
      <c r="DS137" s="15"/>
      <c r="DT137" s="184"/>
      <c r="DU137" s="15"/>
      <c r="DV137" s="15"/>
      <c r="DW137" s="15"/>
      <c r="DX137" s="15"/>
      <c r="DY137" s="15"/>
      <c r="DZ137" s="15"/>
      <c r="EA137" s="184"/>
      <c r="EB137" s="15"/>
      <c r="EC137" s="15"/>
      <c r="ED137" s="15"/>
      <c r="EE137" s="15"/>
      <c r="EF137" s="15"/>
      <c r="EG137" s="15"/>
      <c r="EH137" s="184"/>
      <c r="EI137" s="15"/>
      <c r="EJ137" s="15"/>
      <c r="EK137" s="15"/>
      <c r="EL137" s="15"/>
      <c r="EM137" s="15"/>
      <c r="EN137" s="15"/>
      <c r="EO137" s="184"/>
      <c r="EP137" s="15"/>
      <c r="EQ137" s="15"/>
      <c r="ER137" s="15"/>
      <c r="ES137" s="15"/>
      <c r="ET137" s="15"/>
      <c r="EU137" s="15"/>
      <c r="EV137" s="184"/>
      <c r="EW137" s="15"/>
      <c r="EX137" s="15"/>
      <c r="EY137" s="15"/>
      <c r="EZ137" s="15"/>
      <c r="FA137" s="15"/>
      <c r="FB137" s="15"/>
      <c r="FC137" s="184"/>
      <c r="FD137" s="15"/>
      <c r="FE137" s="15"/>
      <c r="FF137" s="15"/>
      <c r="FG137" s="15"/>
      <c r="FH137" s="15"/>
      <c r="FI137" s="15"/>
      <c r="FJ137" s="184"/>
      <c r="FK137" s="15">
        <v>2</v>
      </c>
      <c r="FL137" s="15">
        <v>2</v>
      </c>
      <c r="FM137" s="15">
        <v>2</v>
      </c>
      <c r="FN137" s="15">
        <v>2</v>
      </c>
      <c r="FO137" s="15">
        <v>2</v>
      </c>
      <c r="FP137" s="15">
        <v>2</v>
      </c>
      <c r="FQ137" s="184"/>
      <c r="FR137" s="15">
        <v>2</v>
      </c>
      <c r="FS137" s="15">
        <v>2</v>
      </c>
      <c r="FT137" s="15">
        <v>2</v>
      </c>
      <c r="FU137" s="15">
        <v>2</v>
      </c>
      <c r="FV137" s="15">
        <v>2</v>
      </c>
      <c r="FW137" s="178">
        <v>2</v>
      </c>
      <c r="FX137" s="184"/>
      <c r="FY137" s="181"/>
      <c r="FZ137" s="15"/>
      <c r="GA137" s="15"/>
      <c r="GB137" s="15"/>
      <c r="GC137" s="15"/>
      <c r="GD137" s="15"/>
      <c r="GE137" s="184"/>
      <c r="GF137" s="15"/>
      <c r="GG137" s="15"/>
      <c r="GH137" s="15"/>
      <c r="GI137" s="15"/>
      <c r="GJ137" s="15"/>
      <c r="GK137" s="15"/>
      <c r="GL137" s="184"/>
      <c r="GM137" s="15"/>
      <c r="GN137" s="15"/>
      <c r="GO137" s="15"/>
      <c r="GP137" s="15"/>
      <c r="GQ137" s="15"/>
      <c r="GR137" s="15"/>
      <c r="GS137" s="184"/>
      <c r="GT137" s="15"/>
      <c r="GU137" s="15"/>
      <c r="GV137" s="15"/>
      <c r="GW137" s="15"/>
      <c r="GX137" s="15"/>
      <c r="GY137" s="15"/>
      <c r="GZ137" s="184"/>
      <c r="HA137" s="15"/>
      <c r="HB137" s="15"/>
      <c r="HC137" s="15"/>
      <c r="HD137" s="15"/>
      <c r="HE137" s="15"/>
      <c r="HF137" s="15"/>
      <c r="HG137" s="184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  <c r="JT137" s="15"/>
      <c r="JU137" s="15"/>
      <c r="JV137" s="15"/>
      <c r="JW137" s="15"/>
      <c r="JX137" s="15"/>
      <c r="JY137" s="15"/>
      <c r="JZ137" s="15"/>
      <c r="KA137" s="15"/>
      <c r="KB137" s="15"/>
      <c r="KC137" s="15"/>
      <c r="KD137" s="15"/>
      <c r="KE137" s="15"/>
      <c r="KF137" s="15"/>
      <c r="KG137" s="15"/>
      <c r="KH137" s="15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5"/>
      <c r="KT137" s="15"/>
      <c r="KU137" s="15"/>
      <c r="KV137" s="15"/>
      <c r="KW137" s="15"/>
      <c r="KX137" s="15"/>
      <c r="KY137" s="15"/>
      <c r="KZ137" s="15"/>
      <c r="LA137" s="15"/>
      <c r="LB137" s="15"/>
      <c r="LC137" s="15"/>
      <c r="LD137" s="15"/>
      <c r="LE137" s="15"/>
      <c r="LF137" s="15"/>
      <c r="LG137" s="15"/>
      <c r="LH137" s="15"/>
      <c r="LI137" s="15"/>
      <c r="LJ137" s="15"/>
      <c r="LK137" s="15"/>
      <c r="LL137" s="15"/>
      <c r="LM137" s="15"/>
      <c r="LN137" s="15"/>
      <c r="LO137" s="15"/>
      <c r="LP137" s="15"/>
      <c r="LQ137" s="15"/>
      <c r="LR137" s="15"/>
      <c r="LS137" s="15"/>
      <c r="LT137" s="15"/>
      <c r="LU137" s="15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5"/>
      <c r="MG137" s="15"/>
      <c r="MH137" s="15"/>
      <c r="MI137" s="15"/>
      <c r="MJ137" s="15"/>
      <c r="MK137" s="15"/>
      <c r="ML137" s="15"/>
      <c r="MM137" s="15"/>
      <c r="MN137" s="15"/>
      <c r="MO137" s="15"/>
      <c r="MP137" s="15"/>
      <c r="MQ137" s="15"/>
      <c r="MR137" s="15"/>
      <c r="MS137" s="15"/>
      <c r="MT137" s="15"/>
      <c r="MU137" s="15"/>
      <c r="MV137" s="15"/>
      <c r="MW137" s="15"/>
      <c r="MX137" s="15"/>
      <c r="MY137" s="15"/>
      <c r="MZ137" s="15"/>
      <c r="NA137" s="15"/>
      <c r="NB137" s="15"/>
      <c r="NC137" s="15"/>
      <c r="ND137" s="15"/>
      <c r="NE137" s="15"/>
      <c r="NF137" s="15"/>
      <c r="NG137" s="15"/>
      <c r="NH137" s="15"/>
      <c r="NI137" s="15"/>
      <c r="NJ137" s="15"/>
      <c r="NK137" s="15"/>
      <c r="NL137" s="15"/>
      <c r="NM137" s="15"/>
      <c r="NN137" s="15"/>
      <c r="NO137" s="15"/>
      <c r="NP137" s="15"/>
      <c r="NQ137" s="15"/>
      <c r="NR137" s="15"/>
      <c r="NS137" s="15"/>
      <c r="NT137" s="15"/>
      <c r="NU137" s="15"/>
      <c r="NV137" s="15"/>
      <c r="NW137" s="15"/>
      <c r="NX137" s="15"/>
      <c r="NY137" s="15"/>
      <c r="NZ137" s="15"/>
    </row>
    <row r="138" spans="2:390" ht="19.5" customHeight="1" x14ac:dyDescent="0.45">
      <c r="B138" s="1">
        <f t="shared" si="82"/>
        <v>4</v>
      </c>
      <c r="C138" s="1">
        <f>+C137</f>
        <v>3</v>
      </c>
      <c r="D138" s="1">
        <f>+D137+1</f>
        <v>3</v>
      </c>
      <c r="E138" s="59" t="str">
        <f t="shared" si="81"/>
        <v>4.3.3</v>
      </c>
      <c r="F138" s="23" t="s">
        <v>124</v>
      </c>
      <c r="G138" s="191">
        <v>1</v>
      </c>
      <c r="H138" s="52" t="s">
        <v>117</v>
      </c>
      <c r="I138" s="52" t="s">
        <v>156</v>
      </c>
      <c r="J138" s="52">
        <v>78</v>
      </c>
      <c r="K138" s="52">
        <v>0</v>
      </c>
      <c r="L138" s="20">
        <f>+J138-K138</f>
        <v>78</v>
      </c>
      <c r="M138" s="52">
        <v>2</v>
      </c>
      <c r="N138" s="52">
        <v>12</v>
      </c>
      <c r="O138" s="51">
        <f t="shared" si="83"/>
        <v>24</v>
      </c>
      <c r="P138" s="51">
        <f>+SUM(AA138:NZ138)</f>
        <v>24</v>
      </c>
      <c r="Q138" s="51">
        <f>+O138-P138</f>
        <v>0</v>
      </c>
      <c r="R138" s="19">
        <v>46125</v>
      </c>
      <c r="S138" s="20">
        <v>10</v>
      </c>
      <c r="T138" s="21">
        <f t="shared" si="61"/>
        <v>46136</v>
      </c>
      <c r="U138" s="22">
        <f>+K138/J138</f>
        <v>0</v>
      </c>
      <c r="V138" s="199">
        <f t="shared" si="62"/>
        <v>0</v>
      </c>
      <c r="W138" s="158">
        <f t="shared" si="84"/>
        <v>0</v>
      </c>
      <c r="X138" s="159">
        <f t="shared" si="85"/>
        <v>0</v>
      </c>
      <c r="Y138" s="199">
        <f t="shared" si="63"/>
        <v>0</v>
      </c>
      <c r="Z138" s="36"/>
      <c r="AA138" s="15"/>
      <c r="AB138" s="15"/>
      <c r="AC138" s="15"/>
      <c r="AD138" s="15"/>
      <c r="AE138" s="15"/>
      <c r="AF138" s="15"/>
      <c r="AG138" s="184"/>
      <c r="AH138" s="15"/>
      <c r="AI138" s="15"/>
      <c r="AJ138" s="15"/>
      <c r="AK138" s="15"/>
      <c r="AL138" s="15"/>
      <c r="AM138" s="15"/>
      <c r="AN138" s="184"/>
      <c r="AO138" s="15"/>
      <c r="AP138" s="15"/>
      <c r="AQ138" s="15"/>
      <c r="AR138" s="15"/>
      <c r="AS138" s="15"/>
      <c r="AT138" s="15"/>
      <c r="AU138" s="184"/>
      <c r="AV138" s="15"/>
      <c r="AW138" s="15"/>
      <c r="AX138" s="15"/>
      <c r="AY138" s="15"/>
      <c r="AZ138" s="15"/>
      <c r="BA138" s="15"/>
      <c r="BB138" s="184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84"/>
      <c r="CE138" s="15"/>
      <c r="CF138" s="15"/>
      <c r="CG138" s="15"/>
      <c r="CH138" s="15"/>
      <c r="CI138" s="15"/>
      <c r="CJ138" s="15"/>
      <c r="CK138" s="184"/>
      <c r="CL138" s="15"/>
      <c r="CM138" s="15"/>
      <c r="CN138" s="15"/>
      <c r="CO138" s="15"/>
      <c r="CP138" s="15"/>
      <c r="CQ138" s="15"/>
      <c r="CR138" s="184"/>
      <c r="CS138" s="15"/>
      <c r="CT138" s="15"/>
      <c r="CU138" s="15"/>
      <c r="CV138" s="15"/>
      <c r="CW138" s="15"/>
      <c r="CX138" s="15"/>
      <c r="CY138" s="184"/>
      <c r="CZ138" s="15"/>
      <c r="DA138" s="15"/>
      <c r="DB138" s="15"/>
      <c r="DC138" s="15"/>
      <c r="DD138" s="15"/>
      <c r="DE138" s="15"/>
      <c r="DF138" s="184"/>
      <c r="DG138" s="15"/>
      <c r="DH138" s="15"/>
      <c r="DI138" s="15"/>
      <c r="DJ138" s="15"/>
      <c r="DK138" s="15"/>
      <c r="DL138" s="15"/>
      <c r="DM138" s="184"/>
      <c r="DN138" s="15"/>
      <c r="DO138" s="15"/>
      <c r="DP138" s="15"/>
      <c r="DQ138" s="15"/>
      <c r="DR138" s="15"/>
      <c r="DS138" s="15"/>
      <c r="DT138" s="184"/>
      <c r="DU138" s="15"/>
      <c r="DV138" s="15"/>
      <c r="DW138" s="15"/>
      <c r="DX138" s="15"/>
      <c r="DY138" s="15"/>
      <c r="DZ138" s="15"/>
      <c r="EA138" s="184"/>
      <c r="EB138" s="15"/>
      <c r="EC138" s="15"/>
      <c r="ED138" s="15"/>
      <c r="EE138" s="15"/>
      <c r="EF138" s="15"/>
      <c r="EG138" s="15"/>
      <c r="EH138" s="184"/>
      <c r="EI138" s="15"/>
      <c r="EJ138" s="15"/>
      <c r="EK138" s="15"/>
      <c r="EL138" s="15"/>
      <c r="EM138" s="15"/>
      <c r="EN138" s="15"/>
      <c r="EO138" s="184"/>
      <c r="EP138" s="15"/>
      <c r="EQ138" s="15"/>
      <c r="ER138" s="15"/>
      <c r="ES138" s="15"/>
      <c r="ET138" s="15"/>
      <c r="EU138" s="15"/>
      <c r="EV138" s="184"/>
      <c r="EW138" s="15"/>
      <c r="EX138" s="15"/>
      <c r="EY138" s="15"/>
      <c r="EZ138" s="15"/>
      <c r="FA138" s="15"/>
      <c r="FB138" s="15"/>
      <c r="FC138" s="184"/>
      <c r="FD138" s="15"/>
      <c r="FE138" s="15"/>
      <c r="FF138" s="15"/>
      <c r="FG138" s="15"/>
      <c r="FH138" s="15"/>
      <c r="FI138" s="15"/>
      <c r="FJ138" s="184"/>
      <c r="FK138" s="15">
        <v>2</v>
      </c>
      <c r="FL138" s="15">
        <v>2</v>
      </c>
      <c r="FM138" s="15">
        <v>2</v>
      </c>
      <c r="FN138" s="15">
        <v>2</v>
      </c>
      <c r="FO138" s="15">
        <v>2</v>
      </c>
      <c r="FP138" s="15">
        <v>2</v>
      </c>
      <c r="FQ138" s="184"/>
      <c r="FR138" s="15">
        <v>2</v>
      </c>
      <c r="FS138" s="15">
        <v>2</v>
      </c>
      <c r="FT138" s="15">
        <v>2</v>
      </c>
      <c r="FU138" s="15">
        <v>2</v>
      </c>
      <c r="FV138" s="15">
        <v>2</v>
      </c>
      <c r="FW138" s="178">
        <v>2</v>
      </c>
      <c r="FX138" s="184"/>
      <c r="FY138" s="181"/>
      <c r="FZ138" s="15"/>
      <c r="GA138" s="15"/>
      <c r="GB138" s="15"/>
      <c r="GC138" s="15"/>
      <c r="GD138" s="15"/>
      <c r="GE138" s="184"/>
      <c r="GF138" s="15"/>
      <c r="GG138" s="15"/>
      <c r="GH138" s="15"/>
      <c r="GI138" s="15"/>
      <c r="GJ138" s="15"/>
      <c r="GK138" s="15"/>
      <c r="GL138" s="184"/>
      <c r="GM138" s="15"/>
      <c r="GN138" s="15"/>
      <c r="GO138" s="15"/>
      <c r="GP138" s="15"/>
      <c r="GQ138" s="15"/>
      <c r="GR138" s="15"/>
      <c r="GS138" s="184"/>
      <c r="GT138" s="15"/>
      <c r="GU138" s="15"/>
      <c r="GV138" s="15"/>
      <c r="GW138" s="15"/>
      <c r="GX138" s="15"/>
      <c r="GY138" s="15"/>
      <c r="GZ138" s="184"/>
      <c r="HA138" s="15"/>
      <c r="HB138" s="15"/>
      <c r="HC138" s="15"/>
      <c r="HD138" s="15"/>
      <c r="HE138" s="15"/>
      <c r="HF138" s="15"/>
      <c r="HG138" s="184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/>
      <c r="KE138" s="15"/>
      <c r="KF138" s="15"/>
      <c r="KG138" s="15"/>
      <c r="KH138" s="15"/>
      <c r="KI138" s="15"/>
      <c r="KJ138" s="15"/>
      <c r="KK138" s="15"/>
      <c r="KL138" s="15"/>
      <c r="KM138" s="15"/>
      <c r="KN138" s="15"/>
      <c r="KO138" s="15"/>
      <c r="KP138" s="15"/>
      <c r="KQ138" s="15"/>
      <c r="KR138" s="15"/>
      <c r="KS138" s="15"/>
      <c r="KT138" s="15"/>
      <c r="KU138" s="15"/>
      <c r="KV138" s="15"/>
      <c r="KW138" s="15"/>
      <c r="KX138" s="15"/>
      <c r="KY138" s="15"/>
      <c r="KZ138" s="15"/>
      <c r="LA138" s="15"/>
      <c r="LB138" s="15"/>
      <c r="LC138" s="15"/>
      <c r="LD138" s="15"/>
      <c r="LE138" s="15"/>
      <c r="LF138" s="15"/>
      <c r="LG138" s="15"/>
      <c r="LH138" s="15"/>
      <c r="LI138" s="15"/>
      <c r="LJ138" s="15"/>
      <c r="LK138" s="15"/>
      <c r="LL138" s="15"/>
      <c r="LM138" s="15"/>
      <c r="LN138" s="15"/>
      <c r="LO138" s="15"/>
      <c r="LP138" s="15"/>
      <c r="LQ138" s="15"/>
      <c r="LR138" s="15"/>
      <c r="LS138" s="15"/>
      <c r="LT138" s="15"/>
      <c r="LU138" s="15"/>
      <c r="LV138" s="15"/>
      <c r="LW138" s="15"/>
      <c r="LX138" s="15"/>
      <c r="LY138" s="15"/>
      <c r="LZ138" s="15"/>
      <c r="MA138" s="15"/>
      <c r="MB138" s="15"/>
      <c r="MC138" s="15"/>
      <c r="MD138" s="15"/>
      <c r="ME138" s="15"/>
      <c r="MF138" s="15"/>
      <c r="MG138" s="15"/>
      <c r="MH138" s="15"/>
      <c r="MI138" s="15"/>
      <c r="MJ138" s="15"/>
      <c r="MK138" s="15"/>
      <c r="ML138" s="15"/>
      <c r="MM138" s="15"/>
      <c r="MN138" s="15"/>
      <c r="MO138" s="15"/>
      <c r="MP138" s="15"/>
      <c r="MQ138" s="15"/>
      <c r="MR138" s="15"/>
      <c r="MS138" s="15"/>
      <c r="MT138" s="15"/>
      <c r="MU138" s="15"/>
      <c r="MV138" s="15"/>
      <c r="MW138" s="15"/>
      <c r="MX138" s="15"/>
      <c r="MY138" s="15"/>
      <c r="MZ138" s="15"/>
      <c r="NA138" s="15"/>
      <c r="NB138" s="15"/>
      <c r="NC138" s="15"/>
      <c r="ND138" s="15"/>
      <c r="NE138" s="15"/>
      <c r="NF138" s="15"/>
      <c r="NG138" s="15"/>
      <c r="NH138" s="15"/>
      <c r="NI138" s="15"/>
      <c r="NJ138" s="15"/>
      <c r="NK138" s="15"/>
      <c r="NL138" s="15"/>
      <c r="NM138" s="15"/>
      <c r="NN138" s="15"/>
      <c r="NO138" s="15"/>
      <c r="NP138" s="15"/>
      <c r="NQ138" s="15"/>
      <c r="NR138" s="15"/>
      <c r="NS138" s="15"/>
      <c r="NT138" s="15"/>
      <c r="NU138" s="15"/>
      <c r="NV138" s="15"/>
      <c r="NW138" s="15"/>
      <c r="NX138" s="15"/>
      <c r="NY138" s="15"/>
      <c r="NZ138" s="15"/>
    </row>
    <row r="139" spans="2:390" ht="19.5" customHeight="1" x14ac:dyDescent="0.45">
      <c r="B139" s="1">
        <f t="shared" si="82"/>
        <v>4</v>
      </c>
      <c r="C139" s="1">
        <f>+C138+1</f>
        <v>4</v>
      </c>
      <c r="D139" s="1">
        <v>0</v>
      </c>
      <c r="E139" s="93" t="str">
        <f t="shared" si="81"/>
        <v>4.4.0</v>
      </c>
      <c r="F139" s="94" t="s">
        <v>48</v>
      </c>
      <c r="G139" s="94"/>
      <c r="H139" s="95"/>
      <c r="I139" s="95"/>
      <c r="J139" s="97"/>
      <c r="K139" s="97"/>
      <c r="L139" s="98"/>
      <c r="M139" s="97"/>
      <c r="N139" s="97"/>
      <c r="O139" s="95">
        <f>SUM(O140:O142)</f>
        <v>72</v>
      </c>
      <c r="P139" s="95"/>
      <c r="Q139" s="95"/>
      <c r="R139" s="168"/>
      <c r="S139" s="98"/>
      <c r="T139" s="163" t="str">
        <f t="shared" si="61"/>
        <v/>
      </c>
      <c r="U139" s="164">
        <f>+SUMPRODUCT(U140:U142,O140:O142)/O139</f>
        <v>0</v>
      </c>
      <c r="V139" s="200">
        <f t="shared" si="62"/>
        <v>0</v>
      </c>
      <c r="W139" s="158">
        <f t="shared" si="84"/>
        <v>0</v>
      </c>
      <c r="X139" s="159">
        <f t="shared" si="85"/>
        <v>0</v>
      </c>
      <c r="Y139" s="199">
        <f t="shared" si="63"/>
        <v>0</v>
      </c>
      <c r="Z139" s="36"/>
      <c r="AA139" s="15"/>
      <c r="AB139" s="15"/>
      <c r="AC139" s="15"/>
      <c r="AD139" s="15"/>
      <c r="AE139" s="15"/>
      <c r="AF139" s="15"/>
      <c r="AG139" s="184"/>
      <c r="AH139" s="15"/>
      <c r="AI139" s="15"/>
      <c r="AJ139" s="15"/>
      <c r="AK139" s="15"/>
      <c r="AL139" s="15"/>
      <c r="AM139" s="15"/>
      <c r="AN139" s="184"/>
      <c r="AO139" s="15"/>
      <c r="AP139" s="15"/>
      <c r="AQ139" s="15"/>
      <c r="AR139" s="15"/>
      <c r="AS139" s="15"/>
      <c r="AT139" s="15"/>
      <c r="AU139" s="184"/>
      <c r="AV139" s="15"/>
      <c r="AW139" s="15"/>
      <c r="AX139" s="15"/>
      <c r="AY139" s="15"/>
      <c r="AZ139" s="15"/>
      <c r="BA139" s="15"/>
      <c r="BB139" s="184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84"/>
      <c r="CE139" s="15"/>
      <c r="CF139" s="15"/>
      <c r="CG139" s="15"/>
      <c r="CH139" s="15"/>
      <c r="CI139" s="15"/>
      <c r="CJ139" s="15"/>
      <c r="CK139" s="184"/>
      <c r="CL139" s="15"/>
      <c r="CM139" s="15"/>
      <c r="CN139" s="15"/>
      <c r="CO139" s="15"/>
      <c r="CP139" s="15"/>
      <c r="CQ139" s="15"/>
      <c r="CR139" s="184"/>
      <c r="CS139" s="15"/>
      <c r="CT139" s="15"/>
      <c r="CU139" s="15"/>
      <c r="CV139" s="15"/>
      <c r="CW139" s="15"/>
      <c r="CX139" s="15"/>
      <c r="CY139" s="184"/>
      <c r="CZ139" s="15"/>
      <c r="DA139" s="15"/>
      <c r="DB139" s="15"/>
      <c r="DC139" s="15"/>
      <c r="DD139" s="15"/>
      <c r="DE139" s="15"/>
      <c r="DF139" s="184"/>
      <c r="DG139" s="15"/>
      <c r="DH139" s="15"/>
      <c r="DI139" s="15"/>
      <c r="DJ139" s="15"/>
      <c r="DK139" s="15"/>
      <c r="DL139" s="15"/>
      <c r="DM139" s="184"/>
      <c r="DN139" s="15"/>
      <c r="DO139" s="15"/>
      <c r="DP139" s="15"/>
      <c r="DQ139" s="15"/>
      <c r="DR139" s="15"/>
      <c r="DS139" s="15"/>
      <c r="DT139" s="184"/>
      <c r="DU139" s="15"/>
      <c r="DV139" s="15"/>
      <c r="DW139" s="15"/>
      <c r="DX139" s="15"/>
      <c r="DY139" s="15"/>
      <c r="DZ139" s="15"/>
      <c r="EA139" s="184"/>
      <c r="EB139" s="15"/>
      <c r="EC139" s="15"/>
      <c r="ED139" s="15"/>
      <c r="EE139" s="15"/>
      <c r="EF139" s="15"/>
      <c r="EG139" s="15"/>
      <c r="EH139" s="184"/>
      <c r="EI139" s="15"/>
      <c r="EJ139" s="15"/>
      <c r="EK139" s="15"/>
      <c r="EL139" s="15"/>
      <c r="EM139" s="15"/>
      <c r="EN139" s="15"/>
      <c r="EO139" s="184"/>
      <c r="EP139" s="15"/>
      <c r="EQ139" s="15"/>
      <c r="ER139" s="15"/>
      <c r="ES139" s="15"/>
      <c r="ET139" s="15"/>
      <c r="EU139" s="15"/>
      <c r="EV139" s="184"/>
      <c r="EW139" s="15"/>
      <c r="EX139" s="15"/>
      <c r="EY139" s="15"/>
      <c r="EZ139" s="15"/>
      <c r="FA139" s="15"/>
      <c r="FB139" s="15"/>
      <c r="FC139" s="184"/>
      <c r="FD139" s="15"/>
      <c r="FE139" s="15"/>
      <c r="FF139" s="15"/>
      <c r="FG139" s="15"/>
      <c r="FH139" s="15"/>
      <c r="FI139" s="15"/>
      <c r="FJ139" s="184"/>
      <c r="FK139" s="15"/>
      <c r="FL139" s="15"/>
      <c r="FM139" s="15"/>
      <c r="FN139" s="15"/>
      <c r="FO139" s="15"/>
      <c r="FP139" s="15"/>
      <c r="FQ139" s="184"/>
      <c r="FR139" s="15"/>
      <c r="FS139" s="15"/>
      <c r="FT139" s="15"/>
      <c r="FU139" s="15"/>
      <c r="FV139" s="15"/>
      <c r="FW139" s="178"/>
      <c r="FX139" s="184"/>
      <c r="FY139" s="181"/>
      <c r="FZ139" s="15"/>
      <c r="GA139" s="15"/>
      <c r="GB139" s="15"/>
      <c r="GC139" s="15"/>
      <c r="GD139" s="15"/>
      <c r="GE139" s="184"/>
      <c r="GF139" s="15"/>
      <c r="GG139" s="15"/>
      <c r="GH139" s="15"/>
      <c r="GI139" s="15"/>
      <c r="GJ139" s="15"/>
      <c r="GK139" s="15"/>
      <c r="GL139" s="184"/>
      <c r="GM139" s="15"/>
      <c r="GN139" s="15"/>
      <c r="GO139" s="15"/>
      <c r="GP139" s="15"/>
      <c r="GQ139" s="15"/>
      <c r="GR139" s="15"/>
      <c r="GS139" s="184"/>
      <c r="GT139" s="15"/>
      <c r="GU139" s="15"/>
      <c r="GV139" s="15"/>
      <c r="GW139" s="15"/>
      <c r="GX139" s="15"/>
      <c r="GY139" s="15"/>
      <c r="GZ139" s="184"/>
      <c r="HA139" s="15"/>
      <c r="HB139" s="15"/>
      <c r="HC139" s="15"/>
      <c r="HD139" s="15"/>
      <c r="HE139" s="15"/>
      <c r="HF139" s="15"/>
      <c r="HG139" s="184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/>
      <c r="KE139" s="15"/>
      <c r="KF139" s="15"/>
      <c r="KG139" s="15"/>
      <c r="KH139" s="15"/>
      <c r="KI139" s="15"/>
      <c r="KJ139" s="15"/>
      <c r="KK139" s="15"/>
      <c r="KL139" s="15"/>
      <c r="KM139" s="15"/>
      <c r="KN139" s="15"/>
      <c r="KO139" s="15"/>
      <c r="KP139" s="15"/>
      <c r="KQ139" s="15"/>
      <c r="KR139" s="15"/>
      <c r="KS139" s="15"/>
      <c r="KT139" s="15"/>
      <c r="KU139" s="15"/>
      <c r="KV139" s="15"/>
      <c r="KW139" s="15"/>
      <c r="KX139" s="15"/>
      <c r="KY139" s="15"/>
      <c r="KZ139" s="15"/>
      <c r="LA139" s="15"/>
      <c r="LB139" s="15"/>
      <c r="LC139" s="15"/>
      <c r="LD139" s="15"/>
      <c r="LE139" s="15"/>
      <c r="LF139" s="15"/>
      <c r="LG139" s="15"/>
      <c r="LH139" s="15"/>
      <c r="LI139" s="15"/>
      <c r="LJ139" s="15"/>
      <c r="LK139" s="15"/>
      <c r="LL139" s="15"/>
      <c r="LM139" s="15"/>
      <c r="LN139" s="15"/>
      <c r="LO139" s="15"/>
      <c r="LP139" s="15"/>
      <c r="LQ139" s="15"/>
      <c r="LR139" s="15"/>
      <c r="LS139" s="15"/>
      <c r="LT139" s="15"/>
      <c r="LU139" s="15"/>
      <c r="LV139" s="15"/>
      <c r="LW139" s="15"/>
      <c r="LX139" s="15"/>
      <c r="LY139" s="15"/>
      <c r="LZ139" s="15"/>
      <c r="MA139" s="15"/>
      <c r="MB139" s="15"/>
      <c r="MC139" s="15"/>
      <c r="MD139" s="15"/>
      <c r="ME139" s="15"/>
      <c r="MF139" s="15"/>
      <c r="MG139" s="15"/>
      <c r="MH139" s="15"/>
      <c r="MI139" s="15"/>
      <c r="MJ139" s="15"/>
      <c r="MK139" s="15"/>
      <c r="ML139" s="15"/>
      <c r="MM139" s="15"/>
      <c r="MN139" s="15"/>
      <c r="MO139" s="15"/>
      <c r="MP139" s="15"/>
      <c r="MQ139" s="15"/>
      <c r="MR139" s="15"/>
      <c r="MS139" s="15"/>
      <c r="MT139" s="15"/>
      <c r="MU139" s="15"/>
      <c r="MV139" s="15"/>
      <c r="MW139" s="15"/>
      <c r="MX139" s="15"/>
      <c r="MY139" s="15"/>
      <c r="MZ139" s="15"/>
      <c r="NA139" s="15"/>
      <c r="NB139" s="15"/>
      <c r="NC139" s="15"/>
      <c r="ND139" s="15"/>
      <c r="NE139" s="15"/>
      <c r="NF139" s="15"/>
      <c r="NG139" s="15"/>
      <c r="NH139" s="15"/>
      <c r="NI139" s="15"/>
      <c r="NJ139" s="15"/>
      <c r="NK139" s="15"/>
      <c r="NL139" s="15"/>
      <c r="NM139" s="15"/>
      <c r="NN139" s="15"/>
      <c r="NO139" s="15"/>
      <c r="NP139" s="15"/>
      <c r="NQ139" s="15"/>
      <c r="NR139" s="15"/>
      <c r="NS139" s="15"/>
      <c r="NT139" s="15"/>
      <c r="NU139" s="15"/>
      <c r="NV139" s="15"/>
      <c r="NW139" s="15"/>
      <c r="NX139" s="15"/>
      <c r="NY139" s="15"/>
      <c r="NZ139" s="15"/>
    </row>
    <row r="140" spans="2:390" ht="19.5" customHeight="1" x14ac:dyDescent="0.45">
      <c r="B140" s="1">
        <f t="shared" si="82"/>
        <v>4</v>
      </c>
      <c r="C140" s="1">
        <f>+C139</f>
        <v>4</v>
      </c>
      <c r="D140" s="1">
        <f>+D139+1</f>
        <v>1</v>
      </c>
      <c r="E140" s="59" t="str">
        <f t="shared" si="81"/>
        <v>4.4.1</v>
      </c>
      <c r="F140" s="23" t="s">
        <v>122</v>
      </c>
      <c r="G140" s="191">
        <v>1</v>
      </c>
      <c r="H140" s="52" t="s">
        <v>117</v>
      </c>
      <c r="I140" s="52" t="s">
        <v>158</v>
      </c>
      <c r="J140" s="52">
        <v>33</v>
      </c>
      <c r="K140" s="52">
        <v>0</v>
      </c>
      <c r="L140" s="20">
        <f>+J140-K140</f>
        <v>33</v>
      </c>
      <c r="M140" s="52">
        <v>3</v>
      </c>
      <c r="N140" s="52">
        <v>12</v>
      </c>
      <c r="O140" s="51">
        <f t="shared" si="83"/>
        <v>36</v>
      </c>
      <c r="P140" s="51">
        <f>+SUM(AA140:NZ140)</f>
        <v>36</v>
      </c>
      <c r="Q140" s="51">
        <f>+O140-P140</f>
        <v>0</v>
      </c>
      <c r="R140" s="19">
        <v>46125</v>
      </c>
      <c r="S140" s="20">
        <v>5</v>
      </c>
      <c r="T140" s="21">
        <f t="shared" si="61"/>
        <v>46129</v>
      </c>
      <c r="U140" s="22">
        <f>+K140/J140</f>
        <v>0</v>
      </c>
      <c r="V140" s="199">
        <f t="shared" si="62"/>
        <v>0</v>
      </c>
      <c r="W140" s="158">
        <f t="shared" si="84"/>
        <v>0</v>
      </c>
      <c r="X140" s="159">
        <f t="shared" si="85"/>
        <v>0</v>
      </c>
      <c r="Y140" s="199">
        <f t="shared" si="63"/>
        <v>0</v>
      </c>
      <c r="Z140" s="36"/>
      <c r="AA140" s="15"/>
      <c r="AB140" s="15"/>
      <c r="AC140" s="15"/>
      <c r="AD140" s="15"/>
      <c r="AE140" s="15"/>
      <c r="AF140" s="15"/>
      <c r="AG140" s="184"/>
      <c r="AH140" s="15"/>
      <c r="AI140" s="15"/>
      <c r="AJ140" s="15"/>
      <c r="AK140" s="15"/>
      <c r="AL140" s="15"/>
      <c r="AM140" s="15"/>
      <c r="AN140" s="184"/>
      <c r="AO140" s="15"/>
      <c r="AP140" s="15"/>
      <c r="AQ140" s="15"/>
      <c r="AR140" s="15"/>
      <c r="AS140" s="15"/>
      <c r="AT140" s="15"/>
      <c r="AU140" s="184"/>
      <c r="AV140" s="15"/>
      <c r="AW140" s="15"/>
      <c r="AX140" s="15"/>
      <c r="AY140" s="15"/>
      <c r="AZ140" s="15"/>
      <c r="BA140" s="15"/>
      <c r="BB140" s="184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84"/>
      <c r="CE140" s="15"/>
      <c r="CF140" s="15"/>
      <c r="CG140" s="15"/>
      <c r="CH140" s="15"/>
      <c r="CI140" s="15"/>
      <c r="CJ140" s="15"/>
      <c r="CK140" s="184"/>
      <c r="CL140" s="15"/>
      <c r="CM140" s="15"/>
      <c r="CN140" s="15"/>
      <c r="CO140" s="15"/>
      <c r="CP140" s="15"/>
      <c r="CQ140" s="15"/>
      <c r="CR140" s="184"/>
      <c r="CS140" s="15"/>
      <c r="CT140" s="15"/>
      <c r="CU140" s="15"/>
      <c r="CV140" s="15"/>
      <c r="CW140" s="15"/>
      <c r="CX140" s="15"/>
      <c r="CY140" s="184"/>
      <c r="CZ140" s="15"/>
      <c r="DA140" s="15"/>
      <c r="DB140" s="15"/>
      <c r="DC140" s="15"/>
      <c r="DD140" s="15"/>
      <c r="DE140" s="15"/>
      <c r="DF140" s="184"/>
      <c r="DG140" s="15"/>
      <c r="DH140" s="15"/>
      <c r="DI140" s="15"/>
      <c r="DJ140" s="15"/>
      <c r="DK140" s="15"/>
      <c r="DL140" s="15"/>
      <c r="DM140" s="184"/>
      <c r="DN140" s="15"/>
      <c r="DO140" s="15"/>
      <c r="DP140" s="15"/>
      <c r="DQ140" s="15"/>
      <c r="DR140" s="15"/>
      <c r="DS140" s="15"/>
      <c r="DT140" s="184"/>
      <c r="DU140" s="15"/>
      <c r="DV140" s="15"/>
      <c r="DW140" s="15"/>
      <c r="DX140" s="15"/>
      <c r="DY140" s="15"/>
      <c r="DZ140" s="15"/>
      <c r="EA140" s="184"/>
      <c r="EB140" s="15"/>
      <c r="EC140" s="15"/>
      <c r="ED140" s="15"/>
      <c r="EE140" s="15"/>
      <c r="EF140" s="15"/>
      <c r="EG140" s="15"/>
      <c r="EH140" s="184"/>
      <c r="EI140" s="15"/>
      <c r="EJ140" s="15"/>
      <c r="EK140" s="15"/>
      <c r="EL140" s="15"/>
      <c r="EM140" s="15"/>
      <c r="EN140" s="15"/>
      <c r="EO140" s="184"/>
      <c r="EP140" s="15"/>
      <c r="EQ140" s="15"/>
      <c r="ER140" s="15"/>
      <c r="ES140" s="15"/>
      <c r="ET140" s="15"/>
      <c r="EU140" s="15"/>
      <c r="EV140" s="184"/>
      <c r="EW140" s="15"/>
      <c r="EX140" s="15"/>
      <c r="EY140" s="15"/>
      <c r="EZ140" s="15"/>
      <c r="FA140" s="15"/>
      <c r="FB140" s="15"/>
      <c r="FC140" s="184"/>
      <c r="FD140" s="15"/>
      <c r="FE140" s="15"/>
      <c r="FF140" s="15"/>
      <c r="FG140" s="15"/>
      <c r="FH140" s="15"/>
      <c r="FI140" s="15"/>
      <c r="FJ140" s="184"/>
      <c r="FK140" s="15">
        <v>6</v>
      </c>
      <c r="FL140" s="15">
        <v>6</v>
      </c>
      <c r="FM140" s="15">
        <v>6</v>
      </c>
      <c r="FN140" s="15">
        <v>6</v>
      </c>
      <c r="FO140" s="15">
        <v>6</v>
      </c>
      <c r="FP140" s="15">
        <v>6</v>
      </c>
      <c r="FQ140" s="184"/>
      <c r="FR140" s="15"/>
      <c r="FS140" s="15"/>
      <c r="FT140" s="15"/>
      <c r="FU140" s="15"/>
      <c r="FV140" s="15"/>
      <c r="FW140" s="178"/>
      <c r="FX140" s="184"/>
      <c r="FY140" s="181"/>
      <c r="FZ140" s="15"/>
      <c r="GA140" s="15"/>
      <c r="GB140" s="15"/>
      <c r="GC140" s="15"/>
      <c r="GD140" s="15"/>
      <c r="GE140" s="184"/>
      <c r="GF140" s="15"/>
      <c r="GG140" s="15"/>
      <c r="GH140" s="15"/>
      <c r="GI140" s="15"/>
      <c r="GJ140" s="15"/>
      <c r="GK140" s="15"/>
      <c r="GL140" s="184"/>
      <c r="GM140" s="15"/>
      <c r="GN140" s="15"/>
      <c r="GO140" s="15"/>
      <c r="GP140" s="15"/>
      <c r="GQ140" s="15"/>
      <c r="GR140" s="15"/>
      <c r="GS140" s="184"/>
      <c r="GT140" s="15"/>
      <c r="GU140" s="15"/>
      <c r="GV140" s="15"/>
      <c r="GW140" s="15"/>
      <c r="GX140" s="15"/>
      <c r="GY140" s="15"/>
      <c r="GZ140" s="184"/>
      <c r="HA140" s="15"/>
      <c r="HB140" s="15"/>
      <c r="HC140" s="15"/>
      <c r="HD140" s="15"/>
      <c r="HE140" s="15"/>
      <c r="HF140" s="15"/>
      <c r="HG140" s="184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  <c r="JT140" s="15"/>
      <c r="JU140" s="15"/>
      <c r="JV140" s="15"/>
      <c r="JW140" s="15"/>
      <c r="JX140" s="15"/>
      <c r="JY140" s="15"/>
      <c r="JZ140" s="15"/>
      <c r="KA140" s="15"/>
      <c r="KB140" s="15"/>
      <c r="KC140" s="15"/>
      <c r="KD140" s="15"/>
      <c r="KE140" s="15"/>
      <c r="KF140" s="15"/>
      <c r="KG140" s="15"/>
      <c r="KH140" s="15"/>
      <c r="KI140" s="15"/>
      <c r="KJ140" s="15"/>
      <c r="KK140" s="15"/>
      <c r="KL140" s="15"/>
      <c r="KM140" s="15"/>
      <c r="KN140" s="15"/>
      <c r="KO140" s="15"/>
      <c r="KP140" s="15"/>
      <c r="KQ140" s="15"/>
      <c r="KR140" s="15"/>
      <c r="KS140" s="15"/>
      <c r="KT140" s="15"/>
      <c r="KU140" s="15"/>
      <c r="KV140" s="15"/>
      <c r="KW140" s="15"/>
      <c r="KX140" s="15"/>
      <c r="KY140" s="15"/>
      <c r="KZ140" s="15"/>
      <c r="LA140" s="15"/>
      <c r="LB140" s="15"/>
      <c r="LC140" s="15"/>
      <c r="LD140" s="15"/>
      <c r="LE140" s="15"/>
      <c r="LF140" s="15"/>
      <c r="LG140" s="15"/>
      <c r="LH140" s="15"/>
      <c r="LI140" s="15"/>
      <c r="LJ140" s="15"/>
      <c r="LK140" s="15"/>
      <c r="LL140" s="15"/>
      <c r="LM140" s="15"/>
      <c r="LN140" s="15"/>
      <c r="LO140" s="15"/>
      <c r="LP140" s="15"/>
      <c r="LQ140" s="15"/>
      <c r="LR140" s="15"/>
      <c r="LS140" s="15"/>
      <c r="LT140" s="15"/>
      <c r="LU140" s="15"/>
      <c r="LV140" s="15"/>
      <c r="LW140" s="15"/>
      <c r="LX140" s="15"/>
      <c r="LY140" s="15"/>
      <c r="LZ140" s="15"/>
      <c r="MA140" s="15"/>
      <c r="MB140" s="15"/>
      <c r="MC140" s="15"/>
      <c r="MD140" s="15"/>
      <c r="ME140" s="15"/>
      <c r="MF140" s="15"/>
      <c r="MG140" s="15"/>
      <c r="MH140" s="15"/>
      <c r="MI140" s="15"/>
      <c r="MJ140" s="15"/>
      <c r="MK140" s="15"/>
      <c r="ML140" s="15"/>
      <c r="MM140" s="15"/>
      <c r="MN140" s="15"/>
      <c r="MO140" s="15"/>
      <c r="MP140" s="15"/>
      <c r="MQ140" s="15"/>
      <c r="MR140" s="15"/>
      <c r="MS140" s="15"/>
      <c r="MT140" s="15"/>
      <c r="MU140" s="15"/>
      <c r="MV140" s="15"/>
      <c r="MW140" s="15"/>
      <c r="MX140" s="15"/>
      <c r="MY140" s="15"/>
      <c r="MZ140" s="15"/>
      <c r="NA140" s="15"/>
      <c r="NB140" s="15"/>
      <c r="NC140" s="15"/>
      <c r="ND140" s="15"/>
      <c r="NE140" s="15"/>
      <c r="NF140" s="15"/>
      <c r="NG140" s="15"/>
      <c r="NH140" s="15"/>
      <c r="NI140" s="15"/>
      <c r="NJ140" s="15"/>
      <c r="NK140" s="15"/>
      <c r="NL140" s="15"/>
      <c r="NM140" s="15"/>
      <c r="NN140" s="15"/>
      <c r="NO140" s="15"/>
      <c r="NP140" s="15"/>
      <c r="NQ140" s="15"/>
      <c r="NR140" s="15"/>
      <c r="NS140" s="15"/>
      <c r="NT140" s="15"/>
      <c r="NU140" s="15"/>
      <c r="NV140" s="15"/>
      <c r="NW140" s="15"/>
      <c r="NX140" s="15"/>
      <c r="NY140" s="15"/>
      <c r="NZ140" s="15"/>
    </row>
    <row r="141" spans="2:390" ht="19.5" customHeight="1" x14ac:dyDescent="0.45">
      <c r="B141" s="1">
        <f t="shared" si="82"/>
        <v>4</v>
      </c>
      <c r="C141" s="1">
        <f>+C140</f>
        <v>4</v>
      </c>
      <c r="D141" s="1">
        <f>+D140+1</f>
        <v>2</v>
      </c>
      <c r="E141" s="59" t="str">
        <f t="shared" si="81"/>
        <v>4.4.2</v>
      </c>
      <c r="F141" s="23" t="s">
        <v>123</v>
      </c>
      <c r="G141" s="191">
        <v>1</v>
      </c>
      <c r="H141" s="52" t="s">
        <v>117</v>
      </c>
      <c r="I141" s="52" t="s">
        <v>156</v>
      </c>
      <c r="J141" s="52">
        <f>85*3</f>
        <v>255</v>
      </c>
      <c r="K141" s="52">
        <v>0</v>
      </c>
      <c r="L141" s="20">
        <f>+J141-K141</f>
        <v>255</v>
      </c>
      <c r="M141" s="52">
        <v>2</v>
      </c>
      <c r="N141" s="52">
        <v>6</v>
      </c>
      <c r="O141" s="51">
        <f t="shared" si="83"/>
        <v>12</v>
      </c>
      <c r="P141" s="51">
        <f>+SUM(AA141:NZ141)</f>
        <v>12</v>
      </c>
      <c r="Q141" s="51">
        <f>+O141-P141</f>
        <v>0</v>
      </c>
      <c r="R141" s="19">
        <v>46111</v>
      </c>
      <c r="S141" s="20">
        <v>5</v>
      </c>
      <c r="T141" s="21">
        <f t="shared" si="61"/>
        <v>46115</v>
      </c>
      <c r="U141" s="22">
        <f>+K141/J141</f>
        <v>0</v>
      </c>
      <c r="V141" s="199">
        <f t="shared" si="62"/>
        <v>0</v>
      </c>
      <c r="W141" s="158">
        <f t="shared" si="84"/>
        <v>0</v>
      </c>
      <c r="X141" s="159">
        <f t="shared" si="85"/>
        <v>0</v>
      </c>
      <c r="Y141" s="199">
        <f t="shared" si="63"/>
        <v>0</v>
      </c>
      <c r="Z141" s="36"/>
      <c r="AA141" s="15"/>
      <c r="AB141" s="15"/>
      <c r="AC141" s="15"/>
      <c r="AD141" s="15"/>
      <c r="AE141" s="15"/>
      <c r="AF141" s="15"/>
      <c r="AG141" s="184"/>
      <c r="AH141" s="15"/>
      <c r="AI141" s="15"/>
      <c r="AJ141" s="15"/>
      <c r="AK141" s="15"/>
      <c r="AL141" s="15"/>
      <c r="AM141" s="15"/>
      <c r="AN141" s="184"/>
      <c r="AO141" s="15"/>
      <c r="AP141" s="15"/>
      <c r="AQ141" s="15"/>
      <c r="AR141" s="15"/>
      <c r="AS141" s="15"/>
      <c r="AT141" s="15"/>
      <c r="AU141" s="184"/>
      <c r="AV141" s="15"/>
      <c r="AW141" s="15"/>
      <c r="AX141" s="15"/>
      <c r="AY141" s="15"/>
      <c r="AZ141" s="15"/>
      <c r="BA141" s="15"/>
      <c r="BB141" s="184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84"/>
      <c r="CE141" s="15"/>
      <c r="CF141" s="15"/>
      <c r="CG141" s="15"/>
      <c r="CH141" s="15"/>
      <c r="CI141" s="15"/>
      <c r="CJ141" s="15"/>
      <c r="CK141" s="184"/>
      <c r="CL141" s="15"/>
      <c r="CM141" s="15"/>
      <c r="CN141" s="15"/>
      <c r="CO141" s="15"/>
      <c r="CP141" s="15"/>
      <c r="CQ141" s="15"/>
      <c r="CR141" s="184"/>
      <c r="CS141" s="15"/>
      <c r="CT141" s="15"/>
      <c r="CU141" s="15"/>
      <c r="CV141" s="15"/>
      <c r="CW141" s="15"/>
      <c r="CX141" s="15"/>
      <c r="CY141" s="184"/>
      <c r="CZ141" s="15"/>
      <c r="DA141" s="15"/>
      <c r="DB141" s="15"/>
      <c r="DC141" s="15"/>
      <c r="DD141" s="15"/>
      <c r="DE141" s="15"/>
      <c r="DF141" s="184"/>
      <c r="DG141" s="15"/>
      <c r="DH141" s="15"/>
      <c r="DI141" s="15"/>
      <c r="DJ141" s="15"/>
      <c r="DK141" s="15"/>
      <c r="DL141" s="15"/>
      <c r="DM141" s="184"/>
      <c r="DN141" s="15"/>
      <c r="DO141" s="15"/>
      <c r="DP141" s="15"/>
      <c r="DQ141" s="15"/>
      <c r="DR141" s="15"/>
      <c r="DS141" s="15"/>
      <c r="DT141" s="184"/>
      <c r="DU141" s="15"/>
      <c r="DV141" s="15"/>
      <c r="DW141" s="15"/>
      <c r="DX141" s="15"/>
      <c r="DY141" s="15"/>
      <c r="DZ141" s="15"/>
      <c r="EA141" s="184"/>
      <c r="EB141" s="15"/>
      <c r="EC141" s="15"/>
      <c r="ED141" s="15"/>
      <c r="EE141" s="15"/>
      <c r="EF141" s="15"/>
      <c r="EG141" s="15"/>
      <c r="EH141" s="184"/>
      <c r="EI141" s="15"/>
      <c r="EJ141" s="15"/>
      <c r="EK141" s="15"/>
      <c r="EL141" s="15"/>
      <c r="EM141" s="15"/>
      <c r="EN141" s="15"/>
      <c r="EO141" s="184"/>
      <c r="EP141" s="15"/>
      <c r="EQ141" s="15"/>
      <c r="ER141" s="15"/>
      <c r="ES141" s="15"/>
      <c r="ET141" s="15"/>
      <c r="EU141" s="15"/>
      <c r="EV141" s="184"/>
      <c r="EW141" s="15">
        <v>2</v>
      </c>
      <c r="EX141" s="15">
        <v>2</v>
      </c>
      <c r="EY141" s="15">
        <v>2</v>
      </c>
      <c r="EZ141" s="15">
        <v>2</v>
      </c>
      <c r="FA141" s="15">
        <v>2</v>
      </c>
      <c r="FB141" s="15">
        <v>2</v>
      </c>
      <c r="FC141" s="184"/>
      <c r="FD141" s="15"/>
      <c r="FE141" s="15"/>
      <c r="FF141" s="15"/>
      <c r="FG141" s="15"/>
      <c r="FH141" s="15"/>
      <c r="FI141" s="15"/>
      <c r="FJ141" s="184"/>
      <c r="FK141" s="15"/>
      <c r="FL141" s="15"/>
      <c r="FM141" s="15"/>
      <c r="FN141" s="15"/>
      <c r="FO141" s="15"/>
      <c r="FP141" s="15"/>
      <c r="FQ141" s="184"/>
      <c r="FR141" s="15"/>
      <c r="FS141" s="15"/>
      <c r="FT141" s="15"/>
      <c r="FU141" s="15"/>
      <c r="FV141" s="15"/>
      <c r="FW141" s="178"/>
      <c r="FX141" s="184"/>
      <c r="FY141" s="181"/>
      <c r="FZ141" s="15"/>
      <c r="GA141" s="15"/>
      <c r="GB141" s="15"/>
      <c r="GC141" s="15"/>
      <c r="GD141" s="15"/>
      <c r="GE141" s="184"/>
      <c r="GF141" s="15"/>
      <c r="GG141" s="15"/>
      <c r="GH141" s="15"/>
      <c r="GI141" s="15"/>
      <c r="GJ141" s="15"/>
      <c r="GK141" s="15"/>
      <c r="GL141" s="184"/>
      <c r="GM141" s="15"/>
      <c r="GN141" s="15"/>
      <c r="GO141" s="15"/>
      <c r="GP141" s="15"/>
      <c r="GQ141" s="15"/>
      <c r="GR141" s="15"/>
      <c r="GS141" s="184"/>
      <c r="GT141" s="15"/>
      <c r="GU141" s="15"/>
      <c r="GV141" s="15"/>
      <c r="GW141" s="15"/>
      <c r="GX141" s="15"/>
      <c r="GY141" s="15"/>
      <c r="GZ141" s="184"/>
      <c r="HA141" s="15"/>
      <c r="HB141" s="15"/>
      <c r="HC141" s="15"/>
      <c r="HD141" s="15"/>
      <c r="HE141" s="15"/>
      <c r="HF141" s="15"/>
      <c r="HG141" s="184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/>
      <c r="KE141" s="15"/>
      <c r="KF141" s="15"/>
      <c r="KG141" s="15"/>
      <c r="KH141" s="15"/>
      <c r="KI141" s="15"/>
      <c r="KJ141" s="15"/>
      <c r="KK141" s="15"/>
      <c r="KL141" s="15"/>
      <c r="KM141" s="15"/>
      <c r="KN141" s="15"/>
      <c r="KO141" s="15"/>
      <c r="KP141" s="15"/>
      <c r="KQ141" s="15"/>
      <c r="KR141" s="15"/>
      <c r="KS141" s="15"/>
      <c r="KT141" s="15"/>
      <c r="KU141" s="15"/>
      <c r="KV141" s="15"/>
      <c r="KW141" s="15"/>
      <c r="KX141" s="15"/>
      <c r="KY141" s="15"/>
      <c r="KZ141" s="15"/>
      <c r="LA141" s="15"/>
      <c r="LB141" s="15"/>
      <c r="LC141" s="15"/>
      <c r="LD141" s="15"/>
      <c r="LE141" s="15"/>
      <c r="LF141" s="15"/>
      <c r="LG141" s="15"/>
      <c r="LH141" s="15"/>
      <c r="LI141" s="15"/>
      <c r="LJ141" s="15"/>
      <c r="LK141" s="15"/>
      <c r="LL141" s="15"/>
      <c r="LM141" s="15"/>
      <c r="LN141" s="15"/>
      <c r="LO141" s="15"/>
      <c r="LP141" s="15"/>
      <c r="LQ141" s="15"/>
      <c r="LR141" s="15"/>
      <c r="LS141" s="15"/>
      <c r="LT141" s="15"/>
      <c r="LU141" s="15"/>
      <c r="LV141" s="15"/>
      <c r="LW141" s="15"/>
      <c r="LX141" s="15"/>
      <c r="LY141" s="15"/>
      <c r="LZ141" s="15"/>
      <c r="MA141" s="15"/>
      <c r="MB141" s="15"/>
      <c r="MC141" s="15"/>
      <c r="MD141" s="15"/>
      <c r="ME141" s="15"/>
      <c r="MF141" s="15"/>
      <c r="MG141" s="15"/>
      <c r="MH141" s="15"/>
      <c r="MI141" s="15"/>
      <c r="MJ141" s="15"/>
      <c r="MK141" s="15"/>
      <c r="ML141" s="15"/>
      <c r="MM141" s="15"/>
      <c r="MN141" s="15"/>
      <c r="MO141" s="15"/>
      <c r="MP141" s="15"/>
      <c r="MQ141" s="15"/>
      <c r="MR141" s="15"/>
      <c r="MS141" s="15"/>
      <c r="MT141" s="15"/>
      <c r="MU141" s="15"/>
      <c r="MV141" s="15"/>
      <c r="MW141" s="15"/>
      <c r="MX141" s="15"/>
      <c r="MY141" s="15"/>
      <c r="MZ141" s="15"/>
      <c r="NA141" s="15"/>
      <c r="NB141" s="15"/>
      <c r="NC141" s="15"/>
      <c r="ND141" s="15"/>
      <c r="NE141" s="15"/>
      <c r="NF141" s="15"/>
      <c r="NG141" s="15"/>
      <c r="NH141" s="15"/>
      <c r="NI141" s="15"/>
      <c r="NJ141" s="15"/>
      <c r="NK141" s="15"/>
      <c r="NL141" s="15"/>
      <c r="NM141" s="15"/>
      <c r="NN141" s="15"/>
      <c r="NO141" s="15"/>
      <c r="NP141" s="15"/>
      <c r="NQ141" s="15"/>
      <c r="NR141" s="15"/>
      <c r="NS141" s="15"/>
      <c r="NT141" s="15"/>
      <c r="NU141" s="15"/>
      <c r="NV141" s="15"/>
      <c r="NW141" s="15"/>
      <c r="NX141" s="15"/>
      <c r="NY141" s="15"/>
      <c r="NZ141" s="15"/>
    </row>
    <row r="142" spans="2:390" ht="19.5" customHeight="1" x14ac:dyDescent="0.45">
      <c r="B142" s="1">
        <f t="shared" si="82"/>
        <v>4</v>
      </c>
      <c r="C142" s="1">
        <f>+C141</f>
        <v>4</v>
      </c>
      <c r="D142" s="1">
        <f>+D141+1</f>
        <v>3</v>
      </c>
      <c r="E142" s="59" t="str">
        <f t="shared" si="81"/>
        <v>4.4.3</v>
      </c>
      <c r="F142" s="23" t="s">
        <v>124</v>
      </c>
      <c r="G142" s="191">
        <v>1</v>
      </c>
      <c r="H142" s="52" t="s">
        <v>117</v>
      </c>
      <c r="I142" s="52" t="s">
        <v>156</v>
      </c>
      <c r="J142" s="52">
        <f>27+19+J140</f>
        <v>79</v>
      </c>
      <c r="K142" s="52">
        <v>0</v>
      </c>
      <c r="L142" s="20">
        <f>+J142-K142</f>
        <v>79</v>
      </c>
      <c r="M142" s="52">
        <v>2</v>
      </c>
      <c r="N142" s="52">
        <v>12</v>
      </c>
      <c r="O142" s="51">
        <f t="shared" si="83"/>
        <v>24</v>
      </c>
      <c r="P142" s="51">
        <f>+SUM(AA142:NZ142)</f>
        <v>24</v>
      </c>
      <c r="Q142" s="51">
        <f>+O142-P142</f>
        <v>0</v>
      </c>
      <c r="R142" s="19">
        <v>46111</v>
      </c>
      <c r="S142" s="20">
        <v>10</v>
      </c>
      <c r="T142" s="21">
        <f t="shared" si="61"/>
        <v>46122</v>
      </c>
      <c r="U142" s="22">
        <f>+K142/J142</f>
        <v>0</v>
      </c>
      <c r="V142" s="199">
        <f t="shared" si="62"/>
        <v>0</v>
      </c>
      <c r="W142" s="158">
        <f t="shared" si="84"/>
        <v>0</v>
      </c>
      <c r="X142" s="159">
        <f t="shared" si="85"/>
        <v>0</v>
      </c>
      <c r="Y142" s="199">
        <f t="shared" si="63"/>
        <v>0</v>
      </c>
      <c r="Z142" s="36"/>
      <c r="AA142" s="15"/>
      <c r="AB142" s="15"/>
      <c r="AC142" s="15"/>
      <c r="AD142" s="15"/>
      <c r="AE142" s="15"/>
      <c r="AF142" s="15"/>
      <c r="AG142" s="184"/>
      <c r="AH142" s="15"/>
      <c r="AI142" s="15"/>
      <c r="AJ142" s="15"/>
      <c r="AK142" s="15"/>
      <c r="AL142" s="15"/>
      <c r="AM142" s="15"/>
      <c r="AN142" s="184"/>
      <c r="AO142" s="15"/>
      <c r="AP142" s="15"/>
      <c r="AQ142" s="15"/>
      <c r="AR142" s="15"/>
      <c r="AS142" s="15"/>
      <c r="AT142" s="15"/>
      <c r="AU142" s="184"/>
      <c r="AV142" s="15"/>
      <c r="AW142" s="15"/>
      <c r="AX142" s="15"/>
      <c r="AY142" s="15"/>
      <c r="AZ142" s="15"/>
      <c r="BA142" s="15"/>
      <c r="BB142" s="184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84"/>
      <c r="CE142" s="15"/>
      <c r="CF142" s="15"/>
      <c r="CG142" s="15"/>
      <c r="CH142" s="15"/>
      <c r="CI142" s="15"/>
      <c r="CJ142" s="15"/>
      <c r="CK142" s="184"/>
      <c r="CL142" s="15"/>
      <c r="CM142" s="15"/>
      <c r="CN142" s="15"/>
      <c r="CO142" s="15"/>
      <c r="CP142" s="15"/>
      <c r="CQ142" s="15"/>
      <c r="CR142" s="184"/>
      <c r="CS142" s="15"/>
      <c r="CT142" s="15"/>
      <c r="CU142" s="15"/>
      <c r="CV142" s="15"/>
      <c r="CW142" s="15"/>
      <c r="CX142" s="15"/>
      <c r="CY142" s="184"/>
      <c r="CZ142" s="15"/>
      <c r="DA142" s="15"/>
      <c r="DB142" s="15"/>
      <c r="DC142" s="15"/>
      <c r="DD142" s="15"/>
      <c r="DE142" s="15"/>
      <c r="DF142" s="184"/>
      <c r="DG142" s="15"/>
      <c r="DH142" s="15"/>
      <c r="DI142" s="15"/>
      <c r="DJ142" s="15"/>
      <c r="DK142" s="15"/>
      <c r="DL142" s="15"/>
      <c r="DM142" s="184"/>
      <c r="DN142" s="15"/>
      <c r="DO142" s="15"/>
      <c r="DP142" s="15"/>
      <c r="DQ142" s="15"/>
      <c r="DR142" s="15"/>
      <c r="DS142" s="15"/>
      <c r="DT142" s="184"/>
      <c r="DU142" s="15"/>
      <c r="DV142" s="15"/>
      <c r="DW142" s="15"/>
      <c r="DX142" s="15"/>
      <c r="DY142" s="15"/>
      <c r="DZ142" s="15"/>
      <c r="EA142" s="184"/>
      <c r="EB142" s="15"/>
      <c r="EC142" s="15"/>
      <c r="ED142" s="15"/>
      <c r="EE142" s="15"/>
      <c r="EF142" s="15"/>
      <c r="EG142" s="15"/>
      <c r="EH142" s="184"/>
      <c r="EI142" s="15"/>
      <c r="EJ142" s="15"/>
      <c r="EK142" s="15"/>
      <c r="EL142" s="15"/>
      <c r="EM142" s="15"/>
      <c r="EN142" s="15"/>
      <c r="EO142" s="184"/>
      <c r="EP142" s="15"/>
      <c r="EQ142" s="15"/>
      <c r="ER142" s="15"/>
      <c r="ES142" s="15"/>
      <c r="ET142" s="15"/>
      <c r="EU142" s="15"/>
      <c r="EV142" s="184"/>
      <c r="EW142" s="15">
        <v>2</v>
      </c>
      <c r="EX142" s="15">
        <v>2</v>
      </c>
      <c r="EY142" s="15">
        <v>2</v>
      </c>
      <c r="EZ142" s="15">
        <v>2</v>
      </c>
      <c r="FA142" s="15">
        <v>2</v>
      </c>
      <c r="FB142" s="15">
        <v>2</v>
      </c>
      <c r="FC142" s="184"/>
      <c r="FD142" s="15">
        <v>2</v>
      </c>
      <c r="FE142" s="15">
        <v>2</v>
      </c>
      <c r="FF142" s="15">
        <v>2</v>
      </c>
      <c r="FG142" s="15">
        <v>2</v>
      </c>
      <c r="FH142" s="15">
        <v>2</v>
      </c>
      <c r="FI142" s="15">
        <v>2</v>
      </c>
      <c r="FJ142" s="184"/>
      <c r="FK142" s="15"/>
      <c r="FL142" s="15"/>
      <c r="FM142" s="15"/>
      <c r="FN142" s="15"/>
      <c r="FO142" s="15"/>
      <c r="FP142" s="15"/>
      <c r="FQ142" s="184"/>
      <c r="FR142" s="15"/>
      <c r="FS142" s="15"/>
      <c r="FT142" s="15"/>
      <c r="FU142" s="15"/>
      <c r="FV142" s="15"/>
      <c r="FW142" s="178"/>
      <c r="FX142" s="184"/>
      <c r="FY142" s="181"/>
      <c r="FZ142" s="15"/>
      <c r="GA142" s="15"/>
      <c r="GB142" s="15"/>
      <c r="GC142" s="15"/>
      <c r="GD142" s="15"/>
      <c r="GE142" s="184"/>
      <c r="GF142" s="15"/>
      <c r="GG142" s="15"/>
      <c r="GH142" s="15"/>
      <c r="GI142" s="15"/>
      <c r="GJ142" s="15"/>
      <c r="GK142" s="15"/>
      <c r="GL142" s="184"/>
      <c r="GM142" s="15"/>
      <c r="GN142" s="15"/>
      <c r="GO142" s="15"/>
      <c r="GP142" s="15"/>
      <c r="GQ142" s="15"/>
      <c r="GR142" s="15"/>
      <c r="GS142" s="184"/>
      <c r="GT142" s="15"/>
      <c r="GU142" s="15"/>
      <c r="GV142" s="15"/>
      <c r="GW142" s="15"/>
      <c r="GX142" s="15"/>
      <c r="GY142" s="15"/>
      <c r="GZ142" s="184"/>
      <c r="HA142" s="15"/>
      <c r="HB142" s="15"/>
      <c r="HC142" s="15"/>
      <c r="HD142" s="15"/>
      <c r="HE142" s="15"/>
      <c r="HF142" s="15"/>
      <c r="HG142" s="184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  <c r="MG142" s="15"/>
      <c r="MH142" s="15"/>
      <c r="MI142" s="15"/>
      <c r="MJ142" s="15"/>
      <c r="MK142" s="15"/>
      <c r="ML142" s="15"/>
      <c r="MM142" s="15"/>
      <c r="MN142" s="15"/>
      <c r="MO142" s="15"/>
      <c r="MP142" s="15"/>
      <c r="MQ142" s="15"/>
      <c r="MR142" s="15"/>
      <c r="MS142" s="15"/>
      <c r="MT142" s="15"/>
      <c r="MU142" s="15"/>
      <c r="MV142" s="15"/>
      <c r="MW142" s="15"/>
      <c r="MX142" s="15"/>
      <c r="MY142" s="15"/>
      <c r="MZ142" s="15"/>
      <c r="NA142" s="15"/>
      <c r="NB142" s="15"/>
      <c r="NC142" s="15"/>
      <c r="ND142" s="15"/>
      <c r="NE142" s="15"/>
      <c r="NF142" s="15"/>
      <c r="NG142" s="15"/>
      <c r="NH142" s="15"/>
      <c r="NI142" s="15"/>
      <c r="NJ142" s="15"/>
      <c r="NK142" s="15"/>
      <c r="NL142" s="15"/>
      <c r="NM142" s="15"/>
      <c r="NN142" s="15"/>
      <c r="NO142" s="15"/>
      <c r="NP142" s="15"/>
      <c r="NQ142" s="15"/>
      <c r="NR142" s="15"/>
      <c r="NS142" s="15"/>
      <c r="NT142" s="15"/>
      <c r="NU142" s="15"/>
      <c r="NV142" s="15"/>
      <c r="NW142" s="15"/>
      <c r="NX142" s="15"/>
      <c r="NY142" s="15"/>
      <c r="NZ142" s="15"/>
    </row>
    <row r="143" spans="2:390" ht="19.5" customHeight="1" x14ac:dyDescent="0.45">
      <c r="B143" s="1">
        <f t="shared" si="82"/>
        <v>4</v>
      </c>
      <c r="C143" s="1">
        <f>+C142+1</f>
        <v>5</v>
      </c>
      <c r="D143" s="1">
        <v>0</v>
      </c>
      <c r="E143" s="93" t="str">
        <f t="shared" si="81"/>
        <v>4.5.0</v>
      </c>
      <c r="F143" s="94" t="s">
        <v>49</v>
      </c>
      <c r="G143" s="94"/>
      <c r="H143" s="95"/>
      <c r="I143" s="95"/>
      <c r="J143" s="96"/>
      <c r="K143" s="96"/>
      <c r="L143" s="97"/>
      <c r="M143" s="95"/>
      <c r="N143" s="95"/>
      <c r="O143" s="95">
        <f>SUM(O144:O145)</f>
        <v>24</v>
      </c>
      <c r="P143" s="95"/>
      <c r="Q143" s="95"/>
      <c r="R143" s="168"/>
      <c r="S143" s="98"/>
      <c r="T143" s="163" t="str">
        <f t="shared" ref="T143:T164" si="86">IF(S143&lt;&gt;"",IF($Z$9="x",WORKDAY(IF(WEEKDAY(R143,1)=7,R143+2,IF(WEEKDAY(R143,1)=1,R143+1,R143)),S143-1),R143+S143-1),"")</f>
        <v/>
      </c>
      <c r="U143" s="164">
        <f>+SUMPRODUCT(U144:U145,O144:O145)/O143</f>
        <v>0</v>
      </c>
      <c r="V143" s="200">
        <f t="shared" ref="V143:V164" si="87">+U143*O143</f>
        <v>0</v>
      </c>
      <c r="W143" s="158">
        <f t="shared" si="84"/>
        <v>0</v>
      </c>
      <c r="X143" s="159">
        <f t="shared" si="85"/>
        <v>0</v>
      </c>
      <c r="Y143" s="199">
        <f t="shared" ref="Y143:Y164" si="88">+X143*O143</f>
        <v>0</v>
      </c>
      <c r="Z143" s="36"/>
      <c r="AA143" s="15"/>
      <c r="AB143" s="15"/>
      <c r="AC143" s="15"/>
      <c r="AD143" s="15"/>
      <c r="AE143" s="15"/>
      <c r="AF143" s="15"/>
      <c r="AG143" s="184"/>
      <c r="AH143" s="15"/>
      <c r="AI143" s="15"/>
      <c r="AJ143" s="15"/>
      <c r="AK143" s="15"/>
      <c r="AL143" s="15"/>
      <c r="AM143" s="15"/>
      <c r="AN143" s="184"/>
      <c r="AO143" s="15"/>
      <c r="AP143" s="15"/>
      <c r="AQ143" s="15"/>
      <c r="AR143" s="15"/>
      <c r="AS143" s="15"/>
      <c r="AT143" s="15"/>
      <c r="AU143" s="184"/>
      <c r="AV143" s="15"/>
      <c r="AW143" s="15"/>
      <c r="AX143" s="15"/>
      <c r="AY143" s="15"/>
      <c r="AZ143" s="15"/>
      <c r="BA143" s="15"/>
      <c r="BB143" s="184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84"/>
      <c r="CE143" s="15"/>
      <c r="CF143" s="15"/>
      <c r="CG143" s="15"/>
      <c r="CH143" s="15"/>
      <c r="CI143" s="15"/>
      <c r="CJ143" s="15"/>
      <c r="CK143" s="184"/>
      <c r="CL143" s="15"/>
      <c r="CM143" s="15"/>
      <c r="CN143" s="15"/>
      <c r="CO143" s="15"/>
      <c r="CP143" s="15"/>
      <c r="CQ143" s="15"/>
      <c r="CR143" s="184"/>
      <c r="CS143" s="15"/>
      <c r="CT143" s="15"/>
      <c r="CU143" s="15"/>
      <c r="CV143" s="15"/>
      <c r="CW143" s="15"/>
      <c r="CX143" s="15"/>
      <c r="CY143" s="184"/>
      <c r="CZ143" s="15"/>
      <c r="DA143" s="15"/>
      <c r="DB143" s="15"/>
      <c r="DC143" s="15"/>
      <c r="DD143" s="15"/>
      <c r="DE143" s="15"/>
      <c r="DF143" s="184"/>
      <c r="DG143" s="15"/>
      <c r="DH143" s="15"/>
      <c r="DI143" s="15"/>
      <c r="DJ143" s="15"/>
      <c r="DK143" s="15"/>
      <c r="DL143" s="15"/>
      <c r="DM143" s="184"/>
      <c r="DN143" s="15"/>
      <c r="DO143" s="15"/>
      <c r="DP143" s="15"/>
      <c r="DQ143" s="15"/>
      <c r="DR143" s="15"/>
      <c r="DS143" s="15"/>
      <c r="DT143" s="184"/>
      <c r="DU143" s="15"/>
      <c r="DV143" s="15"/>
      <c r="DW143" s="15"/>
      <c r="DX143" s="15"/>
      <c r="DY143" s="15"/>
      <c r="DZ143" s="15"/>
      <c r="EA143" s="184"/>
      <c r="EB143" s="15"/>
      <c r="EC143" s="15"/>
      <c r="ED143" s="15"/>
      <c r="EE143" s="15"/>
      <c r="EF143" s="15"/>
      <c r="EG143" s="15"/>
      <c r="EH143" s="184"/>
      <c r="EI143" s="15"/>
      <c r="EJ143" s="15"/>
      <c r="EK143" s="15"/>
      <c r="EL143" s="15"/>
      <c r="EM143" s="15"/>
      <c r="EN143" s="15"/>
      <c r="EO143" s="184"/>
      <c r="EP143" s="15"/>
      <c r="EQ143" s="15"/>
      <c r="ER143" s="15"/>
      <c r="ES143" s="15"/>
      <c r="ET143" s="15"/>
      <c r="EU143" s="15"/>
      <c r="EV143" s="184"/>
      <c r="EW143" s="15"/>
      <c r="EX143" s="15"/>
      <c r="EY143" s="15"/>
      <c r="EZ143" s="15"/>
      <c r="FA143" s="15"/>
      <c r="FB143" s="15"/>
      <c r="FC143" s="184"/>
      <c r="FD143" s="15"/>
      <c r="FE143" s="15"/>
      <c r="FF143" s="15"/>
      <c r="FG143" s="15"/>
      <c r="FH143" s="15"/>
      <c r="FI143" s="15"/>
      <c r="FJ143" s="184"/>
      <c r="FK143" s="15"/>
      <c r="FL143" s="15"/>
      <c r="FM143" s="15"/>
      <c r="FN143" s="15"/>
      <c r="FO143" s="15"/>
      <c r="FP143" s="15"/>
      <c r="FQ143" s="184"/>
      <c r="FR143" s="15"/>
      <c r="FS143" s="15"/>
      <c r="FT143" s="15"/>
      <c r="FU143" s="15"/>
      <c r="FV143" s="15"/>
      <c r="FW143" s="178"/>
      <c r="FX143" s="184"/>
      <c r="FY143" s="181"/>
      <c r="FZ143" s="15"/>
      <c r="GA143" s="15"/>
      <c r="GB143" s="15"/>
      <c r="GC143" s="15"/>
      <c r="GD143" s="15"/>
      <c r="GE143" s="184"/>
      <c r="GF143" s="15"/>
      <c r="GG143" s="15"/>
      <c r="GH143" s="15"/>
      <c r="GI143" s="15"/>
      <c r="GJ143" s="15"/>
      <c r="GK143" s="15"/>
      <c r="GL143" s="184"/>
      <c r="GM143" s="15"/>
      <c r="GN143" s="15"/>
      <c r="GO143" s="15"/>
      <c r="GP143" s="15"/>
      <c r="GQ143" s="15"/>
      <c r="GR143" s="15"/>
      <c r="GS143" s="184"/>
      <c r="GT143" s="15"/>
      <c r="GU143" s="15"/>
      <c r="GV143" s="15"/>
      <c r="GW143" s="15"/>
      <c r="GX143" s="15"/>
      <c r="GY143" s="15"/>
      <c r="GZ143" s="184"/>
      <c r="HA143" s="15"/>
      <c r="HB143" s="15"/>
      <c r="HC143" s="15"/>
      <c r="HD143" s="15"/>
      <c r="HE143" s="15"/>
      <c r="HF143" s="15"/>
      <c r="HG143" s="184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  <c r="MH143" s="15"/>
      <c r="MI143" s="15"/>
      <c r="MJ143" s="15"/>
      <c r="MK143" s="15"/>
      <c r="ML143" s="15"/>
      <c r="MM143" s="15"/>
      <c r="MN143" s="15"/>
      <c r="MO143" s="15"/>
      <c r="MP143" s="15"/>
      <c r="MQ143" s="15"/>
      <c r="MR143" s="15"/>
      <c r="MS143" s="15"/>
      <c r="MT143" s="15"/>
      <c r="MU143" s="15"/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</row>
    <row r="144" spans="2:390" ht="19.5" customHeight="1" x14ac:dyDescent="0.45">
      <c r="B144" s="1">
        <f t="shared" si="82"/>
        <v>4</v>
      </c>
      <c r="C144" s="1">
        <f>+C143</f>
        <v>5</v>
      </c>
      <c r="D144" s="1">
        <f>+D143+1</f>
        <v>1</v>
      </c>
      <c r="E144" s="59" t="str">
        <f t="shared" si="81"/>
        <v>4.5.1</v>
      </c>
      <c r="F144" s="23" t="s">
        <v>47</v>
      </c>
      <c r="G144" s="191">
        <v>1</v>
      </c>
      <c r="H144" s="52" t="s">
        <v>117</v>
      </c>
      <c r="I144" s="52" t="s">
        <v>158</v>
      </c>
      <c r="J144" s="52">
        <v>43</v>
      </c>
      <c r="K144" s="52">
        <v>0</v>
      </c>
      <c r="L144" s="20">
        <f>+J144-K144</f>
        <v>43</v>
      </c>
      <c r="M144" s="52">
        <v>2</v>
      </c>
      <c r="N144" s="52">
        <v>6</v>
      </c>
      <c r="O144" s="51">
        <f t="shared" si="83"/>
        <v>12</v>
      </c>
      <c r="P144" s="51">
        <f>+SUM(AA144:NZ144)</f>
        <v>12</v>
      </c>
      <c r="Q144" s="51">
        <f>+O144-P144</f>
        <v>0</v>
      </c>
      <c r="R144" s="19">
        <v>46132</v>
      </c>
      <c r="S144" s="20">
        <v>5</v>
      </c>
      <c r="T144" s="21">
        <f t="shared" si="86"/>
        <v>46136</v>
      </c>
      <c r="U144" s="22">
        <f>+K144/J144</f>
        <v>0</v>
      </c>
      <c r="V144" s="199">
        <f t="shared" si="87"/>
        <v>0</v>
      </c>
      <c r="W144" s="158">
        <f t="shared" si="84"/>
        <v>0</v>
      </c>
      <c r="X144" s="159">
        <f t="shared" si="85"/>
        <v>0</v>
      </c>
      <c r="Y144" s="199">
        <f t="shared" si="88"/>
        <v>0</v>
      </c>
      <c r="Z144" s="36"/>
      <c r="AA144" s="15"/>
      <c r="AB144" s="15"/>
      <c r="AC144" s="15"/>
      <c r="AD144" s="15"/>
      <c r="AE144" s="15"/>
      <c r="AF144" s="15"/>
      <c r="AG144" s="184"/>
      <c r="AH144" s="15"/>
      <c r="AI144" s="15"/>
      <c r="AJ144" s="15"/>
      <c r="AK144" s="15"/>
      <c r="AL144" s="15"/>
      <c r="AM144" s="15"/>
      <c r="AN144" s="184"/>
      <c r="AO144" s="15"/>
      <c r="AP144" s="15"/>
      <c r="AQ144" s="15"/>
      <c r="AR144" s="15"/>
      <c r="AS144" s="15"/>
      <c r="AT144" s="15"/>
      <c r="AU144" s="184"/>
      <c r="AV144" s="15"/>
      <c r="AW144" s="15"/>
      <c r="AX144" s="15"/>
      <c r="AY144" s="15"/>
      <c r="AZ144" s="15"/>
      <c r="BA144" s="15"/>
      <c r="BB144" s="184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84"/>
      <c r="CE144" s="15"/>
      <c r="CF144" s="15"/>
      <c r="CG144" s="15"/>
      <c r="CH144" s="15"/>
      <c r="CI144" s="15"/>
      <c r="CJ144" s="15"/>
      <c r="CK144" s="184"/>
      <c r="CL144" s="15"/>
      <c r="CM144" s="15"/>
      <c r="CN144" s="15"/>
      <c r="CO144" s="15"/>
      <c r="CP144" s="15"/>
      <c r="CQ144" s="15"/>
      <c r="CR144" s="184"/>
      <c r="CS144" s="15"/>
      <c r="CT144" s="15"/>
      <c r="CU144" s="15"/>
      <c r="CV144" s="15"/>
      <c r="CW144" s="15"/>
      <c r="CX144" s="15"/>
      <c r="CY144" s="184"/>
      <c r="CZ144" s="15"/>
      <c r="DA144" s="15"/>
      <c r="DB144" s="15"/>
      <c r="DC144" s="15"/>
      <c r="DD144" s="15"/>
      <c r="DE144" s="15"/>
      <c r="DF144" s="184"/>
      <c r="DG144" s="15"/>
      <c r="DH144" s="15"/>
      <c r="DI144" s="15"/>
      <c r="DJ144" s="15"/>
      <c r="DK144" s="15"/>
      <c r="DL144" s="15"/>
      <c r="DM144" s="184"/>
      <c r="DN144" s="15"/>
      <c r="DO144" s="15"/>
      <c r="DP144" s="15"/>
      <c r="DQ144" s="15"/>
      <c r="DR144" s="15"/>
      <c r="DS144" s="15"/>
      <c r="DT144" s="184"/>
      <c r="DU144" s="15"/>
      <c r="DV144" s="15"/>
      <c r="DW144" s="15"/>
      <c r="DX144" s="15"/>
      <c r="DY144" s="15"/>
      <c r="DZ144" s="15"/>
      <c r="EA144" s="184"/>
      <c r="EB144" s="15"/>
      <c r="EC144" s="15"/>
      <c r="ED144" s="15"/>
      <c r="EE144" s="15"/>
      <c r="EF144" s="15"/>
      <c r="EG144" s="15"/>
      <c r="EH144" s="184"/>
      <c r="EI144" s="15"/>
      <c r="EJ144" s="15"/>
      <c r="EK144" s="15"/>
      <c r="EL144" s="15"/>
      <c r="EM144" s="15"/>
      <c r="EN144" s="15"/>
      <c r="EO144" s="184"/>
      <c r="EP144" s="15"/>
      <c r="EQ144" s="15"/>
      <c r="ER144" s="15"/>
      <c r="ES144" s="15"/>
      <c r="ET144" s="15"/>
      <c r="EU144" s="15"/>
      <c r="EV144" s="184"/>
      <c r="EW144" s="15"/>
      <c r="EX144" s="15"/>
      <c r="EY144" s="15"/>
      <c r="EZ144" s="15"/>
      <c r="FA144" s="15"/>
      <c r="FB144" s="15"/>
      <c r="FC144" s="184"/>
      <c r="FD144" s="15"/>
      <c r="FE144" s="15"/>
      <c r="FF144" s="15"/>
      <c r="FG144" s="15"/>
      <c r="FH144" s="15"/>
      <c r="FI144" s="15"/>
      <c r="FJ144" s="184"/>
      <c r="FK144" s="15"/>
      <c r="FL144" s="15"/>
      <c r="FM144" s="15"/>
      <c r="FN144" s="15"/>
      <c r="FO144" s="15"/>
      <c r="FP144" s="15"/>
      <c r="FQ144" s="184"/>
      <c r="FR144" s="15">
        <v>2</v>
      </c>
      <c r="FS144" s="15">
        <v>2</v>
      </c>
      <c r="FT144" s="15">
        <v>2</v>
      </c>
      <c r="FU144" s="15">
        <v>2</v>
      </c>
      <c r="FV144" s="15">
        <v>2</v>
      </c>
      <c r="FW144" s="178">
        <v>2</v>
      </c>
      <c r="FX144" s="184"/>
      <c r="FY144" s="181"/>
      <c r="FZ144" s="15"/>
      <c r="GA144" s="15"/>
      <c r="GB144" s="15"/>
      <c r="GC144" s="15"/>
      <c r="GD144" s="15"/>
      <c r="GE144" s="184"/>
      <c r="GF144" s="15"/>
      <c r="GG144" s="15"/>
      <c r="GH144" s="15"/>
      <c r="GI144" s="15"/>
      <c r="GJ144" s="15"/>
      <c r="GK144" s="15"/>
      <c r="GL144" s="184"/>
      <c r="GM144" s="15"/>
      <c r="GN144" s="15"/>
      <c r="GO144" s="15"/>
      <c r="GP144" s="15"/>
      <c r="GQ144" s="15"/>
      <c r="GR144" s="15"/>
      <c r="GS144" s="184"/>
      <c r="GT144" s="15"/>
      <c r="GU144" s="15"/>
      <c r="GV144" s="15"/>
      <c r="GW144" s="15"/>
      <c r="GX144" s="15"/>
      <c r="GY144" s="15"/>
      <c r="GZ144" s="184"/>
      <c r="HA144" s="15"/>
      <c r="HB144" s="15"/>
      <c r="HC144" s="15"/>
      <c r="HD144" s="15"/>
      <c r="HE144" s="15"/>
      <c r="HF144" s="15"/>
      <c r="HG144" s="184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/>
      <c r="LI144" s="15"/>
      <c r="LJ144" s="15"/>
      <c r="LK144" s="15"/>
      <c r="LL144" s="15"/>
      <c r="LM144" s="15"/>
      <c r="LN144" s="15"/>
      <c r="LO144" s="15"/>
      <c r="LP144" s="15"/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  <c r="MG144" s="15"/>
      <c r="MH144" s="15"/>
      <c r="MI144" s="15"/>
      <c r="MJ144" s="15"/>
      <c r="MK144" s="15"/>
      <c r="ML144" s="15"/>
      <c r="MM144" s="15"/>
      <c r="MN144" s="15"/>
      <c r="MO144" s="15"/>
      <c r="MP144" s="15"/>
      <c r="MQ144" s="15"/>
      <c r="MR144" s="15"/>
      <c r="MS144" s="15"/>
      <c r="MT144" s="15"/>
      <c r="MU144" s="15"/>
      <c r="MV144" s="15"/>
      <c r="MW144" s="15"/>
      <c r="MX144" s="15"/>
      <c r="MY144" s="15"/>
      <c r="MZ144" s="15"/>
      <c r="NA144" s="15"/>
      <c r="NB144" s="15"/>
      <c r="NC144" s="15"/>
      <c r="ND144" s="15"/>
      <c r="NE144" s="15"/>
      <c r="NF144" s="15"/>
      <c r="NG144" s="15"/>
      <c r="NH144" s="15"/>
      <c r="NI144" s="15"/>
      <c r="NJ144" s="15"/>
      <c r="NK144" s="15"/>
      <c r="NL144" s="15"/>
      <c r="NM144" s="15"/>
      <c r="NN144" s="15"/>
      <c r="NO144" s="15"/>
      <c r="NP144" s="15"/>
      <c r="NQ144" s="15"/>
      <c r="NR144" s="15"/>
      <c r="NS144" s="15"/>
      <c r="NT144" s="15"/>
      <c r="NU144" s="15"/>
      <c r="NV144" s="15"/>
      <c r="NW144" s="15"/>
      <c r="NX144" s="15"/>
      <c r="NY144" s="15"/>
      <c r="NZ144" s="15"/>
    </row>
    <row r="145" spans="2:390" ht="19.5" customHeight="1" x14ac:dyDescent="0.45">
      <c r="B145" s="1">
        <f t="shared" si="82"/>
        <v>4</v>
      </c>
      <c r="C145" s="1">
        <f>+C144</f>
        <v>5</v>
      </c>
      <c r="D145" s="1">
        <f>+D144+1</f>
        <v>2</v>
      </c>
      <c r="E145" s="59" t="str">
        <f t="shared" si="81"/>
        <v>4.5.2</v>
      </c>
      <c r="F145" s="23" t="s">
        <v>122</v>
      </c>
      <c r="G145" s="191">
        <v>1</v>
      </c>
      <c r="H145" s="52" t="s">
        <v>117</v>
      </c>
      <c r="I145" s="52" t="s">
        <v>158</v>
      </c>
      <c r="J145" s="52">
        <v>43</v>
      </c>
      <c r="K145" s="52">
        <v>0</v>
      </c>
      <c r="L145" s="20">
        <f>+J145-K145</f>
        <v>43</v>
      </c>
      <c r="M145" s="52">
        <v>2</v>
      </c>
      <c r="N145" s="52">
        <v>6</v>
      </c>
      <c r="O145" s="51">
        <f t="shared" si="83"/>
        <v>12</v>
      </c>
      <c r="P145" s="51">
        <f>+SUM(AA145:NZ145)</f>
        <v>12</v>
      </c>
      <c r="Q145" s="51">
        <f>+O145-P145</f>
        <v>0</v>
      </c>
      <c r="R145" s="19">
        <v>46132</v>
      </c>
      <c r="S145" s="20">
        <v>5</v>
      </c>
      <c r="T145" s="21">
        <f t="shared" si="86"/>
        <v>46136</v>
      </c>
      <c r="U145" s="22">
        <f>+K145/J145</f>
        <v>0</v>
      </c>
      <c r="V145" s="199">
        <f t="shared" si="87"/>
        <v>0</v>
      </c>
      <c r="W145" s="158">
        <f t="shared" si="84"/>
        <v>0</v>
      </c>
      <c r="X145" s="159">
        <f t="shared" si="85"/>
        <v>0</v>
      </c>
      <c r="Y145" s="199">
        <f t="shared" si="88"/>
        <v>0</v>
      </c>
      <c r="Z145" s="36"/>
      <c r="AA145" s="15"/>
      <c r="AB145" s="15"/>
      <c r="AC145" s="15"/>
      <c r="AD145" s="15"/>
      <c r="AE145" s="15"/>
      <c r="AF145" s="15"/>
      <c r="AG145" s="184"/>
      <c r="AH145" s="15"/>
      <c r="AI145" s="15"/>
      <c r="AJ145" s="15"/>
      <c r="AK145" s="15"/>
      <c r="AL145" s="15"/>
      <c r="AM145" s="15"/>
      <c r="AN145" s="184"/>
      <c r="AO145" s="15"/>
      <c r="AP145" s="15"/>
      <c r="AQ145" s="15"/>
      <c r="AR145" s="15"/>
      <c r="AS145" s="15"/>
      <c r="AT145" s="15"/>
      <c r="AU145" s="184"/>
      <c r="AV145" s="15"/>
      <c r="AW145" s="15"/>
      <c r="AX145" s="15"/>
      <c r="AY145" s="15"/>
      <c r="AZ145" s="15"/>
      <c r="BA145" s="15"/>
      <c r="BB145" s="184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84"/>
      <c r="CE145" s="15"/>
      <c r="CF145" s="15"/>
      <c r="CG145" s="15"/>
      <c r="CH145" s="15"/>
      <c r="CI145" s="15"/>
      <c r="CJ145" s="15"/>
      <c r="CK145" s="184"/>
      <c r="CL145" s="15"/>
      <c r="CM145" s="15"/>
      <c r="CN145" s="15"/>
      <c r="CO145" s="15"/>
      <c r="CP145" s="15"/>
      <c r="CQ145" s="15"/>
      <c r="CR145" s="184"/>
      <c r="CS145" s="15"/>
      <c r="CT145" s="15"/>
      <c r="CU145" s="15"/>
      <c r="CV145" s="15"/>
      <c r="CW145" s="15"/>
      <c r="CX145" s="15"/>
      <c r="CY145" s="184"/>
      <c r="CZ145" s="15"/>
      <c r="DA145" s="15"/>
      <c r="DB145" s="15"/>
      <c r="DC145" s="15"/>
      <c r="DD145" s="15"/>
      <c r="DE145" s="15"/>
      <c r="DF145" s="184"/>
      <c r="DG145" s="15"/>
      <c r="DH145" s="15"/>
      <c r="DI145" s="15"/>
      <c r="DJ145" s="15"/>
      <c r="DK145" s="15"/>
      <c r="DL145" s="15"/>
      <c r="DM145" s="184"/>
      <c r="DN145" s="15"/>
      <c r="DO145" s="15"/>
      <c r="DP145" s="15"/>
      <c r="DQ145" s="15"/>
      <c r="DR145" s="15"/>
      <c r="DS145" s="15"/>
      <c r="DT145" s="184"/>
      <c r="DU145" s="15"/>
      <c r="DV145" s="15"/>
      <c r="DW145" s="15"/>
      <c r="DX145" s="15"/>
      <c r="DY145" s="15"/>
      <c r="DZ145" s="15"/>
      <c r="EA145" s="184"/>
      <c r="EB145" s="15"/>
      <c r="EC145" s="15"/>
      <c r="ED145" s="15"/>
      <c r="EE145" s="15"/>
      <c r="EF145" s="15"/>
      <c r="EG145" s="15"/>
      <c r="EH145" s="184"/>
      <c r="EI145" s="15"/>
      <c r="EJ145" s="15"/>
      <c r="EK145" s="15"/>
      <c r="EL145" s="15"/>
      <c r="EM145" s="15"/>
      <c r="EN145" s="15"/>
      <c r="EO145" s="184"/>
      <c r="EP145" s="15"/>
      <c r="EQ145" s="15"/>
      <c r="ER145" s="15"/>
      <c r="ES145" s="15"/>
      <c r="ET145" s="15"/>
      <c r="EU145" s="15"/>
      <c r="EV145" s="184"/>
      <c r="EW145" s="15"/>
      <c r="EX145" s="15"/>
      <c r="EY145" s="15"/>
      <c r="EZ145" s="15"/>
      <c r="FA145" s="15"/>
      <c r="FB145" s="15"/>
      <c r="FC145" s="184"/>
      <c r="FD145" s="15"/>
      <c r="FE145" s="15"/>
      <c r="FF145" s="15"/>
      <c r="FG145" s="15"/>
      <c r="FH145" s="15"/>
      <c r="FI145" s="15"/>
      <c r="FJ145" s="184"/>
      <c r="FK145" s="15"/>
      <c r="FL145" s="15"/>
      <c r="FM145" s="15"/>
      <c r="FN145" s="15"/>
      <c r="FO145" s="15"/>
      <c r="FP145" s="15"/>
      <c r="FQ145" s="184"/>
      <c r="FR145" s="15">
        <v>2</v>
      </c>
      <c r="FS145" s="15">
        <v>2</v>
      </c>
      <c r="FT145" s="15">
        <v>2</v>
      </c>
      <c r="FU145" s="15">
        <v>2</v>
      </c>
      <c r="FV145" s="15">
        <v>2</v>
      </c>
      <c r="FW145" s="178">
        <v>2</v>
      </c>
      <c r="FX145" s="184"/>
      <c r="FY145" s="181"/>
      <c r="FZ145" s="15"/>
      <c r="GA145" s="15"/>
      <c r="GB145" s="15"/>
      <c r="GC145" s="15"/>
      <c r="GD145" s="15"/>
      <c r="GE145" s="184"/>
      <c r="GF145" s="15"/>
      <c r="GG145" s="15"/>
      <c r="GH145" s="15"/>
      <c r="GI145" s="15"/>
      <c r="GJ145" s="15"/>
      <c r="GK145" s="15"/>
      <c r="GL145" s="184"/>
      <c r="GM145" s="15"/>
      <c r="GN145" s="15"/>
      <c r="GO145" s="15"/>
      <c r="GP145" s="15"/>
      <c r="GQ145" s="15"/>
      <c r="GR145" s="15"/>
      <c r="GS145" s="184"/>
      <c r="GT145" s="15"/>
      <c r="GU145" s="15"/>
      <c r="GV145" s="15"/>
      <c r="GW145" s="15"/>
      <c r="GX145" s="15"/>
      <c r="GY145" s="15"/>
      <c r="GZ145" s="184"/>
      <c r="HA145" s="15"/>
      <c r="HB145" s="15"/>
      <c r="HC145" s="15"/>
      <c r="HD145" s="15"/>
      <c r="HE145" s="15"/>
      <c r="HF145" s="15"/>
      <c r="HG145" s="184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/>
      <c r="KE145" s="15"/>
      <c r="KF145" s="15"/>
      <c r="KG145" s="15"/>
      <c r="KH145" s="15"/>
      <c r="KI145" s="15"/>
      <c r="KJ145" s="15"/>
      <c r="KK145" s="15"/>
      <c r="KL145" s="15"/>
      <c r="KM145" s="15"/>
      <c r="KN145" s="15"/>
      <c r="KO145" s="15"/>
      <c r="KP145" s="15"/>
      <c r="KQ145" s="15"/>
      <c r="KR145" s="15"/>
      <c r="KS145" s="15"/>
      <c r="KT145" s="15"/>
      <c r="KU145" s="15"/>
      <c r="KV145" s="15"/>
      <c r="KW145" s="15"/>
      <c r="KX145" s="15"/>
      <c r="KY145" s="15"/>
      <c r="KZ145" s="15"/>
      <c r="LA145" s="15"/>
      <c r="LB145" s="15"/>
      <c r="LC145" s="15"/>
      <c r="LD145" s="15"/>
      <c r="LE145" s="15"/>
      <c r="LF145" s="15"/>
      <c r="LG145" s="15"/>
      <c r="LH145" s="15"/>
      <c r="LI145" s="15"/>
      <c r="LJ145" s="15"/>
      <c r="LK145" s="15"/>
      <c r="LL145" s="15"/>
      <c r="LM145" s="15"/>
      <c r="LN145" s="15"/>
      <c r="LO145" s="15"/>
      <c r="LP145" s="15"/>
      <c r="LQ145" s="15"/>
      <c r="LR145" s="15"/>
      <c r="LS145" s="15"/>
      <c r="LT145" s="15"/>
      <c r="LU145" s="15"/>
      <c r="LV145" s="15"/>
      <c r="LW145" s="15"/>
      <c r="LX145" s="15"/>
      <c r="LY145" s="15"/>
      <c r="LZ145" s="15"/>
      <c r="MA145" s="15"/>
      <c r="MB145" s="15"/>
      <c r="MC145" s="15"/>
      <c r="MD145" s="15"/>
      <c r="ME145" s="15"/>
      <c r="MF145" s="15"/>
      <c r="MG145" s="15"/>
      <c r="MH145" s="15"/>
      <c r="MI145" s="15"/>
      <c r="MJ145" s="15"/>
      <c r="MK145" s="15"/>
      <c r="ML145" s="15"/>
      <c r="MM145" s="15"/>
      <c r="MN145" s="15"/>
      <c r="MO145" s="15"/>
      <c r="MP145" s="15"/>
      <c r="MQ145" s="15"/>
      <c r="MR145" s="15"/>
      <c r="MS145" s="15"/>
      <c r="MT145" s="15"/>
      <c r="MU145" s="15"/>
      <c r="MV145" s="15"/>
      <c r="MW145" s="15"/>
      <c r="MX145" s="15"/>
      <c r="MY145" s="15"/>
      <c r="MZ145" s="15"/>
      <c r="NA145" s="15"/>
      <c r="NB145" s="15"/>
      <c r="NC145" s="15"/>
      <c r="ND145" s="15"/>
      <c r="NE145" s="15"/>
      <c r="NF145" s="15"/>
      <c r="NG145" s="15"/>
      <c r="NH145" s="15"/>
      <c r="NI145" s="15"/>
      <c r="NJ145" s="15"/>
      <c r="NK145" s="15"/>
      <c r="NL145" s="15"/>
      <c r="NM145" s="15"/>
      <c r="NN145" s="15"/>
      <c r="NO145" s="15"/>
      <c r="NP145" s="15"/>
      <c r="NQ145" s="15"/>
      <c r="NR145" s="15"/>
      <c r="NS145" s="15"/>
      <c r="NT145" s="15"/>
      <c r="NU145" s="15"/>
      <c r="NV145" s="15"/>
      <c r="NW145" s="15"/>
      <c r="NX145" s="15"/>
      <c r="NY145" s="15"/>
      <c r="NZ145" s="15"/>
    </row>
    <row r="146" spans="2:390" ht="19.5" customHeight="1" x14ac:dyDescent="0.45">
      <c r="B146" s="1">
        <f t="shared" si="82"/>
        <v>4</v>
      </c>
      <c r="C146" s="1">
        <f>+C145+1</f>
        <v>6</v>
      </c>
      <c r="D146" s="1">
        <v>0</v>
      </c>
      <c r="E146" s="93" t="str">
        <f t="shared" si="81"/>
        <v>4.6.0</v>
      </c>
      <c r="F146" s="94" t="s">
        <v>14</v>
      </c>
      <c r="G146" s="94"/>
      <c r="H146" s="95"/>
      <c r="I146" s="95"/>
      <c r="J146" s="97"/>
      <c r="K146" s="97"/>
      <c r="L146" s="98"/>
      <c r="M146" s="97"/>
      <c r="N146" s="97"/>
      <c r="O146" s="95">
        <f>SUM(O147)</f>
        <v>24</v>
      </c>
      <c r="P146" s="95"/>
      <c r="Q146" s="95"/>
      <c r="R146" s="168"/>
      <c r="S146" s="98"/>
      <c r="T146" s="163" t="str">
        <f t="shared" si="86"/>
        <v/>
      </c>
      <c r="U146" s="164">
        <f>+SUMPRODUCT(U147,O147)/O146</f>
        <v>0</v>
      </c>
      <c r="V146" s="200">
        <f t="shared" si="87"/>
        <v>0</v>
      </c>
      <c r="W146" s="158">
        <f t="shared" si="84"/>
        <v>0</v>
      </c>
      <c r="X146" s="159">
        <f t="shared" si="85"/>
        <v>0</v>
      </c>
      <c r="Y146" s="199">
        <f t="shared" si="88"/>
        <v>0</v>
      </c>
      <c r="Z146" s="36"/>
      <c r="AA146" s="15"/>
      <c r="AB146" s="15"/>
      <c r="AC146" s="15"/>
      <c r="AD146" s="15"/>
      <c r="AE146" s="15"/>
      <c r="AF146" s="15"/>
      <c r="AG146" s="184"/>
      <c r="AH146" s="15"/>
      <c r="AI146" s="15"/>
      <c r="AJ146" s="15"/>
      <c r="AK146" s="15"/>
      <c r="AL146" s="15"/>
      <c r="AM146" s="15"/>
      <c r="AN146" s="184"/>
      <c r="AO146" s="15"/>
      <c r="AP146" s="15"/>
      <c r="AQ146" s="15"/>
      <c r="AR146" s="15"/>
      <c r="AS146" s="15"/>
      <c r="AT146" s="15"/>
      <c r="AU146" s="184"/>
      <c r="AV146" s="15"/>
      <c r="AW146" s="15"/>
      <c r="AX146" s="15"/>
      <c r="AY146" s="15"/>
      <c r="AZ146" s="15"/>
      <c r="BA146" s="15"/>
      <c r="BB146" s="184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84"/>
      <c r="CE146" s="15"/>
      <c r="CF146" s="15"/>
      <c r="CG146" s="15"/>
      <c r="CH146" s="15"/>
      <c r="CI146" s="15"/>
      <c r="CJ146" s="15"/>
      <c r="CK146" s="184"/>
      <c r="CL146" s="15"/>
      <c r="CM146" s="15"/>
      <c r="CN146" s="15"/>
      <c r="CO146" s="15"/>
      <c r="CP146" s="15"/>
      <c r="CQ146" s="15"/>
      <c r="CR146" s="184"/>
      <c r="CS146" s="15"/>
      <c r="CT146" s="15"/>
      <c r="CU146" s="15"/>
      <c r="CV146" s="15"/>
      <c r="CW146" s="15"/>
      <c r="CX146" s="15"/>
      <c r="CY146" s="184"/>
      <c r="CZ146" s="15"/>
      <c r="DA146" s="15"/>
      <c r="DB146" s="15"/>
      <c r="DC146" s="15"/>
      <c r="DD146" s="15"/>
      <c r="DE146" s="15"/>
      <c r="DF146" s="184"/>
      <c r="DG146" s="15"/>
      <c r="DH146" s="15"/>
      <c r="DI146" s="15"/>
      <c r="DJ146" s="15"/>
      <c r="DK146" s="15"/>
      <c r="DL146" s="15"/>
      <c r="DM146" s="184"/>
      <c r="DN146" s="15"/>
      <c r="DO146" s="15"/>
      <c r="DP146" s="15"/>
      <c r="DQ146" s="15"/>
      <c r="DR146" s="15"/>
      <c r="DS146" s="15"/>
      <c r="DT146" s="184"/>
      <c r="DU146" s="15"/>
      <c r="DV146" s="15"/>
      <c r="DW146" s="15"/>
      <c r="DX146" s="15"/>
      <c r="DY146" s="15"/>
      <c r="DZ146" s="15"/>
      <c r="EA146" s="184"/>
      <c r="EB146" s="15"/>
      <c r="EC146" s="15"/>
      <c r="ED146" s="15"/>
      <c r="EE146" s="15"/>
      <c r="EF146" s="15"/>
      <c r="EG146" s="15"/>
      <c r="EH146" s="184"/>
      <c r="EI146" s="15"/>
      <c r="EJ146" s="15"/>
      <c r="EK146" s="15"/>
      <c r="EL146" s="15"/>
      <c r="EM146" s="15"/>
      <c r="EN146" s="15"/>
      <c r="EO146" s="184"/>
      <c r="EP146" s="15"/>
      <c r="EQ146" s="15"/>
      <c r="ER146" s="15"/>
      <c r="ES146" s="15"/>
      <c r="ET146" s="15"/>
      <c r="EU146" s="15"/>
      <c r="EV146" s="184"/>
      <c r="EW146" s="15"/>
      <c r="EX146" s="15"/>
      <c r="EY146" s="15"/>
      <c r="EZ146" s="15"/>
      <c r="FA146" s="15"/>
      <c r="FB146" s="15"/>
      <c r="FC146" s="184"/>
      <c r="FD146" s="15"/>
      <c r="FE146" s="15"/>
      <c r="FF146" s="15"/>
      <c r="FG146" s="15"/>
      <c r="FH146" s="15"/>
      <c r="FI146" s="15"/>
      <c r="FJ146" s="184"/>
      <c r="FK146" s="15"/>
      <c r="FL146" s="15"/>
      <c r="FM146" s="15"/>
      <c r="FN146" s="15"/>
      <c r="FO146" s="15"/>
      <c r="FP146" s="15"/>
      <c r="FQ146" s="184"/>
      <c r="FR146" s="15"/>
      <c r="FS146" s="15"/>
      <c r="FT146" s="15"/>
      <c r="FU146" s="15"/>
      <c r="FV146" s="15"/>
      <c r="FW146" s="178"/>
      <c r="FX146" s="184"/>
      <c r="FY146" s="181"/>
      <c r="FZ146" s="15"/>
      <c r="GA146" s="15"/>
      <c r="GB146" s="15"/>
      <c r="GC146" s="15"/>
      <c r="GD146" s="15"/>
      <c r="GE146" s="184"/>
      <c r="GF146" s="15"/>
      <c r="GG146" s="15"/>
      <c r="GH146" s="15"/>
      <c r="GI146" s="15"/>
      <c r="GJ146" s="15"/>
      <c r="GK146" s="15"/>
      <c r="GL146" s="184"/>
      <c r="GM146" s="15"/>
      <c r="GN146" s="15"/>
      <c r="GO146" s="15"/>
      <c r="GP146" s="15"/>
      <c r="GQ146" s="15"/>
      <c r="GR146" s="15"/>
      <c r="GS146" s="184"/>
      <c r="GT146" s="15"/>
      <c r="GU146" s="15"/>
      <c r="GV146" s="15"/>
      <c r="GW146" s="15"/>
      <c r="GX146" s="15"/>
      <c r="GY146" s="15"/>
      <c r="GZ146" s="184"/>
      <c r="HA146" s="15"/>
      <c r="HB146" s="15"/>
      <c r="HC146" s="15"/>
      <c r="HD146" s="15"/>
      <c r="HE146" s="15"/>
      <c r="HF146" s="15"/>
      <c r="HG146" s="184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  <c r="MG146" s="15"/>
      <c r="MH146" s="15"/>
      <c r="MI146" s="15"/>
      <c r="MJ146" s="15"/>
      <c r="MK146" s="15"/>
      <c r="ML146" s="15"/>
      <c r="MM146" s="15"/>
      <c r="MN146" s="15"/>
      <c r="MO146" s="15"/>
      <c r="MP146" s="15"/>
      <c r="MQ146" s="15"/>
      <c r="MR146" s="15"/>
      <c r="MS146" s="15"/>
      <c r="MT146" s="15"/>
      <c r="MU146" s="15"/>
      <c r="MV146" s="15"/>
      <c r="MW146" s="15"/>
      <c r="MX146" s="15"/>
      <c r="MY146" s="15"/>
      <c r="MZ146" s="15"/>
      <c r="NA146" s="15"/>
      <c r="NB146" s="15"/>
      <c r="NC146" s="15"/>
      <c r="ND146" s="15"/>
      <c r="NE146" s="15"/>
      <c r="NF146" s="15"/>
      <c r="NG146" s="15"/>
      <c r="NH146" s="15"/>
      <c r="NI146" s="15"/>
      <c r="NJ146" s="15"/>
      <c r="NK146" s="15"/>
      <c r="NL146" s="15"/>
      <c r="NM146" s="15"/>
      <c r="NN146" s="15"/>
      <c r="NO146" s="15"/>
      <c r="NP146" s="15"/>
      <c r="NQ146" s="15"/>
      <c r="NR146" s="15"/>
      <c r="NS146" s="15"/>
      <c r="NT146" s="15"/>
      <c r="NU146" s="15"/>
      <c r="NV146" s="15"/>
      <c r="NW146" s="15"/>
      <c r="NX146" s="15"/>
      <c r="NY146" s="15"/>
      <c r="NZ146" s="15"/>
    </row>
    <row r="147" spans="2:390" ht="19.5" customHeight="1" x14ac:dyDescent="0.45">
      <c r="B147" s="1">
        <f t="shared" si="82"/>
        <v>4</v>
      </c>
      <c r="C147" s="1">
        <f>+C146</f>
        <v>6</v>
      </c>
      <c r="D147" s="1">
        <f>+D146+1</f>
        <v>1</v>
      </c>
      <c r="E147" s="59" t="str">
        <f t="shared" si="81"/>
        <v>4.6.1</v>
      </c>
      <c r="F147" s="23" t="s">
        <v>97</v>
      </c>
      <c r="G147" s="191">
        <v>1</v>
      </c>
      <c r="H147" s="52" t="s">
        <v>117</v>
      </c>
      <c r="I147" s="52" t="s">
        <v>156</v>
      </c>
      <c r="J147" s="52">
        <v>18</v>
      </c>
      <c r="K147" s="52">
        <v>0</v>
      </c>
      <c r="L147" s="20">
        <f>+J147-K147</f>
        <v>18</v>
      </c>
      <c r="M147" s="52">
        <v>2</v>
      </c>
      <c r="N147" s="52">
        <v>12</v>
      </c>
      <c r="O147" s="51">
        <f t="shared" si="83"/>
        <v>24</v>
      </c>
      <c r="P147" s="51">
        <f>+SUM(AA147:NZ147)</f>
        <v>24</v>
      </c>
      <c r="Q147" s="51">
        <f>+O147-P147</f>
        <v>0</v>
      </c>
      <c r="R147" s="19">
        <v>46125</v>
      </c>
      <c r="S147" s="20">
        <v>10</v>
      </c>
      <c r="T147" s="21">
        <f t="shared" si="86"/>
        <v>46136</v>
      </c>
      <c r="U147" s="22">
        <f>+K147/J147</f>
        <v>0</v>
      </c>
      <c r="V147" s="199">
        <f t="shared" si="87"/>
        <v>0</v>
      </c>
      <c r="W147" s="158">
        <f t="shared" si="84"/>
        <v>0</v>
      </c>
      <c r="X147" s="159">
        <f t="shared" si="85"/>
        <v>0</v>
      </c>
      <c r="Y147" s="199">
        <f t="shared" si="88"/>
        <v>0</v>
      </c>
      <c r="Z147" s="36"/>
      <c r="AA147" s="15"/>
      <c r="AB147" s="15"/>
      <c r="AC147" s="15"/>
      <c r="AD147" s="15"/>
      <c r="AE147" s="15"/>
      <c r="AF147" s="15"/>
      <c r="AG147" s="184"/>
      <c r="AH147" s="15"/>
      <c r="AI147" s="15"/>
      <c r="AJ147" s="15"/>
      <c r="AK147" s="15"/>
      <c r="AL147" s="15"/>
      <c r="AM147" s="15"/>
      <c r="AN147" s="184"/>
      <c r="AO147" s="15"/>
      <c r="AP147" s="15"/>
      <c r="AQ147" s="15"/>
      <c r="AR147" s="15"/>
      <c r="AS147" s="15"/>
      <c r="AT147" s="15"/>
      <c r="AU147" s="184"/>
      <c r="AV147" s="15"/>
      <c r="AW147" s="15"/>
      <c r="AX147" s="15"/>
      <c r="AY147" s="15"/>
      <c r="AZ147" s="15"/>
      <c r="BA147" s="15"/>
      <c r="BB147" s="184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84"/>
      <c r="CE147" s="15"/>
      <c r="CF147" s="15"/>
      <c r="CG147" s="15"/>
      <c r="CH147" s="15"/>
      <c r="CI147" s="15"/>
      <c r="CJ147" s="15"/>
      <c r="CK147" s="184"/>
      <c r="CL147" s="15"/>
      <c r="CM147" s="15"/>
      <c r="CN147" s="15"/>
      <c r="CO147" s="15"/>
      <c r="CP147" s="15"/>
      <c r="CQ147" s="15"/>
      <c r="CR147" s="184"/>
      <c r="CS147" s="15"/>
      <c r="CT147" s="15"/>
      <c r="CU147" s="15"/>
      <c r="CV147" s="15"/>
      <c r="CW147" s="15"/>
      <c r="CX147" s="15"/>
      <c r="CY147" s="184"/>
      <c r="CZ147" s="15"/>
      <c r="DA147" s="15"/>
      <c r="DB147" s="15"/>
      <c r="DC147" s="15"/>
      <c r="DD147" s="15"/>
      <c r="DE147" s="15"/>
      <c r="DF147" s="184"/>
      <c r="DG147" s="15"/>
      <c r="DH147" s="15"/>
      <c r="DI147" s="15"/>
      <c r="DJ147" s="15"/>
      <c r="DK147" s="15"/>
      <c r="DL147" s="15"/>
      <c r="DM147" s="184"/>
      <c r="DN147" s="15"/>
      <c r="DO147" s="15"/>
      <c r="DP147" s="15"/>
      <c r="DQ147" s="15"/>
      <c r="DR147" s="15"/>
      <c r="DS147" s="15"/>
      <c r="DT147" s="184"/>
      <c r="DU147" s="15"/>
      <c r="DV147" s="15"/>
      <c r="DW147" s="15"/>
      <c r="DX147" s="15"/>
      <c r="DY147" s="15"/>
      <c r="DZ147" s="15"/>
      <c r="EA147" s="184"/>
      <c r="EB147" s="15"/>
      <c r="EC147" s="15"/>
      <c r="ED147" s="15"/>
      <c r="EE147" s="15"/>
      <c r="EF147" s="15"/>
      <c r="EG147" s="15"/>
      <c r="EH147" s="184"/>
      <c r="EI147" s="15"/>
      <c r="EJ147" s="15"/>
      <c r="EK147" s="15"/>
      <c r="EL147" s="15"/>
      <c r="EM147" s="15"/>
      <c r="EN147" s="15"/>
      <c r="EO147" s="184"/>
      <c r="EP147" s="15"/>
      <c r="EQ147" s="15"/>
      <c r="ER147" s="15"/>
      <c r="ES147" s="15"/>
      <c r="ET147" s="15"/>
      <c r="EU147" s="15"/>
      <c r="EV147" s="184"/>
      <c r="EW147" s="15"/>
      <c r="EX147" s="15"/>
      <c r="EY147" s="15"/>
      <c r="EZ147" s="15"/>
      <c r="FA147" s="15"/>
      <c r="FB147" s="15"/>
      <c r="FC147" s="184"/>
      <c r="FD147" s="15"/>
      <c r="FE147" s="15"/>
      <c r="FF147" s="15"/>
      <c r="FG147" s="15"/>
      <c r="FH147" s="15"/>
      <c r="FI147" s="15"/>
      <c r="FJ147" s="184"/>
      <c r="FK147" s="15">
        <v>2</v>
      </c>
      <c r="FL147" s="15">
        <v>2</v>
      </c>
      <c r="FM147" s="15">
        <v>2</v>
      </c>
      <c r="FN147" s="15">
        <v>2</v>
      </c>
      <c r="FO147" s="15">
        <v>2</v>
      </c>
      <c r="FP147" s="15">
        <v>2</v>
      </c>
      <c r="FQ147" s="184"/>
      <c r="FR147" s="15">
        <v>2</v>
      </c>
      <c r="FS147" s="15">
        <v>2</v>
      </c>
      <c r="FT147" s="15">
        <v>2</v>
      </c>
      <c r="FU147" s="15">
        <v>2</v>
      </c>
      <c r="FV147" s="15">
        <v>2</v>
      </c>
      <c r="FW147" s="178">
        <v>2</v>
      </c>
      <c r="FX147" s="184"/>
      <c r="FY147" s="181"/>
      <c r="FZ147" s="15"/>
      <c r="GA147" s="15"/>
      <c r="GB147" s="15"/>
      <c r="GC147" s="15"/>
      <c r="GD147" s="15"/>
      <c r="GE147" s="184"/>
      <c r="GF147" s="15"/>
      <c r="GG147" s="15"/>
      <c r="GH147" s="15"/>
      <c r="GI147" s="15"/>
      <c r="GJ147" s="15"/>
      <c r="GK147" s="15"/>
      <c r="GL147" s="184"/>
      <c r="GM147" s="15"/>
      <c r="GN147" s="15"/>
      <c r="GO147" s="15"/>
      <c r="GP147" s="15"/>
      <c r="GQ147" s="15"/>
      <c r="GR147" s="15"/>
      <c r="GS147" s="184"/>
      <c r="GT147" s="15"/>
      <c r="GU147" s="15"/>
      <c r="GV147" s="15"/>
      <c r="GW147" s="15"/>
      <c r="GX147" s="15"/>
      <c r="GY147" s="15"/>
      <c r="GZ147" s="184"/>
      <c r="HA147" s="15"/>
      <c r="HB147" s="15"/>
      <c r="HC147" s="15"/>
      <c r="HD147" s="15"/>
      <c r="HE147" s="15"/>
      <c r="HF147" s="15"/>
      <c r="HG147" s="184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/>
      <c r="LI147" s="15"/>
      <c r="LJ147" s="15"/>
      <c r="LK147" s="15"/>
      <c r="LL147" s="15"/>
      <c r="LM147" s="15"/>
      <c r="LN147" s="15"/>
      <c r="LO147" s="15"/>
      <c r="LP147" s="15"/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  <c r="MG147" s="15"/>
      <c r="MH147" s="15"/>
      <c r="MI147" s="15"/>
      <c r="MJ147" s="15"/>
      <c r="MK147" s="15"/>
      <c r="ML147" s="15"/>
      <c r="MM147" s="15"/>
      <c r="MN147" s="15"/>
      <c r="MO147" s="15"/>
      <c r="MP147" s="15"/>
      <c r="MQ147" s="15"/>
      <c r="MR147" s="15"/>
      <c r="MS147" s="15"/>
      <c r="MT147" s="15"/>
      <c r="MU147" s="15"/>
      <c r="MV147" s="15"/>
      <c r="MW147" s="15"/>
      <c r="MX147" s="15"/>
      <c r="MY147" s="15"/>
      <c r="MZ147" s="15"/>
      <c r="NA147" s="15"/>
      <c r="NB147" s="15"/>
      <c r="NC147" s="15"/>
      <c r="ND147" s="15"/>
      <c r="NE147" s="15"/>
      <c r="NF147" s="15"/>
      <c r="NG147" s="15"/>
      <c r="NH147" s="15"/>
      <c r="NI147" s="15"/>
      <c r="NJ147" s="15"/>
      <c r="NK147" s="15"/>
      <c r="NL147" s="15"/>
      <c r="NM147" s="15"/>
      <c r="NN147" s="15"/>
      <c r="NO147" s="15"/>
      <c r="NP147" s="15"/>
      <c r="NQ147" s="15"/>
      <c r="NR147" s="15"/>
      <c r="NS147" s="15"/>
      <c r="NT147" s="15"/>
      <c r="NU147" s="15"/>
      <c r="NV147" s="15"/>
      <c r="NW147" s="15"/>
      <c r="NX147" s="15"/>
      <c r="NY147" s="15"/>
      <c r="NZ147" s="15"/>
    </row>
    <row r="148" spans="2:390" ht="19.5" customHeight="1" x14ac:dyDescent="0.45">
      <c r="B148" s="1">
        <f t="shared" si="82"/>
        <v>4</v>
      </c>
      <c r="C148" s="1">
        <f>+C147+1</f>
        <v>7</v>
      </c>
      <c r="D148" s="1">
        <v>0</v>
      </c>
      <c r="E148" s="93" t="str">
        <f t="shared" si="81"/>
        <v>4.7.0</v>
      </c>
      <c r="F148" s="94" t="s">
        <v>38</v>
      </c>
      <c r="G148" s="94"/>
      <c r="H148" s="95"/>
      <c r="I148" s="95"/>
      <c r="J148" s="96"/>
      <c r="K148" s="96"/>
      <c r="L148" s="97"/>
      <c r="M148" s="95"/>
      <c r="N148" s="95"/>
      <c r="O148" s="95">
        <f>SUM(O149:O151)</f>
        <v>84</v>
      </c>
      <c r="P148" s="95"/>
      <c r="Q148" s="95"/>
      <c r="R148" s="168"/>
      <c r="S148" s="98"/>
      <c r="T148" s="163" t="str">
        <f t="shared" si="86"/>
        <v/>
      </c>
      <c r="U148" s="164">
        <f>+SUMPRODUCT(U149:U151,O149:O151)/O148</f>
        <v>0</v>
      </c>
      <c r="V148" s="200">
        <f t="shared" si="87"/>
        <v>0</v>
      </c>
      <c r="W148" s="158">
        <f t="shared" si="84"/>
        <v>0</v>
      </c>
      <c r="X148" s="159">
        <f t="shared" si="85"/>
        <v>0</v>
      </c>
      <c r="Y148" s="199">
        <f t="shared" si="88"/>
        <v>0</v>
      </c>
      <c r="Z148" s="36"/>
      <c r="AA148" s="15"/>
      <c r="AB148" s="15"/>
      <c r="AC148" s="15"/>
      <c r="AD148" s="15"/>
      <c r="AE148" s="15"/>
      <c r="AF148" s="15"/>
      <c r="AG148" s="184"/>
      <c r="AH148" s="15"/>
      <c r="AI148" s="15"/>
      <c r="AJ148" s="15"/>
      <c r="AK148" s="15"/>
      <c r="AL148" s="15"/>
      <c r="AM148" s="15"/>
      <c r="AN148" s="184"/>
      <c r="AO148" s="15"/>
      <c r="AP148" s="15"/>
      <c r="AQ148" s="15"/>
      <c r="AR148" s="15"/>
      <c r="AS148" s="15"/>
      <c r="AT148" s="15"/>
      <c r="AU148" s="184"/>
      <c r="AV148" s="15"/>
      <c r="AW148" s="15"/>
      <c r="AX148" s="15"/>
      <c r="AY148" s="15"/>
      <c r="AZ148" s="15"/>
      <c r="BA148" s="15"/>
      <c r="BB148" s="184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84"/>
      <c r="CE148" s="15"/>
      <c r="CF148" s="15"/>
      <c r="CG148" s="15"/>
      <c r="CH148" s="15"/>
      <c r="CI148" s="15"/>
      <c r="CJ148" s="15"/>
      <c r="CK148" s="184"/>
      <c r="CL148" s="15"/>
      <c r="CM148" s="15"/>
      <c r="CN148" s="15"/>
      <c r="CO148" s="15"/>
      <c r="CP148" s="15"/>
      <c r="CQ148" s="15"/>
      <c r="CR148" s="184"/>
      <c r="CS148" s="15"/>
      <c r="CT148" s="15"/>
      <c r="CU148" s="15"/>
      <c r="CV148" s="15"/>
      <c r="CW148" s="15"/>
      <c r="CX148" s="15"/>
      <c r="CY148" s="184"/>
      <c r="CZ148" s="15"/>
      <c r="DA148" s="15"/>
      <c r="DB148" s="15"/>
      <c r="DC148" s="15"/>
      <c r="DD148" s="15"/>
      <c r="DE148" s="15"/>
      <c r="DF148" s="184"/>
      <c r="DG148" s="15"/>
      <c r="DH148" s="15"/>
      <c r="DI148" s="15"/>
      <c r="DJ148" s="15"/>
      <c r="DK148" s="15"/>
      <c r="DL148" s="15"/>
      <c r="DM148" s="184"/>
      <c r="DN148" s="15"/>
      <c r="DO148" s="15"/>
      <c r="DP148" s="15"/>
      <c r="DQ148" s="15"/>
      <c r="DR148" s="15"/>
      <c r="DS148" s="15"/>
      <c r="DT148" s="184"/>
      <c r="DU148" s="15"/>
      <c r="DV148" s="15"/>
      <c r="DW148" s="15"/>
      <c r="DX148" s="15"/>
      <c r="DY148" s="15"/>
      <c r="DZ148" s="15"/>
      <c r="EA148" s="184"/>
      <c r="EB148" s="15"/>
      <c r="EC148" s="15"/>
      <c r="ED148" s="15"/>
      <c r="EE148" s="15"/>
      <c r="EF148" s="15"/>
      <c r="EG148" s="15"/>
      <c r="EH148" s="184"/>
      <c r="EI148" s="15"/>
      <c r="EJ148" s="15"/>
      <c r="EK148" s="15"/>
      <c r="EL148" s="15"/>
      <c r="EM148" s="15"/>
      <c r="EN148" s="15"/>
      <c r="EO148" s="184"/>
      <c r="EP148" s="15"/>
      <c r="EQ148" s="15"/>
      <c r="ER148" s="15"/>
      <c r="ES148" s="15"/>
      <c r="ET148" s="15"/>
      <c r="EU148" s="15"/>
      <c r="EV148" s="184"/>
      <c r="EW148" s="15"/>
      <c r="EX148" s="15"/>
      <c r="EY148" s="15"/>
      <c r="EZ148" s="15"/>
      <c r="FA148" s="15"/>
      <c r="FB148" s="15"/>
      <c r="FC148" s="184"/>
      <c r="FD148" s="15"/>
      <c r="FE148" s="15"/>
      <c r="FF148" s="15"/>
      <c r="FG148" s="15"/>
      <c r="FH148" s="15"/>
      <c r="FI148" s="15"/>
      <c r="FJ148" s="184"/>
      <c r="FK148" s="15"/>
      <c r="FL148" s="15"/>
      <c r="FM148" s="15"/>
      <c r="FN148" s="15"/>
      <c r="FO148" s="15"/>
      <c r="FP148" s="15"/>
      <c r="FQ148" s="184"/>
      <c r="FR148" s="15"/>
      <c r="FS148" s="15"/>
      <c r="FT148" s="15"/>
      <c r="FU148" s="15"/>
      <c r="FV148" s="15"/>
      <c r="FW148" s="178"/>
      <c r="FX148" s="184"/>
      <c r="FY148" s="181"/>
      <c r="FZ148" s="15"/>
      <c r="GA148" s="15"/>
      <c r="GB148" s="15"/>
      <c r="GC148" s="15"/>
      <c r="GD148" s="15"/>
      <c r="GE148" s="184"/>
      <c r="GF148" s="15"/>
      <c r="GG148" s="15"/>
      <c r="GH148" s="15"/>
      <c r="GI148" s="15"/>
      <c r="GJ148" s="15"/>
      <c r="GK148" s="15"/>
      <c r="GL148" s="184"/>
      <c r="GM148" s="15"/>
      <c r="GN148" s="15"/>
      <c r="GO148" s="15"/>
      <c r="GP148" s="15"/>
      <c r="GQ148" s="15"/>
      <c r="GR148" s="15"/>
      <c r="GS148" s="184"/>
      <c r="GT148" s="15"/>
      <c r="GU148" s="15"/>
      <c r="GV148" s="15"/>
      <c r="GW148" s="15"/>
      <c r="GX148" s="15"/>
      <c r="GY148" s="15"/>
      <c r="GZ148" s="184"/>
      <c r="HA148" s="15"/>
      <c r="HB148" s="15"/>
      <c r="HC148" s="15"/>
      <c r="HD148" s="15"/>
      <c r="HE148" s="15"/>
      <c r="HF148" s="15"/>
      <c r="HG148" s="184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/>
      <c r="KE148" s="15"/>
      <c r="KF148" s="15"/>
      <c r="KG148" s="15"/>
      <c r="KH148" s="15"/>
      <c r="KI148" s="15"/>
      <c r="KJ148" s="15"/>
      <c r="KK148" s="15"/>
      <c r="KL148" s="15"/>
      <c r="KM148" s="15"/>
      <c r="KN148" s="15"/>
      <c r="KO148" s="15"/>
      <c r="KP148" s="15"/>
      <c r="KQ148" s="15"/>
      <c r="KR148" s="15"/>
      <c r="KS148" s="15"/>
      <c r="KT148" s="15"/>
      <c r="KU148" s="15"/>
      <c r="KV148" s="15"/>
      <c r="KW148" s="15"/>
      <c r="KX148" s="15"/>
      <c r="KY148" s="15"/>
      <c r="KZ148" s="15"/>
      <c r="LA148" s="15"/>
      <c r="LB148" s="15"/>
      <c r="LC148" s="15"/>
      <c r="LD148" s="15"/>
      <c r="LE148" s="15"/>
      <c r="LF148" s="15"/>
      <c r="LG148" s="15"/>
      <c r="LH148" s="15"/>
      <c r="LI148" s="15"/>
      <c r="LJ148" s="15"/>
      <c r="LK148" s="15"/>
      <c r="LL148" s="15"/>
      <c r="LM148" s="15"/>
      <c r="LN148" s="15"/>
      <c r="LO148" s="15"/>
      <c r="LP148" s="15"/>
      <c r="LQ148" s="15"/>
      <c r="LR148" s="15"/>
      <c r="LS148" s="15"/>
      <c r="LT148" s="15"/>
      <c r="LU148" s="15"/>
      <c r="LV148" s="15"/>
      <c r="LW148" s="15"/>
      <c r="LX148" s="15"/>
      <c r="LY148" s="15"/>
      <c r="LZ148" s="15"/>
      <c r="MA148" s="15"/>
      <c r="MB148" s="15"/>
      <c r="MC148" s="15"/>
      <c r="MD148" s="15"/>
      <c r="ME148" s="15"/>
      <c r="MF148" s="15"/>
      <c r="MG148" s="15"/>
      <c r="MH148" s="15"/>
      <c r="MI148" s="15"/>
      <c r="MJ148" s="15"/>
      <c r="MK148" s="15"/>
      <c r="ML148" s="15"/>
      <c r="MM148" s="15"/>
      <c r="MN148" s="15"/>
      <c r="MO148" s="15"/>
      <c r="MP148" s="15"/>
      <c r="MQ148" s="15"/>
      <c r="MR148" s="15"/>
      <c r="MS148" s="15"/>
      <c r="MT148" s="15"/>
      <c r="MU148" s="15"/>
      <c r="MV148" s="15"/>
      <c r="MW148" s="15"/>
      <c r="MX148" s="15"/>
      <c r="MY148" s="15"/>
      <c r="MZ148" s="15"/>
      <c r="NA148" s="15"/>
      <c r="NB148" s="15"/>
      <c r="NC148" s="15"/>
      <c r="ND148" s="15"/>
      <c r="NE148" s="15"/>
      <c r="NF148" s="15"/>
      <c r="NG148" s="15"/>
      <c r="NH148" s="15"/>
      <c r="NI148" s="15"/>
      <c r="NJ148" s="15"/>
      <c r="NK148" s="15"/>
      <c r="NL148" s="15"/>
      <c r="NM148" s="15"/>
      <c r="NN148" s="15"/>
      <c r="NO148" s="15"/>
      <c r="NP148" s="15"/>
      <c r="NQ148" s="15"/>
      <c r="NR148" s="15"/>
      <c r="NS148" s="15"/>
      <c r="NT148" s="15"/>
      <c r="NU148" s="15"/>
      <c r="NV148" s="15"/>
      <c r="NW148" s="15"/>
      <c r="NX148" s="15"/>
      <c r="NY148" s="15"/>
      <c r="NZ148" s="15"/>
    </row>
    <row r="149" spans="2:390" ht="19.5" customHeight="1" x14ac:dyDescent="0.45">
      <c r="B149" s="1">
        <f t="shared" si="82"/>
        <v>4</v>
      </c>
      <c r="C149" s="1">
        <f>+C148</f>
        <v>7</v>
      </c>
      <c r="D149" s="1">
        <f>+D148+1</f>
        <v>1</v>
      </c>
      <c r="E149" s="59" t="str">
        <f t="shared" si="81"/>
        <v>4.7.1</v>
      </c>
      <c r="F149" s="23" t="s">
        <v>47</v>
      </c>
      <c r="G149" s="191">
        <v>1</v>
      </c>
      <c r="H149" s="52" t="s">
        <v>117</v>
      </c>
      <c r="I149" s="52" t="s">
        <v>158</v>
      </c>
      <c r="J149" s="92">
        <v>107</v>
      </c>
      <c r="K149" s="92">
        <v>0</v>
      </c>
      <c r="L149" s="55">
        <f>+J149-K149</f>
        <v>107</v>
      </c>
      <c r="M149" s="52">
        <v>2</v>
      </c>
      <c r="N149" s="52">
        <v>12</v>
      </c>
      <c r="O149" s="51">
        <f t="shared" si="83"/>
        <v>24</v>
      </c>
      <c r="P149" s="51">
        <f>+SUM(AA149:NZ149)</f>
        <v>24</v>
      </c>
      <c r="Q149" s="51">
        <f>+O149-P149</f>
        <v>0</v>
      </c>
      <c r="R149" s="19">
        <v>46125</v>
      </c>
      <c r="S149" s="20">
        <v>10</v>
      </c>
      <c r="T149" s="21">
        <f t="shared" si="86"/>
        <v>46136</v>
      </c>
      <c r="U149" s="22">
        <f>+K149/J149</f>
        <v>0</v>
      </c>
      <c r="V149" s="199">
        <f t="shared" si="87"/>
        <v>0</v>
      </c>
      <c r="W149" s="158">
        <f t="shared" si="84"/>
        <v>0</v>
      </c>
      <c r="X149" s="159">
        <f t="shared" si="85"/>
        <v>0</v>
      </c>
      <c r="Y149" s="199">
        <f t="shared" si="88"/>
        <v>0</v>
      </c>
      <c r="Z149" s="36"/>
      <c r="AA149" s="15"/>
      <c r="AB149" s="15"/>
      <c r="AC149" s="15"/>
      <c r="AD149" s="15"/>
      <c r="AE149" s="15"/>
      <c r="AF149" s="15"/>
      <c r="AG149" s="184"/>
      <c r="AH149" s="15"/>
      <c r="AI149" s="15"/>
      <c r="AJ149" s="15"/>
      <c r="AK149" s="15"/>
      <c r="AL149" s="15"/>
      <c r="AM149" s="15"/>
      <c r="AN149" s="184"/>
      <c r="AO149" s="15"/>
      <c r="AP149" s="15"/>
      <c r="AQ149" s="15"/>
      <c r="AR149" s="15"/>
      <c r="AS149" s="15"/>
      <c r="AT149" s="15"/>
      <c r="AU149" s="184"/>
      <c r="AV149" s="15"/>
      <c r="AW149" s="15"/>
      <c r="AX149" s="15"/>
      <c r="AY149" s="15"/>
      <c r="AZ149" s="15"/>
      <c r="BA149" s="15"/>
      <c r="BB149" s="184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84"/>
      <c r="CE149" s="15"/>
      <c r="CF149" s="15"/>
      <c r="CG149" s="15"/>
      <c r="CH149" s="15"/>
      <c r="CI149" s="15"/>
      <c r="CJ149" s="15"/>
      <c r="CK149" s="184"/>
      <c r="CL149" s="15"/>
      <c r="CM149" s="15"/>
      <c r="CN149" s="15"/>
      <c r="CO149" s="15"/>
      <c r="CP149" s="15"/>
      <c r="CQ149" s="15"/>
      <c r="CR149" s="184"/>
      <c r="CS149" s="15"/>
      <c r="CT149" s="15"/>
      <c r="CU149" s="15"/>
      <c r="CV149" s="15"/>
      <c r="CW149" s="15"/>
      <c r="CX149" s="15"/>
      <c r="CY149" s="184"/>
      <c r="CZ149" s="15"/>
      <c r="DA149" s="15"/>
      <c r="DB149" s="15"/>
      <c r="DC149" s="15"/>
      <c r="DD149" s="15"/>
      <c r="DE149" s="15"/>
      <c r="DF149" s="184"/>
      <c r="DG149" s="15"/>
      <c r="DH149" s="15"/>
      <c r="DI149" s="15"/>
      <c r="DJ149" s="15"/>
      <c r="DK149" s="15"/>
      <c r="DL149" s="15"/>
      <c r="DM149" s="184"/>
      <c r="DN149" s="15"/>
      <c r="DO149" s="15"/>
      <c r="DP149" s="15"/>
      <c r="DQ149" s="15"/>
      <c r="DR149" s="15"/>
      <c r="DS149" s="15"/>
      <c r="DT149" s="184"/>
      <c r="DU149" s="15"/>
      <c r="DV149" s="15"/>
      <c r="DW149" s="15"/>
      <c r="DX149" s="15"/>
      <c r="DY149" s="15"/>
      <c r="DZ149" s="15"/>
      <c r="EA149" s="184"/>
      <c r="EB149" s="15"/>
      <c r="EC149" s="15"/>
      <c r="ED149" s="15"/>
      <c r="EE149" s="15"/>
      <c r="EF149" s="15"/>
      <c r="EG149" s="15"/>
      <c r="EH149" s="184"/>
      <c r="EI149" s="15"/>
      <c r="EJ149" s="15"/>
      <c r="EK149" s="15"/>
      <c r="EL149" s="15"/>
      <c r="EM149" s="15"/>
      <c r="EN149" s="15"/>
      <c r="EO149" s="184"/>
      <c r="EP149" s="15"/>
      <c r="EQ149" s="15"/>
      <c r="ER149" s="15"/>
      <c r="ES149" s="15"/>
      <c r="ET149" s="15"/>
      <c r="EU149" s="15"/>
      <c r="EV149" s="184"/>
      <c r="EW149" s="15"/>
      <c r="EX149" s="15"/>
      <c r="EY149" s="15"/>
      <c r="EZ149" s="15"/>
      <c r="FA149" s="15"/>
      <c r="FB149" s="15"/>
      <c r="FC149" s="184"/>
      <c r="FD149" s="15"/>
      <c r="FE149" s="15"/>
      <c r="FF149" s="15"/>
      <c r="FG149" s="15"/>
      <c r="FH149" s="15"/>
      <c r="FI149" s="15"/>
      <c r="FJ149" s="184"/>
      <c r="FK149" s="15">
        <v>2</v>
      </c>
      <c r="FL149" s="15">
        <v>2</v>
      </c>
      <c r="FM149" s="15">
        <v>2</v>
      </c>
      <c r="FN149" s="15">
        <v>2</v>
      </c>
      <c r="FO149" s="15">
        <v>2</v>
      </c>
      <c r="FP149" s="15">
        <v>2</v>
      </c>
      <c r="FQ149" s="184"/>
      <c r="FR149" s="15">
        <v>2</v>
      </c>
      <c r="FS149" s="15">
        <v>2</v>
      </c>
      <c r="FT149" s="15">
        <v>2</v>
      </c>
      <c r="FU149" s="15">
        <v>2</v>
      </c>
      <c r="FV149" s="15">
        <v>2</v>
      </c>
      <c r="FW149" s="178">
        <v>2</v>
      </c>
      <c r="FX149" s="184"/>
      <c r="FY149" s="181"/>
      <c r="FZ149" s="15"/>
      <c r="GA149" s="15"/>
      <c r="GB149" s="15"/>
      <c r="GC149" s="15"/>
      <c r="GD149" s="15"/>
      <c r="GE149" s="184"/>
      <c r="GF149" s="15"/>
      <c r="GG149" s="15"/>
      <c r="GH149" s="15"/>
      <c r="GI149" s="15"/>
      <c r="GJ149" s="15"/>
      <c r="GK149" s="15"/>
      <c r="GL149" s="184"/>
      <c r="GM149" s="15"/>
      <c r="GN149" s="15"/>
      <c r="GO149" s="15"/>
      <c r="GP149" s="15"/>
      <c r="GQ149" s="15"/>
      <c r="GR149" s="15"/>
      <c r="GS149" s="184"/>
      <c r="GT149" s="15"/>
      <c r="GU149" s="15"/>
      <c r="GV149" s="15"/>
      <c r="GW149" s="15"/>
      <c r="GX149" s="15"/>
      <c r="GY149" s="15"/>
      <c r="GZ149" s="184"/>
      <c r="HA149" s="15"/>
      <c r="HB149" s="15"/>
      <c r="HC149" s="15"/>
      <c r="HD149" s="15"/>
      <c r="HE149" s="15"/>
      <c r="HF149" s="15"/>
      <c r="HG149" s="184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/>
      <c r="LI149" s="15"/>
      <c r="LJ149" s="15"/>
      <c r="LK149" s="15"/>
      <c r="LL149" s="15"/>
      <c r="LM149" s="15"/>
      <c r="LN149" s="15"/>
      <c r="LO149" s="15"/>
      <c r="LP149" s="15"/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  <c r="MG149" s="15"/>
      <c r="MH149" s="15"/>
      <c r="MI149" s="15"/>
      <c r="MJ149" s="15"/>
      <c r="MK149" s="15"/>
      <c r="ML149" s="15"/>
      <c r="MM149" s="15"/>
      <c r="MN149" s="15"/>
      <c r="MO149" s="15"/>
      <c r="MP149" s="15"/>
      <c r="MQ149" s="15"/>
      <c r="MR149" s="15"/>
      <c r="MS149" s="15"/>
      <c r="MT149" s="15"/>
      <c r="MU149" s="15"/>
      <c r="MV149" s="15"/>
      <c r="MW149" s="15"/>
      <c r="MX149" s="15"/>
      <c r="MY149" s="15"/>
      <c r="MZ149" s="15"/>
      <c r="NA149" s="15"/>
      <c r="NB149" s="15"/>
      <c r="NC149" s="15"/>
      <c r="ND149" s="15"/>
      <c r="NE149" s="15"/>
      <c r="NF149" s="15"/>
      <c r="NG149" s="15"/>
      <c r="NH149" s="15"/>
      <c r="NI149" s="15"/>
      <c r="NJ149" s="15"/>
      <c r="NK149" s="15"/>
      <c r="NL149" s="15"/>
      <c r="NM149" s="15"/>
      <c r="NN149" s="15"/>
      <c r="NO149" s="15"/>
      <c r="NP149" s="15"/>
      <c r="NQ149" s="15"/>
      <c r="NR149" s="15"/>
      <c r="NS149" s="15"/>
      <c r="NT149" s="15"/>
      <c r="NU149" s="15"/>
      <c r="NV149" s="15"/>
      <c r="NW149" s="15"/>
      <c r="NX149" s="15"/>
      <c r="NY149" s="15"/>
      <c r="NZ149" s="15"/>
    </row>
    <row r="150" spans="2:390" ht="19.5" customHeight="1" x14ac:dyDescent="0.45">
      <c r="B150" s="1">
        <f t="shared" si="82"/>
        <v>4</v>
      </c>
      <c r="C150" s="1">
        <f>+C149</f>
        <v>7</v>
      </c>
      <c r="D150" s="1">
        <f>+D149+1</f>
        <v>2</v>
      </c>
      <c r="E150" s="59" t="str">
        <f t="shared" si="81"/>
        <v>4.7.2</v>
      </c>
      <c r="F150" s="85" t="s">
        <v>122</v>
      </c>
      <c r="G150" s="191">
        <v>1</v>
      </c>
      <c r="H150" s="52" t="s">
        <v>117</v>
      </c>
      <c r="I150" s="52" t="s">
        <v>158</v>
      </c>
      <c r="J150" s="92">
        <v>16</v>
      </c>
      <c r="K150" s="92">
        <v>0</v>
      </c>
      <c r="L150" s="55">
        <f>+J150-K150</f>
        <v>16</v>
      </c>
      <c r="M150" s="52">
        <v>2</v>
      </c>
      <c r="N150" s="52">
        <v>6</v>
      </c>
      <c r="O150" s="51">
        <f t="shared" si="83"/>
        <v>12</v>
      </c>
      <c r="P150" s="51">
        <f>+SUM(AA150:NZ150)</f>
        <v>12</v>
      </c>
      <c r="Q150" s="51">
        <f>+O150-P150</f>
        <v>0</v>
      </c>
      <c r="R150" s="19">
        <v>46132</v>
      </c>
      <c r="S150" s="20">
        <v>5</v>
      </c>
      <c r="T150" s="21">
        <f t="shared" si="86"/>
        <v>46136</v>
      </c>
      <c r="U150" s="22">
        <f>+K150/J150</f>
        <v>0</v>
      </c>
      <c r="V150" s="199">
        <f t="shared" si="87"/>
        <v>0</v>
      </c>
      <c r="W150" s="158">
        <f t="shared" si="84"/>
        <v>0</v>
      </c>
      <c r="X150" s="159">
        <f t="shared" si="85"/>
        <v>0</v>
      </c>
      <c r="Y150" s="199">
        <f t="shared" si="88"/>
        <v>0</v>
      </c>
      <c r="Z150" s="36"/>
      <c r="AA150" s="15"/>
      <c r="AB150" s="15"/>
      <c r="AC150" s="15"/>
      <c r="AD150" s="15"/>
      <c r="AE150" s="15"/>
      <c r="AF150" s="15"/>
      <c r="AG150" s="184"/>
      <c r="AH150" s="15"/>
      <c r="AI150" s="15"/>
      <c r="AJ150" s="15"/>
      <c r="AK150" s="15"/>
      <c r="AL150" s="15"/>
      <c r="AM150" s="15"/>
      <c r="AN150" s="184"/>
      <c r="AO150" s="15"/>
      <c r="AP150" s="15"/>
      <c r="AQ150" s="15"/>
      <c r="AR150" s="15"/>
      <c r="AS150" s="15"/>
      <c r="AT150" s="15"/>
      <c r="AU150" s="184"/>
      <c r="AV150" s="15"/>
      <c r="AW150" s="15"/>
      <c r="AX150" s="15"/>
      <c r="AY150" s="15"/>
      <c r="AZ150" s="15"/>
      <c r="BA150" s="15"/>
      <c r="BB150" s="184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84"/>
      <c r="CE150" s="15"/>
      <c r="CF150" s="15"/>
      <c r="CG150" s="15"/>
      <c r="CH150" s="15"/>
      <c r="CI150" s="15"/>
      <c r="CJ150" s="15"/>
      <c r="CK150" s="184"/>
      <c r="CL150" s="15"/>
      <c r="CM150" s="15"/>
      <c r="CN150" s="15"/>
      <c r="CO150" s="15"/>
      <c r="CP150" s="15"/>
      <c r="CQ150" s="15"/>
      <c r="CR150" s="184"/>
      <c r="CS150" s="15"/>
      <c r="CT150" s="15"/>
      <c r="CU150" s="15"/>
      <c r="CV150" s="15"/>
      <c r="CW150" s="15"/>
      <c r="CX150" s="15"/>
      <c r="CY150" s="184"/>
      <c r="CZ150" s="15"/>
      <c r="DA150" s="15"/>
      <c r="DB150" s="15"/>
      <c r="DC150" s="15"/>
      <c r="DD150" s="15"/>
      <c r="DE150" s="15"/>
      <c r="DF150" s="184"/>
      <c r="DG150" s="15"/>
      <c r="DH150" s="15"/>
      <c r="DI150" s="15"/>
      <c r="DJ150" s="15"/>
      <c r="DK150" s="15"/>
      <c r="DL150" s="15"/>
      <c r="DM150" s="184"/>
      <c r="DN150" s="15"/>
      <c r="DO150" s="15"/>
      <c r="DP150" s="15"/>
      <c r="DQ150" s="15"/>
      <c r="DR150" s="15"/>
      <c r="DS150" s="15"/>
      <c r="DT150" s="184"/>
      <c r="DU150" s="15"/>
      <c r="DV150" s="15"/>
      <c r="DW150" s="15"/>
      <c r="DX150" s="15"/>
      <c r="DY150" s="15"/>
      <c r="DZ150" s="15"/>
      <c r="EA150" s="184"/>
      <c r="EB150" s="15"/>
      <c r="EC150" s="15"/>
      <c r="ED150" s="15"/>
      <c r="EE150" s="15"/>
      <c r="EF150" s="15"/>
      <c r="EG150" s="15"/>
      <c r="EH150" s="184"/>
      <c r="EI150" s="15"/>
      <c r="EJ150" s="15"/>
      <c r="EK150" s="15"/>
      <c r="EL150" s="15"/>
      <c r="EM150" s="15"/>
      <c r="EN150" s="15"/>
      <c r="EO150" s="184"/>
      <c r="EP150" s="15"/>
      <c r="EQ150" s="15"/>
      <c r="ER150" s="15"/>
      <c r="ES150" s="15"/>
      <c r="ET150" s="15"/>
      <c r="EU150" s="15"/>
      <c r="EV150" s="184"/>
      <c r="EW150" s="15"/>
      <c r="EX150" s="15"/>
      <c r="EY150" s="15"/>
      <c r="EZ150" s="15"/>
      <c r="FA150" s="15"/>
      <c r="FB150" s="15"/>
      <c r="FC150" s="184"/>
      <c r="FD150" s="15"/>
      <c r="FE150" s="15"/>
      <c r="FF150" s="15"/>
      <c r="FG150" s="15"/>
      <c r="FH150" s="15"/>
      <c r="FI150" s="15"/>
      <c r="FJ150" s="184"/>
      <c r="FK150" s="15"/>
      <c r="FL150" s="15"/>
      <c r="FM150" s="15"/>
      <c r="FN150" s="15"/>
      <c r="FO150" s="15"/>
      <c r="FP150" s="15"/>
      <c r="FQ150" s="184"/>
      <c r="FR150" s="15">
        <v>2</v>
      </c>
      <c r="FS150" s="15">
        <v>2</v>
      </c>
      <c r="FT150" s="15">
        <v>2</v>
      </c>
      <c r="FU150" s="15">
        <v>2</v>
      </c>
      <c r="FV150" s="15">
        <v>2</v>
      </c>
      <c r="FW150" s="178">
        <v>2</v>
      </c>
      <c r="FX150" s="184"/>
      <c r="FY150" s="181"/>
      <c r="FZ150" s="15"/>
      <c r="GA150" s="15"/>
      <c r="GB150" s="15"/>
      <c r="GC150" s="15"/>
      <c r="GD150" s="15"/>
      <c r="GE150" s="184"/>
      <c r="GF150" s="15"/>
      <c r="GG150" s="15"/>
      <c r="GH150" s="15"/>
      <c r="GI150" s="15"/>
      <c r="GJ150" s="15"/>
      <c r="GK150" s="15"/>
      <c r="GL150" s="184"/>
      <c r="GM150" s="15"/>
      <c r="GN150" s="15"/>
      <c r="GO150" s="15"/>
      <c r="GP150" s="15"/>
      <c r="GQ150" s="15"/>
      <c r="GR150" s="15"/>
      <c r="GS150" s="184"/>
      <c r="GT150" s="15"/>
      <c r="GU150" s="15"/>
      <c r="GV150" s="15"/>
      <c r="GW150" s="15"/>
      <c r="GX150" s="15"/>
      <c r="GY150" s="15"/>
      <c r="GZ150" s="184"/>
      <c r="HA150" s="15"/>
      <c r="HB150" s="15"/>
      <c r="HC150" s="15"/>
      <c r="HD150" s="15"/>
      <c r="HE150" s="15"/>
      <c r="HF150" s="15"/>
      <c r="HG150" s="184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/>
      <c r="KE150" s="15"/>
      <c r="KF150" s="15"/>
      <c r="KG150" s="15"/>
      <c r="KH150" s="15"/>
      <c r="KI150" s="15"/>
      <c r="KJ150" s="15"/>
      <c r="KK150" s="15"/>
      <c r="KL150" s="15"/>
      <c r="KM150" s="15"/>
      <c r="KN150" s="15"/>
      <c r="KO150" s="15"/>
      <c r="KP150" s="15"/>
      <c r="KQ150" s="15"/>
      <c r="KR150" s="15"/>
      <c r="KS150" s="15"/>
      <c r="KT150" s="15"/>
      <c r="KU150" s="15"/>
      <c r="KV150" s="15"/>
      <c r="KW150" s="15"/>
      <c r="KX150" s="15"/>
      <c r="KY150" s="15"/>
      <c r="KZ150" s="15"/>
      <c r="LA150" s="15"/>
      <c r="LB150" s="15"/>
      <c r="LC150" s="15"/>
      <c r="LD150" s="15"/>
      <c r="LE150" s="15"/>
      <c r="LF150" s="15"/>
      <c r="LG150" s="15"/>
      <c r="LH150" s="15"/>
      <c r="LI150" s="15"/>
      <c r="LJ150" s="15"/>
      <c r="LK150" s="15"/>
      <c r="LL150" s="15"/>
      <c r="LM150" s="15"/>
      <c r="LN150" s="15"/>
      <c r="LO150" s="15"/>
      <c r="LP150" s="15"/>
      <c r="LQ150" s="15"/>
      <c r="LR150" s="15"/>
      <c r="LS150" s="15"/>
      <c r="LT150" s="15"/>
      <c r="LU150" s="15"/>
      <c r="LV150" s="15"/>
      <c r="LW150" s="15"/>
      <c r="LX150" s="15"/>
      <c r="LY150" s="15"/>
      <c r="LZ150" s="15"/>
      <c r="MA150" s="15"/>
      <c r="MB150" s="15"/>
      <c r="MC150" s="15"/>
      <c r="MD150" s="15"/>
      <c r="ME150" s="15"/>
      <c r="MF150" s="15"/>
      <c r="MG150" s="15"/>
      <c r="MH150" s="15"/>
      <c r="MI150" s="15"/>
      <c r="MJ150" s="15"/>
      <c r="MK150" s="15"/>
      <c r="ML150" s="15"/>
      <c r="MM150" s="15"/>
      <c r="MN150" s="15"/>
      <c r="MO150" s="15"/>
      <c r="MP150" s="15"/>
      <c r="MQ150" s="15"/>
      <c r="MR150" s="15"/>
      <c r="MS150" s="15"/>
      <c r="MT150" s="15"/>
      <c r="MU150" s="15"/>
      <c r="MV150" s="15"/>
      <c r="MW150" s="15"/>
      <c r="MX150" s="15"/>
      <c r="MY150" s="15"/>
      <c r="MZ150" s="15"/>
      <c r="NA150" s="15"/>
      <c r="NB150" s="15"/>
      <c r="NC150" s="15"/>
      <c r="ND150" s="15"/>
      <c r="NE150" s="15"/>
      <c r="NF150" s="15"/>
      <c r="NG150" s="15"/>
      <c r="NH150" s="15"/>
      <c r="NI150" s="15"/>
      <c r="NJ150" s="15"/>
      <c r="NK150" s="15"/>
      <c r="NL150" s="15"/>
      <c r="NM150" s="15"/>
      <c r="NN150" s="15"/>
      <c r="NO150" s="15"/>
      <c r="NP150" s="15"/>
      <c r="NQ150" s="15"/>
      <c r="NR150" s="15"/>
      <c r="NS150" s="15"/>
      <c r="NT150" s="15"/>
      <c r="NU150" s="15"/>
      <c r="NV150" s="15"/>
      <c r="NW150" s="15"/>
      <c r="NX150" s="15"/>
      <c r="NY150" s="15"/>
      <c r="NZ150" s="15"/>
    </row>
    <row r="151" spans="2:390" ht="19.5" customHeight="1" x14ac:dyDescent="0.45">
      <c r="B151" s="1">
        <f t="shared" si="82"/>
        <v>4</v>
      </c>
      <c r="C151" s="1">
        <f>+C150</f>
        <v>7</v>
      </c>
      <c r="D151" s="1">
        <f>+D150+1</f>
        <v>3</v>
      </c>
      <c r="E151" s="59" t="str">
        <f t="shared" si="81"/>
        <v>4.7.3</v>
      </c>
      <c r="F151" s="23" t="s">
        <v>121</v>
      </c>
      <c r="G151" s="191">
        <v>1</v>
      </c>
      <c r="H151" s="52" t="s">
        <v>117</v>
      </c>
      <c r="I151" s="52" t="s">
        <v>156</v>
      </c>
      <c r="J151" s="92">
        <v>107</v>
      </c>
      <c r="K151" s="92">
        <v>0</v>
      </c>
      <c r="L151" s="55">
        <f>+J151-K151</f>
        <v>107</v>
      </c>
      <c r="M151" s="52">
        <v>2</v>
      </c>
      <c r="N151" s="52">
        <v>24</v>
      </c>
      <c r="O151" s="51">
        <f t="shared" si="83"/>
        <v>48</v>
      </c>
      <c r="P151" s="51">
        <f>+SUM(AA151:NZ151)</f>
        <v>48</v>
      </c>
      <c r="Q151" s="51">
        <f>+O151-P151</f>
        <v>0</v>
      </c>
      <c r="R151" s="19">
        <v>46111</v>
      </c>
      <c r="S151" s="20">
        <v>20</v>
      </c>
      <c r="T151" s="21">
        <f t="shared" si="86"/>
        <v>46136</v>
      </c>
      <c r="U151" s="22">
        <f>+K151/J151</f>
        <v>0</v>
      </c>
      <c r="V151" s="199">
        <f t="shared" si="87"/>
        <v>0</v>
      </c>
      <c r="W151" s="158">
        <f t="shared" si="84"/>
        <v>0</v>
      </c>
      <c r="X151" s="159">
        <f t="shared" si="85"/>
        <v>0</v>
      </c>
      <c r="Y151" s="199">
        <f t="shared" si="88"/>
        <v>0</v>
      </c>
      <c r="Z151" s="36"/>
      <c r="AA151" s="15"/>
      <c r="AB151" s="15"/>
      <c r="AC151" s="15"/>
      <c r="AD151" s="15"/>
      <c r="AE151" s="15"/>
      <c r="AF151" s="15"/>
      <c r="AG151" s="184"/>
      <c r="AH151" s="15"/>
      <c r="AI151" s="15"/>
      <c r="AJ151" s="15"/>
      <c r="AK151" s="15"/>
      <c r="AL151" s="15"/>
      <c r="AM151" s="15"/>
      <c r="AN151" s="184"/>
      <c r="AO151" s="15"/>
      <c r="AP151" s="15"/>
      <c r="AQ151" s="15"/>
      <c r="AR151" s="15"/>
      <c r="AS151" s="15"/>
      <c r="AT151" s="15"/>
      <c r="AU151" s="184"/>
      <c r="AV151" s="15"/>
      <c r="AW151" s="15"/>
      <c r="AX151" s="15"/>
      <c r="AY151" s="15"/>
      <c r="AZ151" s="15"/>
      <c r="BA151" s="15"/>
      <c r="BB151" s="184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84"/>
      <c r="CE151" s="15"/>
      <c r="CF151" s="15"/>
      <c r="CG151" s="15"/>
      <c r="CH151" s="15"/>
      <c r="CI151" s="15"/>
      <c r="CJ151" s="15"/>
      <c r="CK151" s="184"/>
      <c r="CL151" s="15"/>
      <c r="CM151" s="15"/>
      <c r="CN151" s="15"/>
      <c r="CO151" s="15"/>
      <c r="CP151" s="15"/>
      <c r="CQ151" s="15"/>
      <c r="CR151" s="184"/>
      <c r="CS151" s="15"/>
      <c r="CT151" s="15"/>
      <c r="CU151" s="15"/>
      <c r="CV151" s="15"/>
      <c r="CW151" s="15"/>
      <c r="CX151" s="15"/>
      <c r="CY151" s="184"/>
      <c r="CZ151" s="15"/>
      <c r="DA151" s="15"/>
      <c r="DB151" s="15"/>
      <c r="DC151" s="15"/>
      <c r="DD151" s="15"/>
      <c r="DE151" s="15"/>
      <c r="DF151" s="184"/>
      <c r="DG151" s="15"/>
      <c r="DH151" s="15"/>
      <c r="DI151" s="15"/>
      <c r="DJ151" s="15"/>
      <c r="DK151" s="15"/>
      <c r="DL151" s="15"/>
      <c r="DM151" s="184"/>
      <c r="DN151" s="15"/>
      <c r="DO151" s="15"/>
      <c r="DP151" s="15"/>
      <c r="DQ151" s="15"/>
      <c r="DR151" s="15"/>
      <c r="DS151" s="15"/>
      <c r="DT151" s="184"/>
      <c r="DU151" s="15"/>
      <c r="DV151" s="15"/>
      <c r="DW151" s="15"/>
      <c r="DX151" s="15"/>
      <c r="DY151" s="15"/>
      <c r="DZ151" s="15"/>
      <c r="EA151" s="184"/>
      <c r="EB151" s="15"/>
      <c r="EC151" s="15"/>
      <c r="ED151" s="15"/>
      <c r="EE151" s="15"/>
      <c r="EF151" s="15"/>
      <c r="EG151" s="15"/>
      <c r="EH151" s="184"/>
      <c r="EI151" s="15"/>
      <c r="EJ151" s="15"/>
      <c r="EK151" s="15"/>
      <c r="EL151" s="15"/>
      <c r="EM151" s="15"/>
      <c r="EN151" s="15"/>
      <c r="EO151" s="184"/>
      <c r="EP151" s="15"/>
      <c r="EQ151" s="15"/>
      <c r="ER151" s="15"/>
      <c r="ES151" s="15"/>
      <c r="ET151" s="15"/>
      <c r="EU151" s="15"/>
      <c r="EV151" s="184"/>
      <c r="EW151" s="15">
        <v>2</v>
      </c>
      <c r="EX151" s="15">
        <v>2</v>
      </c>
      <c r="EY151" s="15">
        <v>2</v>
      </c>
      <c r="EZ151" s="15">
        <v>2</v>
      </c>
      <c r="FA151" s="15">
        <v>2</v>
      </c>
      <c r="FB151" s="15">
        <v>2</v>
      </c>
      <c r="FC151" s="184"/>
      <c r="FD151" s="15">
        <v>2</v>
      </c>
      <c r="FE151" s="15">
        <v>2</v>
      </c>
      <c r="FF151" s="15">
        <v>2</v>
      </c>
      <c r="FG151" s="15">
        <v>2</v>
      </c>
      <c r="FH151" s="15">
        <v>2</v>
      </c>
      <c r="FI151" s="15">
        <v>2</v>
      </c>
      <c r="FJ151" s="184"/>
      <c r="FK151" s="15">
        <v>2</v>
      </c>
      <c r="FL151" s="15">
        <v>2</v>
      </c>
      <c r="FM151" s="15">
        <v>2</v>
      </c>
      <c r="FN151" s="15">
        <v>2</v>
      </c>
      <c r="FO151" s="15">
        <v>2</v>
      </c>
      <c r="FP151" s="15">
        <v>2</v>
      </c>
      <c r="FQ151" s="184"/>
      <c r="FR151" s="15">
        <v>2</v>
      </c>
      <c r="FS151" s="15">
        <v>2</v>
      </c>
      <c r="FT151" s="15">
        <v>2</v>
      </c>
      <c r="FU151" s="15">
        <v>2</v>
      </c>
      <c r="FV151" s="15">
        <v>2</v>
      </c>
      <c r="FW151" s="178">
        <v>2</v>
      </c>
      <c r="FX151" s="184"/>
      <c r="FY151" s="181"/>
      <c r="FZ151" s="15"/>
      <c r="GA151" s="15"/>
      <c r="GB151" s="15"/>
      <c r="GC151" s="15"/>
      <c r="GD151" s="15"/>
      <c r="GE151" s="184"/>
      <c r="GF151" s="15"/>
      <c r="GG151" s="15"/>
      <c r="GH151" s="15"/>
      <c r="GI151" s="15"/>
      <c r="GJ151" s="15"/>
      <c r="GK151" s="15"/>
      <c r="GL151" s="184"/>
      <c r="GM151" s="15"/>
      <c r="GN151" s="15"/>
      <c r="GO151" s="15"/>
      <c r="GP151" s="15"/>
      <c r="GQ151" s="15"/>
      <c r="GR151" s="15"/>
      <c r="GS151" s="184"/>
      <c r="GT151" s="15"/>
      <c r="GU151" s="15"/>
      <c r="GV151" s="15"/>
      <c r="GW151" s="15"/>
      <c r="GX151" s="15"/>
      <c r="GY151" s="15"/>
      <c r="GZ151" s="184"/>
      <c r="HA151" s="15"/>
      <c r="HB151" s="15"/>
      <c r="HC151" s="15"/>
      <c r="HD151" s="15"/>
      <c r="HE151" s="15"/>
      <c r="HF151" s="15"/>
      <c r="HG151" s="184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  <c r="JU151" s="15"/>
      <c r="JV151" s="15"/>
      <c r="JW151" s="15"/>
      <c r="JX151" s="15"/>
      <c r="JY151" s="15"/>
      <c r="JZ151" s="15"/>
      <c r="KA151" s="15"/>
      <c r="KB151" s="15"/>
      <c r="KC151" s="15"/>
      <c r="KD151" s="15"/>
      <c r="KE151" s="15"/>
      <c r="KF151" s="15"/>
      <c r="KG151" s="15"/>
      <c r="KH151" s="15"/>
      <c r="KI151" s="15"/>
      <c r="KJ151" s="15"/>
      <c r="KK151" s="15"/>
      <c r="KL151" s="15"/>
      <c r="KM151" s="15"/>
      <c r="KN151" s="15"/>
      <c r="KO151" s="15"/>
      <c r="KP151" s="15"/>
      <c r="KQ151" s="15"/>
      <c r="KR151" s="15"/>
      <c r="KS151" s="15"/>
      <c r="KT151" s="15"/>
      <c r="KU151" s="15"/>
      <c r="KV151" s="15"/>
      <c r="KW151" s="15"/>
      <c r="KX151" s="15"/>
      <c r="KY151" s="15"/>
      <c r="KZ151" s="15"/>
      <c r="LA151" s="15"/>
      <c r="LB151" s="15"/>
      <c r="LC151" s="15"/>
      <c r="LD151" s="15"/>
      <c r="LE151" s="15"/>
      <c r="LF151" s="15"/>
      <c r="LG151" s="15"/>
      <c r="LH151" s="15"/>
      <c r="LI151" s="15"/>
      <c r="LJ151" s="15"/>
      <c r="LK151" s="15"/>
      <c r="LL151" s="15"/>
      <c r="LM151" s="15"/>
      <c r="LN151" s="15"/>
      <c r="LO151" s="15"/>
      <c r="LP151" s="15"/>
      <c r="LQ151" s="15"/>
      <c r="LR151" s="15"/>
      <c r="LS151" s="15"/>
      <c r="LT151" s="15"/>
      <c r="LU151" s="15"/>
      <c r="LV151" s="15"/>
      <c r="LW151" s="15"/>
      <c r="LX151" s="15"/>
      <c r="LY151" s="15"/>
      <c r="LZ151" s="15"/>
      <c r="MA151" s="15"/>
      <c r="MB151" s="15"/>
      <c r="MC151" s="15"/>
      <c r="MD151" s="15"/>
      <c r="ME151" s="15"/>
      <c r="MF151" s="15"/>
      <c r="MG151" s="15"/>
      <c r="MH151" s="15"/>
      <c r="MI151" s="15"/>
      <c r="MJ151" s="15"/>
      <c r="MK151" s="15"/>
      <c r="ML151" s="15"/>
      <c r="MM151" s="15"/>
      <c r="MN151" s="15"/>
      <c r="MO151" s="15"/>
      <c r="MP151" s="15"/>
      <c r="MQ151" s="15"/>
      <c r="MR151" s="15"/>
      <c r="MS151" s="15"/>
      <c r="MT151" s="15"/>
      <c r="MU151" s="15"/>
      <c r="MV151" s="15"/>
      <c r="MW151" s="15"/>
      <c r="MX151" s="15"/>
      <c r="MY151" s="15"/>
      <c r="MZ151" s="15"/>
      <c r="NA151" s="15"/>
      <c r="NB151" s="15"/>
      <c r="NC151" s="15"/>
      <c r="ND151" s="15"/>
      <c r="NE151" s="15"/>
      <c r="NF151" s="15"/>
      <c r="NG151" s="15"/>
      <c r="NH151" s="15"/>
      <c r="NI151" s="15"/>
      <c r="NJ151" s="15"/>
      <c r="NK151" s="15"/>
      <c r="NL151" s="15"/>
      <c r="NM151" s="15"/>
      <c r="NN151" s="15"/>
      <c r="NO151" s="15"/>
      <c r="NP151" s="15"/>
      <c r="NQ151" s="15"/>
      <c r="NR151" s="15"/>
      <c r="NS151" s="15"/>
      <c r="NT151" s="15"/>
      <c r="NU151" s="15"/>
      <c r="NV151" s="15"/>
      <c r="NW151" s="15"/>
      <c r="NX151" s="15"/>
      <c r="NY151" s="15"/>
      <c r="NZ151" s="15"/>
    </row>
    <row r="152" spans="2:390" ht="19.5" customHeight="1" x14ac:dyDescent="0.45">
      <c r="B152" s="1">
        <f t="shared" si="82"/>
        <v>4</v>
      </c>
      <c r="C152" s="1">
        <f>+C151+1</f>
        <v>8</v>
      </c>
      <c r="D152" s="1">
        <v>0</v>
      </c>
      <c r="E152" s="93" t="str">
        <f t="shared" si="81"/>
        <v>4.8.0</v>
      </c>
      <c r="F152" s="94" t="s">
        <v>51</v>
      </c>
      <c r="G152" s="94"/>
      <c r="H152" s="95"/>
      <c r="I152" s="95"/>
      <c r="J152" s="96"/>
      <c r="K152" s="96"/>
      <c r="L152" s="97"/>
      <c r="M152" s="95"/>
      <c r="N152" s="95"/>
      <c r="O152" s="95">
        <f>SUM(O153)</f>
        <v>8</v>
      </c>
      <c r="P152" s="95"/>
      <c r="Q152" s="95"/>
      <c r="R152" s="168"/>
      <c r="S152" s="98"/>
      <c r="T152" s="163" t="str">
        <f t="shared" si="86"/>
        <v/>
      </c>
      <c r="U152" s="164">
        <f>+SUMPRODUCT(U153,O153)/O152</f>
        <v>0</v>
      </c>
      <c r="V152" s="200">
        <f t="shared" si="87"/>
        <v>0</v>
      </c>
      <c r="W152" s="158">
        <f t="shared" si="84"/>
        <v>0</v>
      </c>
      <c r="X152" s="159">
        <f t="shared" si="85"/>
        <v>0</v>
      </c>
      <c r="Y152" s="199">
        <f t="shared" si="88"/>
        <v>0</v>
      </c>
      <c r="Z152" s="36"/>
      <c r="AA152" s="15"/>
      <c r="AB152" s="15"/>
      <c r="AC152" s="15"/>
      <c r="AD152" s="15"/>
      <c r="AE152" s="15"/>
      <c r="AF152" s="15"/>
      <c r="AG152" s="184"/>
      <c r="AH152" s="15"/>
      <c r="AI152" s="15"/>
      <c r="AJ152" s="15"/>
      <c r="AK152" s="15"/>
      <c r="AL152" s="15"/>
      <c r="AM152" s="15"/>
      <c r="AN152" s="184"/>
      <c r="AO152" s="15"/>
      <c r="AP152" s="15"/>
      <c r="AQ152" s="15"/>
      <c r="AR152" s="15"/>
      <c r="AS152" s="15"/>
      <c r="AT152" s="15"/>
      <c r="AU152" s="184"/>
      <c r="AV152" s="15"/>
      <c r="AW152" s="15"/>
      <c r="AX152" s="15"/>
      <c r="AY152" s="15"/>
      <c r="AZ152" s="15"/>
      <c r="BA152" s="15"/>
      <c r="BB152" s="184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84"/>
      <c r="CE152" s="15"/>
      <c r="CF152" s="15"/>
      <c r="CG152" s="15"/>
      <c r="CH152" s="15"/>
      <c r="CI152" s="15"/>
      <c r="CJ152" s="15"/>
      <c r="CK152" s="184"/>
      <c r="CL152" s="15"/>
      <c r="CM152" s="15"/>
      <c r="CN152" s="15"/>
      <c r="CO152" s="15"/>
      <c r="CP152" s="15"/>
      <c r="CQ152" s="15"/>
      <c r="CR152" s="184"/>
      <c r="CS152" s="15"/>
      <c r="CT152" s="15"/>
      <c r="CU152" s="15"/>
      <c r="CV152" s="15"/>
      <c r="CW152" s="15"/>
      <c r="CX152" s="15"/>
      <c r="CY152" s="184"/>
      <c r="CZ152" s="15"/>
      <c r="DA152" s="15"/>
      <c r="DB152" s="15"/>
      <c r="DC152" s="15"/>
      <c r="DD152" s="15"/>
      <c r="DE152" s="15"/>
      <c r="DF152" s="184"/>
      <c r="DG152" s="15"/>
      <c r="DH152" s="15"/>
      <c r="DI152" s="15"/>
      <c r="DJ152" s="15"/>
      <c r="DK152" s="15"/>
      <c r="DL152" s="15"/>
      <c r="DM152" s="184"/>
      <c r="DN152" s="15"/>
      <c r="DO152" s="15"/>
      <c r="DP152" s="15"/>
      <c r="DQ152" s="15"/>
      <c r="DR152" s="15"/>
      <c r="DS152" s="15"/>
      <c r="DT152" s="184"/>
      <c r="DU152" s="15"/>
      <c r="DV152" s="15"/>
      <c r="DW152" s="15"/>
      <c r="DX152" s="15"/>
      <c r="DY152" s="15"/>
      <c r="DZ152" s="15"/>
      <c r="EA152" s="184"/>
      <c r="EB152" s="15"/>
      <c r="EC152" s="15"/>
      <c r="ED152" s="15"/>
      <c r="EE152" s="15"/>
      <c r="EF152" s="15"/>
      <c r="EG152" s="15"/>
      <c r="EH152" s="184"/>
      <c r="EI152" s="15"/>
      <c r="EJ152" s="15"/>
      <c r="EK152" s="15"/>
      <c r="EL152" s="15"/>
      <c r="EM152" s="15"/>
      <c r="EN152" s="15"/>
      <c r="EO152" s="184"/>
      <c r="EP152" s="15"/>
      <c r="EQ152" s="15"/>
      <c r="ER152" s="15"/>
      <c r="ES152" s="15"/>
      <c r="ET152" s="15"/>
      <c r="EU152" s="15"/>
      <c r="EV152" s="184"/>
      <c r="EW152" s="15"/>
      <c r="EX152" s="15"/>
      <c r="EY152" s="15"/>
      <c r="EZ152" s="15"/>
      <c r="FA152" s="15"/>
      <c r="FB152" s="15"/>
      <c r="FC152" s="184"/>
      <c r="FD152" s="15"/>
      <c r="FE152" s="15"/>
      <c r="FF152" s="15"/>
      <c r="FG152" s="15"/>
      <c r="FH152" s="15"/>
      <c r="FI152" s="15"/>
      <c r="FJ152" s="184"/>
      <c r="FK152" s="15"/>
      <c r="FL152" s="15"/>
      <c r="FM152" s="15"/>
      <c r="FN152" s="15"/>
      <c r="FO152" s="15"/>
      <c r="FP152" s="15"/>
      <c r="FQ152" s="184"/>
      <c r="FR152" s="15"/>
      <c r="FS152" s="15"/>
      <c r="FT152" s="15"/>
      <c r="FU152" s="15"/>
      <c r="FV152" s="15"/>
      <c r="FW152" s="178"/>
      <c r="FX152" s="184"/>
      <c r="FY152" s="181"/>
      <c r="FZ152" s="15"/>
      <c r="GA152" s="15"/>
      <c r="GB152" s="15"/>
      <c r="GC152" s="15"/>
      <c r="GD152" s="15"/>
      <c r="GE152" s="184"/>
      <c r="GF152" s="15"/>
      <c r="GG152" s="15"/>
      <c r="GH152" s="15"/>
      <c r="GI152" s="15"/>
      <c r="GJ152" s="15"/>
      <c r="GK152" s="15"/>
      <c r="GL152" s="184"/>
      <c r="GM152" s="15"/>
      <c r="GN152" s="15"/>
      <c r="GO152" s="15"/>
      <c r="GP152" s="15"/>
      <c r="GQ152" s="15"/>
      <c r="GR152" s="15"/>
      <c r="GS152" s="184"/>
      <c r="GT152" s="15"/>
      <c r="GU152" s="15"/>
      <c r="GV152" s="15"/>
      <c r="GW152" s="15"/>
      <c r="GX152" s="15"/>
      <c r="GY152" s="15"/>
      <c r="GZ152" s="184"/>
      <c r="HA152" s="15"/>
      <c r="HB152" s="15"/>
      <c r="HC152" s="15"/>
      <c r="HD152" s="15"/>
      <c r="HE152" s="15"/>
      <c r="HF152" s="15"/>
      <c r="HG152" s="184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  <c r="JU152" s="15"/>
      <c r="JV152" s="15"/>
      <c r="JW152" s="15"/>
      <c r="JX152" s="15"/>
      <c r="JY152" s="15"/>
      <c r="JZ152" s="15"/>
      <c r="KA152" s="15"/>
      <c r="KB152" s="15"/>
      <c r="KC152" s="15"/>
      <c r="KD152" s="15"/>
      <c r="KE152" s="15"/>
      <c r="KF152" s="15"/>
      <c r="KG152" s="15"/>
      <c r="KH152" s="15"/>
      <c r="KI152" s="15"/>
      <c r="KJ152" s="15"/>
      <c r="KK152" s="15"/>
      <c r="KL152" s="15"/>
      <c r="KM152" s="15"/>
      <c r="KN152" s="15"/>
      <c r="KO152" s="15"/>
      <c r="KP152" s="15"/>
      <c r="KQ152" s="15"/>
      <c r="KR152" s="15"/>
      <c r="KS152" s="15"/>
      <c r="KT152" s="15"/>
      <c r="KU152" s="15"/>
      <c r="KV152" s="15"/>
      <c r="KW152" s="15"/>
      <c r="KX152" s="15"/>
      <c r="KY152" s="15"/>
      <c r="KZ152" s="15"/>
      <c r="LA152" s="15"/>
      <c r="LB152" s="15"/>
      <c r="LC152" s="15"/>
      <c r="LD152" s="15"/>
      <c r="LE152" s="15"/>
      <c r="LF152" s="15"/>
      <c r="LG152" s="15"/>
      <c r="LH152" s="15"/>
      <c r="LI152" s="15"/>
      <c r="LJ152" s="15"/>
      <c r="LK152" s="15"/>
      <c r="LL152" s="15"/>
      <c r="LM152" s="15"/>
      <c r="LN152" s="15"/>
      <c r="LO152" s="15"/>
      <c r="LP152" s="15"/>
      <c r="LQ152" s="15"/>
      <c r="LR152" s="15"/>
      <c r="LS152" s="15"/>
      <c r="LT152" s="15"/>
      <c r="LU152" s="15"/>
      <c r="LV152" s="15"/>
      <c r="LW152" s="15"/>
      <c r="LX152" s="15"/>
      <c r="LY152" s="15"/>
      <c r="LZ152" s="15"/>
      <c r="MA152" s="15"/>
      <c r="MB152" s="15"/>
      <c r="MC152" s="15"/>
      <c r="MD152" s="15"/>
      <c r="ME152" s="15"/>
      <c r="MF152" s="15"/>
      <c r="MG152" s="15"/>
      <c r="MH152" s="15"/>
      <c r="MI152" s="15"/>
      <c r="MJ152" s="15"/>
      <c r="MK152" s="15"/>
      <c r="ML152" s="15"/>
      <c r="MM152" s="15"/>
      <c r="MN152" s="15"/>
      <c r="MO152" s="15"/>
      <c r="MP152" s="15"/>
      <c r="MQ152" s="15"/>
      <c r="MR152" s="15"/>
      <c r="MS152" s="15"/>
      <c r="MT152" s="15"/>
      <c r="MU152" s="15"/>
      <c r="MV152" s="15"/>
      <c r="MW152" s="15"/>
      <c r="MX152" s="15"/>
      <c r="MY152" s="15"/>
      <c r="MZ152" s="15"/>
      <c r="NA152" s="15"/>
      <c r="NB152" s="15"/>
      <c r="NC152" s="15"/>
      <c r="ND152" s="15"/>
      <c r="NE152" s="15"/>
      <c r="NF152" s="15"/>
      <c r="NG152" s="15"/>
      <c r="NH152" s="15"/>
      <c r="NI152" s="15"/>
      <c r="NJ152" s="15"/>
      <c r="NK152" s="15"/>
      <c r="NL152" s="15"/>
      <c r="NM152" s="15"/>
      <c r="NN152" s="15"/>
      <c r="NO152" s="15"/>
      <c r="NP152" s="15"/>
      <c r="NQ152" s="15"/>
      <c r="NR152" s="15"/>
      <c r="NS152" s="15"/>
      <c r="NT152" s="15"/>
      <c r="NU152" s="15"/>
      <c r="NV152" s="15"/>
      <c r="NW152" s="15"/>
      <c r="NX152" s="15"/>
      <c r="NY152" s="15"/>
      <c r="NZ152" s="15"/>
    </row>
    <row r="153" spans="2:390" ht="19.5" customHeight="1" x14ac:dyDescent="0.45">
      <c r="B153" s="1">
        <f t="shared" si="82"/>
        <v>4</v>
      </c>
      <c r="C153" s="1">
        <f>+C152</f>
        <v>8</v>
      </c>
      <c r="D153" s="1">
        <f>+D152+1</f>
        <v>1</v>
      </c>
      <c r="E153" s="59" t="str">
        <f t="shared" si="81"/>
        <v>4.8.1</v>
      </c>
      <c r="F153" s="23" t="s">
        <v>97</v>
      </c>
      <c r="G153" s="191">
        <v>1</v>
      </c>
      <c r="H153" s="52" t="s">
        <v>117</v>
      </c>
      <c r="I153" s="52" t="s">
        <v>156</v>
      </c>
      <c r="J153" s="52">
        <v>2</v>
      </c>
      <c r="K153" s="52">
        <v>0</v>
      </c>
      <c r="L153" s="55">
        <f>+J153-K153</f>
        <v>2</v>
      </c>
      <c r="M153" s="52">
        <v>2</v>
      </c>
      <c r="N153" s="52">
        <v>4</v>
      </c>
      <c r="O153" s="51">
        <f t="shared" si="83"/>
        <v>8</v>
      </c>
      <c r="P153" s="51">
        <f>+SUM(AA153:NZ153)</f>
        <v>8</v>
      </c>
      <c r="Q153" s="51">
        <f>+O153-P153</f>
        <v>0</v>
      </c>
      <c r="R153" s="19">
        <v>46118</v>
      </c>
      <c r="S153" s="20">
        <v>4</v>
      </c>
      <c r="T153" s="21">
        <f t="shared" si="86"/>
        <v>46121</v>
      </c>
      <c r="U153" s="22">
        <f>+K153/J153</f>
        <v>0</v>
      </c>
      <c r="V153" s="199">
        <f t="shared" si="87"/>
        <v>0</v>
      </c>
      <c r="W153" s="158">
        <f t="shared" si="84"/>
        <v>0</v>
      </c>
      <c r="X153" s="159">
        <f t="shared" si="85"/>
        <v>0</v>
      </c>
      <c r="Y153" s="199">
        <f t="shared" si="88"/>
        <v>0</v>
      </c>
      <c r="Z153" s="36"/>
      <c r="AA153" s="15"/>
      <c r="AB153" s="15"/>
      <c r="AC153" s="15"/>
      <c r="AD153" s="15"/>
      <c r="AE153" s="15"/>
      <c r="AF153" s="15"/>
      <c r="AG153" s="184"/>
      <c r="AH153" s="15"/>
      <c r="AI153" s="15"/>
      <c r="AJ153" s="15"/>
      <c r="AK153" s="15"/>
      <c r="AL153" s="15"/>
      <c r="AM153" s="15"/>
      <c r="AN153" s="184"/>
      <c r="AO153" s="15"/>
      <c r="AP153" s="15"/>
      <c r="AQ153" s="15"/>
      <c r="AR153" s="15"/>
      <c r="AS153" s="15"/>
      <c r="AT153" s="15"/>
      <c r="AU153" s="184"/>
      <c r="AV153" s="15"/>
      <c r="AW153" s="15"/>
      <c r="AX153" s="15"/>
      <c r="AY153" s="15"/>
      <c r="AZ153" s="15"/>
      <c r="BA153" s="15"/>
      <c r="BB153" s="184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84"/>
      <c r="CE153" s="15"/>
      <c r="CF153" s="15"/>
      <c r="CG153" s="15"/>
      <c r="CH153" s="15"/>
      <c r="CI153" s="15"/>
      <c r="CJ153" s="15"/>
      <c r="CK153" s="184"/>
      <c r="CL153" s="15"/>
      <c r="CM153" s="15"/>
      <c r="CN153" s="15"/>
      <c r="CO153" s="15"/>
      <c r="CP153" s="15"/>
      <c r="CQ153" s="15"/>
      <c r="CR153" s="184"/>
      <c r="CS153" s="15"/>
      <c r="CT153" s="15"/>
      <c r="CU153" s="15"/>
      <c r="CV153" s="15"/>
      <c r="CW153" s="15"/>
      <c r="CX153" s="15"/>
      <c r="CY153" s="184"/>
      <c r="CZ153" s="15"/>
      <c r="DA153" s="15"/>
      <c r="DB153" s="15"/>
      <c r="DC153" s="15"/>
      <c r="DD153" s="15"/>
      <c r="DE153" s="15"/>
      <c r="DF153" s="184"/>
      <c r="DG153" s="15"/>
      <c r="DH153" s="15"/>
      <c r="DI153" s="15"/>
      <c r="DJ153" s="15"/>
      <c r="DK153" s="15"/>
      <c r="DL153" s="15"/>
      <c r="DM153" s="184"/>
      <c r="DN153" s="15"/>
      <c r="DO153" s="15"/>
      <c r="DP153" s="15"/>
      <c r="DQ153" s="15"/>
      <c r="DR153" s="15"/>
      <c r="DS153" s="15"/>
      <c r="DT153" s="184"/>
      <c r="DU153" s="15"/>
      <c r="DV153" s="15"/>
      <c r="DW153" s="15"/>
      <c r="DX153" s="15"/>
      <c r="DY153" s="15"/>
      <c r="DZ153" s="15"/>
      <c r="EA153" s="184"/>
      <c r="EB153" s="15"/>
      <c r="EC153" s="15"/>
      <c r="ED153" s="15"/>
      <c r="EE153" s="15"/>
      <c r="EF153" s="15"/>
      <c r="EG153" s="15"/>
      <c r="EH153" s="184"/>
      <c r="EI153" s="15"/>
      <c r="EJ153" s="15"/>
      <c r="EK153" s="15"/>
      <c r="EL153" s="15"/>
      <c r="EM153" s="15"/>
      <c r="EN153" s="15"/>
      <c r="EO153" s="184"/>
      <c r="EP153" s="15"/>
      <c r="EQ153" s="15"/>
      <c r="ER153" s="15"/>
      <c r="ES153" s="15"/>
      <c r="ET153" s="15"/>
      <c r="EU153" s="15"/>
      <c r="EV153" s="184"/>
      <c r="EW153" s="15"/>
      <c r="EX153" s="15"/>
      <c r="EY153" s="15"/>
      <c r="EZ153" s="15"/>
      <c r="FA153" s="15"/>
      <c r="FB153" s="15"/>
      <c r="FC153" s="184"/>
      <c r="FD153" s="15">
        <v>2</v>
      </c>
      <c r="FE153" s="15">
        <v>2</v>
      </c>
      <c r="FF153" s="15">
        <v>2</v>
      </c>
      <c r="FG153" s="15">
        <v>2</v>
      </c>
      <c r="FH153" s="15"/>
      <c r="FI153" s="15"/>
      <c r="FJ153" s="184"/>
      <c r="FK153" s="15"/>
      <c r="FL153" s="15"/>
      <c r="FM153" s="15"/>
      <c r="FN153" s="15"/>
      <c r="FO153" s="15"/>
      <c r="FP153" s="15"/>
      <c r="FQ153" s="184"/>
      <c r="FR153" s="15"/>
      <c r="FS153" s="15"/>
      <c r="FT153" s="15"/>
      <c r="FU153" s="15"/>
      <c r="FV153" s="15"/>
      <c r="FW153" s="178"/>
      <c r="FX153" s="184"/>
      <c r="FY153" s="181"/>
      <c r="FZ153" s="15"/>
      <c r="GA153" s="15"/>
      <c r="GB153" s="15"/>
      <c r="GC153" s="15"/>
      <c r="GD153" s="15"/>
      <c r="GE153" s="184"/>
      <c r="GF153" s="15"/>
      <c r="GG153" s="15"/>
      <c r="GH153" s="15"/>
      <c r="GI153" s="15"/>
      <c r="GJ153" s="15"/>
      <c r="GK153" s="15"/>
      <c r="GL153" s="184"/>
      <c r="GM153" s="15"/>
      <c r="GN153" s="15"/>
      <c r="GO153" s="15"/>
      <c r="GP153" s="15"/>
      <c r="GQ153" s="15"/>
      <c r="GR153" s="15"/>
      <c r="GS153" s="184"/>
      <c r="GT153" s="15"/>
      <c r="GU153" s="15"/>
      <c r="GV153" s="15"/>
      <c r="GW153" s="15"/>
      <c r="GX153" s="15"/>
      <c r="GY153" s="15"/>
      <c r="GZ153" s="184"/>
      <c r="HA153" s="15"/>
      <c r="HB153" s="15"/>
      <c r="HC153" s="15"/>
      <c r="HD153" s="15"/>
      <c r="HE153" s="15"/>
      <c r="HF153" s="15"/>
      <c r="HG153" s="184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  <c r="JT153" s="15"/>
      <c r="JU153" s="15"/>
      <c r="JV153" s="15"/>
      <c r="JW153" s="15"/>
      <c r="JX153" s="15"/>
      <c r="JY153" s="15"/>
      <c r="JZ153" s="15"/>
      <c r="KA153" s="15"/>
      <c r="KB153" s="15"/>
      <c r="KC153" s="15"/>
      <c r="KD153" s="15"/>
      <c r="KE153" s="15"/>
      <c r="KF153" s="15"/>
      <c r="KG153" s="15"/>
      <c r="KH153" s="15"/>
      <c r="KI153" s="15"/>
      <c r="KJ153" s="15"/>
      <c r="KK153" s="15"/>
      <c r="KL153" s="15"/>
      <c r="KM153" s="15"/>
      <c r="KN153" s="15"/>
      <c r="KO153" s="15"/>
      <c r="KP153" s="15"/>
      <c r="KQ153" s="15"/>
      <c r="KR153" s="15"/>
      <c r="KS153" s="15"/>
      <c r="KT153" s="15"/>
      <c r="KU153" s="15"/>
      <c r="KV153" s="15"/>
      <c r="KW153" s="15"/>
      <c r="KX153" s="15"/>
      <c r="KY153" s="15"/>
      <c r="KZ153" s="15"/>
      <c r="LA153" s="15"/>
      <c r="LB153" s="15"/>
      <c r="LC153" s="15"/>
      <c r="LD153" s="15"/>
      <c r="LE153" s="15"/>
      <c r="LF153" s="15"/>
      <c r="LG153" s="15"/>
      <c r="LH153" s="15"/>
      <c r="LI153" s="15"/>
      <c r="LJ153" s="15"/>
      <c r="LK153" s="15"/>
      <c r="LL153" s="15"/>
      <c r="LM153" s="15"/>
      <c r="LN153" s="15"/>
      <c r="LO153" s="15"/>
      <c r="LP153" s="15"/>
      <c r="LQ153" s="15"/>
      <c r="LR153" s="15"/>
      <c r="LS153" s="15"/>
      <c r="LT153" s="15"/>
      <c r="LU153" s="15"/>
      <c r="LV153" s="15"/>
      <c r="LW153" s="15"/>
      <c r="LX153" s="15"/>
      <c r="LY153" s="15"/>
      <c r="LZ153" s="15"/>
      <c r="MA153" s="15"/>
      <c r="MB153" s="15"/>
      <c r="MC153" s="15"/>
      <c r="MD153" s="15"/>
      <c r="ME153" s="15"/>
      <c r="MF153" s="15"/>
      <c r="MG153" s="15"/>
      <c r="MH153" s="15"/>
      <c r="MI153" s="15"/>
      <c r="MJ153" s="15"/>
      <c r="MK153" s="15"/>
      <c r="ML153" s="15"/>
      <c r="MM153" s="15"/>
      <c r="MN153" s="15"/>
      <c r="MO153" s="15"/>
      <c r="MP153" s="15"/>
      <c r="MQ153" s="15"/>
      <c r="MR153" s="15"/>
      <c r="MS153" s="15"/>
      <c r="MT153" s="15"/>
      <c r="MU153" s="15"/>
      <c r="MV153" s="15"/>
      <c r="MW153" s="15"/>
      <c r="MX153" s="15"/>
      <c r="MY153" s="15"/>
      <c r="MZ153" s="15"/>
      <c r="NA153" s="15"/>
      <c r="NB153" s="15"/>
      <c r="NC153" s="15"/>
      <c r="ND153" s="15"/>
      <c r="NE153" s="15"/>
      <c r="NF153" s="15"/>
      <c r="NG153" s="15"/>
      <c r="NH153" s="15"/>
      <c r="NI153" s="15"/>
      <c r="NJ153" s="15"/>
      <c r="NK153" s="15"/>
      <c r="NL153" s="15"/>
      <c r="NM153" s="15"/>
      <c r="NN153" s="15"/>
      <c r="NO153" s="15"/>
      <c r="NP153" s="15"/>
      <c r="NQ153" s="15"/>
      <c r="NR153" s="15"/>
      <c r="NS153" s="15"/>
      <c r="NT153" s="15"/>
      <c r="NU153" s="15"/>
      <c r="NV153" s="15"/>
      <c r="NW153" s="15"/>
      <c r="NX153" s="15"/>
      <c r="NY153" s="15"/>
      <c r="NZ153" s="15"/>
    </row>
    <row r="154" spans="2:390" ht="19.5" customHeight="1" x14ac:dyDescent="0.45">
      <c r="B154" s="1">
        <f t="shared" si="82"/>
        <v>4</v>
      </c>
      <c r="C154" s="1">
        <f>+C153+1</f>
        <v>9</v>
      </c>
      <c r="D154" s="1">
        <v>0</v>
      </c>
      <c r="E154" s="93" t="str">
        <f t="shared" si="81"/>
        <v>4.9.0</v>
      </c>
      <c r="F154" s="94" t="s">
        <v>50</v>
      </c>
      <c r="G154" s="94"/>
      <c r="H154" s="95"/>
      <c r="I154" s="95"/>
      <c r="J154" s="96"/>
      <c r="K154" s="96"/>
      <c r="L154" s="97"/>
      <c r="M154" s="95"/>
      <c r="N154" s="95"/>
      <c r="O154" s="95">
        <f>SUM(O155:O158)</f>
        <v>76</v>
      </c>
      <c r="P154" s="95"/>
      <c r="Q154" s="95"/>
      <c r="R154" s="168"/>
      <c r="S154" s="98"/>
      <c r="T154" s="163" t="str">
        <f t="shared" si="86"/>
        <v/>
      </c>
      <c r="U154" s="164">
        <f>+SUMPRODUCT(U155:U158,O155:O158)/O154</f>
        <v>5.2631578947368418E-2</v>
      </c>
      <c r="V154" s="200">
        <f t="shared" si="87"/>
        <v>4</v>
      </c>
      <c r="W154" s="158">
        <f t="shared" si="84"/>
        <v>0</v>
      </c>
      <c r="X154" s="159">
        <f t="shared" si="85"/>
        <v>0</v>
      </c>
      <c r="Y154" s="199">
        <f t="shared" si="88"/>
        <v>0</v>
      </c>
      <c r="Z154" s="36"/>
      <c r="AA154" s="15"/>
      <c r="AB154" s="15"/>
      <c r="AC154" s="15"/>
      <c r="AD154" s="15"/>
      <c r="AE154" s="15"/>
      <c r="AF154" s="15"/>
      <c r="AG154" s="184"/>
      <c r="AH154" s="15"/>
      <c r="AI154" s="15"/>
      <c r="AJ154" s="15"/>
      <c r="AK154" s="15"/>
      <c r="AL154" s="15"/>
      <c r="AM154" s="15"/>
      <c r="AN154" s="184"/>
      <c r="AO154" s="15"/>
      <c r="AP154" s="15"/>
      <c r="AQ154" s="15"/>
      <c r="AR154" s="15"/>
      <c r="AS154" s="15"/>
      <c r="AT154" s="15"/>
      <c r="AU154" s="184"/>
      <c r="AV154" s="15"/>
      <c r="AW154" s="15"/>
      <c r="AX154" s="15"/>
      <c r="AY154" s="15"/>
      <c r="AZ154" s="15"/>
      <c r="BA154" s="15"/>
      <c r="BB154" s="184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84"/>
      <c r="CE154" s="15"/>
      <c r="CF154" s="15"/>
      <c r="CG154" s="15"/>
      <c r="CH154" s="15"/>
      <c r="CI154" s="15"/>
      <c r="CJ154" s="15"/>
      <c r="CK154" s="184"/>
      <c r="CL154" s="15"/>
      <c r="CM154" s="15"/>
      <c r="CN154" s="15"/>
      <c r="CO154" s="15"/>
      <c r="CP154" s="15"/>
      <c r="CQ154" s="15"/>
      <c r="CR154" s="184"/>
      <c r="CS154" s="15"/>
      <c r="CT154" s="15"/>
      <c r="CU154" s="15"/>
      <c r="CV154" s="15"/>
      <c r="CW154" s="15"/>
      <c r="CX154" s="15"/>
      <c r="CY154" s="184"/>
      <c r="CZ154" s="15"/>
      <c r="DA154" s="15"/>
      <c r="DB154" s="15"/>
      <c r="DC154" s="15"/>
      <c r="DD154" s="15"/>
      <c r="DE154" s="15"/>
      <c r="DF154" s="184"/>
      <c r="DG154" s="15"/>
      <c r="DH154" s="15"/>
      <c r="DI154" s="15"/>
      <c r="DJ154" s="15"/>
      <c r="DK154" s="15"/>
      <c r="DL154" s="15"/>
      <c r="DM154" s="184"/>
      <c r="DN154" s="15"/>
      <c r="DO154" s="15"/>
      <c r="DP154" s="15"/>
      <c r="DQ154" s="15"/>
      <c r="DR154" s="15"/>
      <c r="DS154" s="15"/>
      <c r="DT154" s="184"/>
      <c r="DU154" s="15"/>
      <c r="DV154" s="15"/>
      <c r="DW154" s="15"/>
      <c r="DX154" s="15"/>
      <c r="DY154" s="15"/>
      <c r="DZ154" s="15"/>
      <c r="EA154" s="184"/>
      <c r="EB154" s="15"/>
      <c r="EC154" s="15"/>
      <c r="ED154" s="15"/>
      <c r="EE154" s="15"/>
      <c r="EF154" s="15"/>
      <c r="EG154" s="15"/>
      <c r="EH154" s="184"/>
      <c r="EI154" s="15"/>
      <c r="EJ154" s="15"/>
      <c r="EK154" s="15"/>
      <c r="EL154" s="15"/>
      <c r="EM154" s="15"/>
      <c r="EN154" s="15"/>
      <c r="EO154" s="184"/>
      <c r="EP154" s="15"/>
      <c r="EQ154" s="15"/>
      <c r="ER154" s="15"/>
      <c r="ES154" s="15"/>
      <c r="ET154" s="15"/>
      <c r="EU154" s="15"/>
      <c r="EV154" s="184"/>
      <c r="EW154" s="15"/>
      <c r="EX154" s="15"/>
      <c r="EY154" s="15"/>
      <c r="EZ154" s="15"/>
      <c r="FA154" s="15"/>
      <c r="FB154" s="15"/>
      <c r="FC154" s="184"/>
      <c r="FD154" s="15"/>
      <c r="FE154" s="15"/>
      <c r="FF154" s="15"/>
      <c r="FG154" s="15"/>
      <c r="FH154" s="15"/>
      <c r="FI154" s="15"/>
      <c r="FJ154" s="184"/>
      <c r="FK154" s="15"/>
      <c r="FL154" s="15"/>
      <c r="FM154" s="15"/>
      <c r="FN154" s="15"/>
      <c r="FO154" s="15"/>
      <c r="FP154" s="15"/>
      <c r="FQ154" s="184"/>
      <c r="FR154" s="15"/>
      <c r="FS154" s="15"/>
      <c r="FT154" s="15"/>
      <c r="FU154" s="15"/>
      <c r="FV154" s="15"/>
      <c r="FW154" s="178"/>
      <c r="FX154" s="184"/>
      <c r="FY154" s="181"/>
      <c r="FZ154" s="15"/>
      <c r="GA154" s="15"/>
      <c r="GB154" s="15"/>
      <c r="GC154" s="15"/>
      <c r="GD154" s="15"/>
      <c r="GE154" s="184"/>
      <c r="GF154" s="15"/>
      <c r="GG154" s="15"/>
      <c r="GH154" s="15"/>
      <c r="GI154" s="15"/>
      <c r="GJ154" s="15"/>
      <c r="GK154" s="15"/>
      <c r="GL154" s="184"/>
      <c r="GM154" s="15"/>
      <c r="GN154" s="15"/>
      <c r="GO154" s="15"/>
      <c r="GP154" s="15"/>
      <c r="GQ154" s="15"/>
      <c r="GR154" s="15"/>
      <c r="GS154" s="184"/>
      <c r="GT154" s="15"/>
      <c r="GU154" s="15"/>
      <c r="GV154" s="15"/>
      <c r="GW154" s="15"/>
      <c r="GX154" s="15"/>
      <c r="GY154" s="15"/>
      <c r="GZ154" s="184"/>
      <c r="HA154" s="15"/>
      <c r="HB154" s="15"/>
      <c r="HC154" s="15"/>
      <c r="HD154" s="15"/>
      <c r="HE154" s="15"/>
      <c r="HF154" s="15"/>
      <c r="HG154" s="184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/>
      <c r="LI154" s="15"/>
      <c r="LJ154" s="15"/>
      <c r="LK154" s="15"/>
      <c r="LL154" s="15"/>
      <c r="LM154" s="15"/>
      <c r="LN154" s="15"/>
      <c r="LO154" s="15"/>
      <c r="LP154" s="15"/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  <c r="MG154" s="15"/>
      <c r="MH154" s="15"/>
      <c r="MI154" s="15"/>
      <c r="MJ154" s="15"/>
      <c r="MK154" s="15"/>
      <c r="ML154" s="15"/>
      <c r="MM154" s="15"/>
      <c r="MN154" s="15"/>
      <c r="MO154" s="15"/>
      <c r="MP154" s="15"/>
      <c r="MQ154" s="15"/>
      <c r="MR154" s="15"/>
      <c r="MS154" s="15"/>
      <c r="MT154" s="15"/>
      <c r="MU154" s="15"/>
      <c r="MV154" s="15"/>
      <c r="MW154" s="15"/>
      <c r="MX154" s="15"/>
      <c r="MY154" s="15"/>
      <c r="MZ154" s="15"/>
      <c r="NA154" s="15"/>
      <c r="NB154" s="15"/>
      <c r="NC154" s="15"/>
      <c r="ND154" s="15"/>
      <c r="NE154" s="15"/>
      <c r="NF154" s="15"/>
      <c r="NG154" s="15"/>
      <c r="NH154" s="15"/>
      <c r="NI154" s="15"/>
      <c r="NJ154" s="15"/>
      <c r="NK154" s="15"/>
      <c r="NL154" s="15"/>
      <c r="NM154" s="15"/>
      <c r="NN154" s="15"/>
      <c r="NO154" s="15"/>
      <c r="NP154" s="15"/>
      <c r="NQ154" s="15"/>
      <c r="NR154" s="15"/>
      <c r="NS154" s="15"/>
      <c r="NT154" s="15"/>
      <c r="NU154" s="15"/>
      <c r="NV154" s="15"/>
      <c r="NW154" s="15"/>
      <c r="NX154" s="15"/>
      <c r="NY154" s="15"/>
      <c r="NZ154" s="15"/>
    </row>
    <row r="155" spans="2:390" ht="19.5" customHeight="1" x14ac:dyDescent="0.45">
      <c r="B155" s="1">
        <f t="shared" si="82"/>
        <v>4</v>
      </c>
      <c r="C155" s="1">
        <f>+C154</f>
        <v>9</v>
      </c>
      <c r="D155" s="1">
        <f>+D154+1</f>
        <v>1</v>
      </c>
      <c r="E155" s="59" t="str">
        <f t="shared" si="81"/>
        <v>4.9.1</v>
      </c>
      <c r="F155" s="23" t="s">
        <v>94</v>
      </c>
      <c r="G155" s="191">
        <v>1.5</v>
      </c>
      <c r="H155" s="52" t="s">
        <v>117</v>
      </c>
      <c r="I155" s="52"/>
      <c r="J155" s="52">
        <v>1</v>
      </c>
      <c r="K155" s="52">
        <v>1</v>
      </c>
      <c r="L155" s="55">
        <f>+J155-K155</f>
        <v>0</v>
      </c>
      <c r="M155" s="52">
        <v>2</v>
      </c>
      <c r="N155" s="52">
        <v>2</v>
      </c>
      <c r="O155" s="51">
        <f t="shared" si="83"/>
        <v>4</v>
      </c>
      <c r="P155" s="51">
        <f>+SUM(AA155:NZ155)</f>
        <v>4</v>
      </c>
      <c r="Q155" s="51">
        <f>+O155-P155</f>
        <v>0</v>
      </c>
      <c r="R155" s="19">
        <v>45987</v>
      </c>
      <c r="S155" s="20">
        <v>2</v>
      </c>
      <c r="T155" s="21">
        <f t="shared" si="86"/>
        <v>45988</v>
      </c>
      <c r="U155" s="22">
        <f>+K155/J155</f>
        <v>1</v>
      </c>
      <c r="V155" s="199">
        <f t="shared" si="87"/>
        <v>4</v>
      </c>
      <c r="W155" s="158">
        <f t="shared" si="84"/>
        <v>0</v>
      </c>
      <c r="X155" s="159">
        <f t="shared" si="85"/>
        <v>1</v>
      </c>
      <c r="Y155" s="199">
        <f t="shared" si="88"/>
        <v>4</v>
      </c>
      <c r="Z155" s="36"/>
      <c r="AA155" s="15"/>
      <c r="AB155" s="15"/>
      <c r="AC155" s="15">
        <v>2</v>
      </c>
      <c r="AD155" s="15">
        <v>2</v>
      </c>
      <c r="AE155" s="15"/>
      <c r="AF155" s="15"/>
      <c r="AG155" s="184"/>
      <c r="AH155" s="15"/>
      <c r="AI155" s="15"/>
      <c r="AJ155" s="15"/>
      <c r="AK155" s="15"/>
      <c r="AL155" s="15"/>
      <c r="AM155" s="15"/>
      <c r="AN155" s="184"/>
      <c r="AO155" s="15"/>
      <c r="AP155" s="15"/>
      <c r="AQ155" s="15"/>
      <c r="AR155" s="15"/>
      <c r="AS155" s="15"/>
      <c r="AT155" s="15"/>
      <c r="AU155" s="184"/>
      <c r="AV155" s="15"/>
      <c r="AW155" s="15"/>
      <c r="AX155" s="15"/>
      <c r="AY155" s="15"/>
      <c r="AZ155" s="15"/>
      <c r="BA155" s="15"/>
      <c r="BB155" s="184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84"/>
      <c r="CE155" s="15"/>
      <c r="CF155" s="15"/>
      <c r="CG155" s="15"/>
      <c r="CH155" s="15"/>
      <c r="CI155" s="15"/>
      <c r="CJ155" s="15"/>
      <c r="CK155" s="184"/>
      <c r="CL155" s="15"/>
      <c r="CM155" s="15"/>
      <c r="CN155" s="15"/>
      <c r="CO155" s="15"/>
      <c r="CP155" s="15"/>
      <c r="CQ155" s="15"/>
      <c r="CR155" s="184"/>
      <c r="CS155" s="15"/>
      <c r="CT155" s="15"/>
      <c r="CU155" s="15"/>
      <c r="CV155" s="15"/>
      <c r="CW155" s="15"/>
      <c r="CX155" s="15"/>
      <c r="CY155" s="184"/>
      <c r="CZ155" s="15"/>
      <c r="DA155" s="15"/>
      <c r="DB155" s="15"/>
      <c r="DC155" s="15"/>
      <c r="DD155" s="15"/>
      <c r="DE155" s="15"/>
      <c r="DF155" s="184"/>
      <c r="DG155" s="15"/>
      <c r="DH155" s="15"/>
      <c r="DI155" s="15"/>
      <c r="DJ155" s="15"/>
      <c r="DK155" s="15"/>
      <c r="DL155" s="15"/>
      <c r="DM155" s="184"/>
      <c r="DN155" s="15"/>
      <c r="DO155" s="15"/>
      <c r="DP155" s="15"/>
      <c r="DQ155" s="15"/>
      <c r="DR155" s="15"/>
      <c r="DS155" s="15"/>
      <c r="DT155" s="184"/>
      <c r="DU155" s="15"/>
      <c r="DV155" s="15"/>
      <c r="DW155" s="15"/>
      <c r="DX155" s="15"/>
      <c r="DY155" s="15"/>
      <c r="DZ155" s="15"/>
      <c r="EA155" s="184"/>
      <c r="EB155" s="15"/>
      <c r="EC155" s="15"/>
      <c r="ED155" s="15"/>
      <c r="EE155" s="15"/>
      <c r="EF155" s="15"/>
      <c r="EG155" s="15"/>
      <c r="EH155" s="184"/>
      <c r="EI155" s="15"/>
      <c r="EJ155" s="15"/>
      <c r="EK155" s="15"/>
      <c r="EL155" s="15"/>
      <c r="EM155" s="15"/>
      <c r="EN155" s="15"/>
      <c r="EO155" s="184"/>
      <c r="EP155" s="15"/>
      <c r="EQ155" s="15"/>
      <c r="ER155" s="15"/>
      <c r="ES155" s="15"/>
      <c r="ET155" s="15"/>
      <c r="EU155" s="15"/>
      <c r="EV155" s="184"/>
      <c r="EW155" s="15"/>
      <c r="EX155" s="15"/>
      <c r="EY155" s="15"/>
      <c r="EZ155" s="15"/>
      <c r="FA155" s="15"/>
      <c r="FB155" s="15"/>
      <c r="FC155" s="184"/>
      <c r="FD155" s="15"/>
      <c r="FE155" s="15"/>
      <c r="FF155" s="15"/>
      <c r="FG155" s="15"/>
      <c r="FH155" s="15"/>
      <c r="FI155" s="15"/>
      <c r="FJ155" s="184"/>
      <c r="FK155" s="15"/>
      <c r="FL155" s="15"/>
      <c r="FM155" s="15"/>
      <c r="FN155" s="15"/>
      <c r="FO155" s="15"/>
      <c r="FP155" s="15"/>
      <c r="FQ155" s="184"/>
      <c r="FR155" s="15"/>
      <c r="FS155" s="15"/>
      <c r="FT155" s="15"/>
      <c r="FU155" s="15"/>
      <c r="FV155" s="15"/>
      <c r="FW155" s="178"/>
      <c r="FX155" s="184"/>
      <c r="FY155" s="181"/>
      <c r="FZ155" s="15"/>
      <c r="GA155" s="15"/>
      <c r="GB155" s="15"/>
      <c r="GC155" s="15"/>
      <c r="GD155" s="15"/>
      <c r="GE155" s="184"/>
      <c r="GF155" s="15"/>
      <c r="GG155" s="15"/>
      <c r="GH155" s="15"/>
      <c r="GI155" s="15"/>
      <c r="GJ155" s="15"/>
      <c r="GK155" s="15"/>
      <c r="GL155" s="184"/>
      <c r="GM155" s="15"/>
      <c r="GN155" s="15"/>
      <c r="GO155" s="15"/>
      <c r="GP155" s="15"/>
      <c r="GQ155" s="15"/>
      <c r="GR155" s="15"/>
      <c r="GS155" s="184"/>
      <c r="GT155" s="15"/>
      <c r="GU155" s="15"/>
      <c r="GV155" s="15"/>
      <c r="GW155" s="15"/>
      <c r="GX155" s="15"/>
      <c r="GY155" s="15"/>
      <c r="GZ155" s="184"/>
      <c r="HA155" s="15"/>
      <c r="HB155" s="15"/>
      <c r="HC155" s="15"/>
      <c r="HD155" s="15"/>
      <c r="HE155" s="15"/>
      <c r="HF155" s="15"/>
      <c r="HG155" s="184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  <c r="JT155" s="15"/>
      <c r="JU155" s="15"/>
      <c r="JV155" s="15"/>
      <c r="JW155" s="15"/>
      <c r="JX155" s="15"/>
      <c r="JY155" s="15"/>
      <c r="JZ155" s="15"/>
      <c r="KA155" s="15"/>
      <c r="KB155" s="15"/>
      <c r="KC155" s="15"/>
      <c r="KD155" s="15"/>
      <c r="KE155" s="15"/>
      <c r="KF155" s="15"/>
      <c r="KG155" s="15"/>
      <c r="KH155" s="15"/>
      <c r="KI155" s="15"/>
      <c r="KJ155" s="15"/>
      <c r="KK155" s="15"/>
      <c r="KL155" s="15"/>
      <c r="KM155" s="15"/>
      <c r="KN155" s="15"/>
      <c r="KO155" s="15"/>
      <c r="KP155" s="15"/>
      <c r="KQ155" s="15"/>
      <c r="KR155" s="15"/>
      <c r="KS155" s="15"/>
      <c r="KT155" s="15"/>
      <c r="KU155" s="15"/>
      <c r="KV155" s="15"/>
      <c r="KW155" s="15"/>
      <c r="KX155" s="15"/>
      <c r="KY155" s="15"/>
      <c r="KZ155" s="15"/>
      <c r="LA155" s="15"/>
      <c r="LB155" s="15"/>
      <c r="LC155" s="15"/>
      <c r="LD155" s="15"/>
      <c r="LE155" s="15"/>
      <c r="LF155" s="15"/>
      <c r="LG155" s="15"/>
      <c r="LH155" s="15"/>
      <c r="LI155" s="15"/>
      <c r="LJ155" s="15"/>
      <c r="LK155" s="15"/>
      <c r="LL155" s="15"/>
      <c r="LM155" s="15"/>
      <c r="LN155" s="15"/>
      <c r="LO155" s="15"/>
      <c r="LP155" s="15"/>
      <c r="LQ155" s="15"/>
      <c r="LR155" s="15"/>
      <c r="LS155" s="15"/>
      <c r="LT155" s="15"/>
      <c r="LU155" s="15"/>
      <c r="LV155" s="15"/>
      <c r="LW155" s="15"/>
      <c r="LX155" s="15"/>
      <c r="LY155" s="15"/>
      <c r="LZ155" s="15"/>
      <c r="MA155" s="15"/>
      <c r="MB155" s="15"/>
      <c r="MC155" s="15"/>
      <c r="MD155" s="15"/>
      <c r="ME155" s="15"/>
      <c r="MF155" s="15"/>
      <c r="MG155" s="15"/>
      <c r="MH155" s="15"/>
      <c r="MI155" s="15"/>
      <c r="MJ155" s="15"/>
      <c r="MK155" s="15"/>
      <c r="ML155" s="15"/>
      <c r="MM155" s="15"/>
      <c r="MN155" s="15"/>
      <c r="MO155" s="15"/>
      <c r="MP155" s="15"/>
      <c r="MQ155" s="15"/>
      <c r="MR155" s="15"/>
      <c r="MS155" s="15"/>
      <c r="MT155" s="15"/>
      <c r="MU155" s="15"/>
      <c r="MV155" s="15"/>
      <c r="MW155" s="15"/>
      <c r="MX155" s="15"/>
      <c r="MY155" s="15"/>
      <c r="MZ155" s="15"/>
      <c r="NA155" s="15"/>
      <c r="NB155" s="15"/>
      <c r="NC155" s="15"/>
      <c r="ND155" s="15"/>
      <c r="NE155" s="15"/>
      <c r="NF155" s="15"/>
      <c r="NG155" s="15"/>
      <c r="NH155" s="15"/>
      <c r="NI155" s="15"/>
      <c r="NJ155" s="15"/>
      <c r="NK155" s="15"/>
      <c r="NL155" s="15"/>
      <c r="NM155" s="15"/>
      <c r="NN155" s="15"/>
      <c r="NO155" s="15"/>
      <c r="NP155" s="15"/>
      <c r="NQ155" s="15"/>
      <c r="NR155" s="15"/>
      <c r="NS155" s="15"/>
      <c r="NT155" s="15"/>
      <c r="NU155" s="15"/>
      <c r="NV155" s="15"/>
      <c r="NW155" s="15"/>
      <c r="NX155" s="15"/>
      <c r="NY155" s="15"/>
      <c r="NZ155" s="15"/>
    </row>
    <row r="156" spans="2:390" ht="19.5" customHeight="1" x14ac:dyDescent="0.45">
      <c r="B156" s="1">
        <f t="shared" si="82"/>
        <v>4</v>
      </c>
      <c r="C156" s="1">
        <f>+C155</f>
        <v>9</v>
      </c>
      <c r="D156" s="1">
        <f>+D155+1</f>
        <v>2</v>
      </c>
      <c r="E156" s="59" t="str">
        <f t="shared" si="81"/>
        <v>4.9.2</v>
      </c>
      <c r="F156" s="23" t="s">
        <v>95</v>
      </c>
      <c r="G156" s="23"/>
      <c r="H156" s="73" t="s">
        <v>120</v>
      </c>
      <c r="I156" s="196"/>
      <c r="J156" s="135"/>
      <c r="K156" s="136"/>
      <c r="L156" s="136"/>
      <c r="M156" s="137"/>
      <c r="N156" s="137"/>
      <c r="O156" s="138"/>
      <c r="P156" s="138"/>
      <c r="Q156" s="138"/>
      <c r="R156" s="187"/>
      <c r="S156" s="64"/>
      <c r="T156" s="155" t="str">
        <f t="shared" si="86"/>
        <v/>
      </c>
      <c r="U156" s="22"/>
      <c r="V156" s="199">
        <f t="shared" si="87"/>
        <v>0</v>
      </c>
      <c r="W156" s="158"/>
      <c r="X156" s="159"/>
      <c r="Y156" s="199">
        <f t="shared" si="88"/>
        <v>0</v>
      </c>
      <c r="Z156" s="36"/>
      <c r="AA156" s="15"/>
      <c r="AB156" s="15"/>
      <c r="AC156" s="15"/>
      <c r="AD156" s="15"/>
      <c r="AE156" s="15"/>
      <c r="AF156" s="15"/>
      <c r="AG156" s="184"/>
      <c r="AH156" s="15"/>
      <c r="AI156" s="15"/>
      <c r="AJ156" s="15"/>
      <c r="AK156" s="15"/>
      <c r="AL156" s="15"/>
      <c r="AM156" s="15"/>
      <c r="AN156" s="184"/>
      <c r="AO156" s="15"/>
      <c r="AP156" s="15"/>
      <c r="AQ156" s="15"/>
      <c r="AR156" s="15"/>
      <c r="AS156" s="15"/>
      <c r="AT156" s="15"/>
      <c r="AU156" s="184"/>
      <c r="AV156" s="15"/>
      <c r="AW156" s="15"/>
      <c r="AX156" s="15"/>
      <c r="AY156" s="15"/>
      <c r="AZ156" s="15"/>
      <c r="BA156" s="15"/>
      <c r="BB156" s="184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84"/>
      <c r="CE156" s="15"/>
      <c r="CF156" s="15"/>
      <c r="CG156" s="15"/>
      <c r="CH156" s="15"/>
      <c r="CI156" s="15"/>
      <c r="CJ156" s="15"/>
      <c r="CK156" s="184"/>
      <c r="CL156" s="15"/>
      <c r="CM156" s="15"/>
      <c r="CN156" s="15"/>
      <c r="CO156" s="15"/>
      <c r="CP156" s="15"/>
      <c r="CQ156" s="15"/>
      <c r="CR156" s="184"/>
      <c r="CS156" s="15"/>
      <c r="CT156" s="15"/>
      <c r="CU156" s="15"/>
      <c r="CV156" s="15"/>
      <c r="CW156" s="15"/>
      <c r="CX156" s="15"/>
      <c r="CY156" s="184"/>
      <c r="CZ156" s="15"/>
      <c r="DA156" s="15"/>
      <c r="DB156" s="15"/>
      <c r="DC156" s="15"/>
      <c r="DD156" s="15"/>
      <c r="DE156" s="15"/>
      <c r="DF156" s="184"/>
      <c r="DG156" s="15"/>
      <c r="DH156" s="15"/>
      <c r="DI156" s="15"/>
      <c r="DJ156" s="15"/>
      <c r="DK156" s="15"/>
      <c r="DL156" s="15"/>
      <c r="DM156" s="184"/>
      <c r="DN156" s="15"/>
      <c r="DO156" s="15"/>
      <c r="DP156" s="15"/>
      <c r="DQ156" s="15"/>
      <c r="DR156" s="15"/>
      <c r="DS156" s="15"/>
      <c r="DT156" s="184"/>
      <c r="DU156" s="15"/>
      <c r="DV156" s="15"/>
      <c r="DW156" s="15"/>
      <c r="DX156" s="15"/>
      <c r="DY156" s="15"/>
      <c r="DZ156" s="15"/>
      <c r="EA156" s="184"/>
      <c r="EB156" s="15"/>
      <c r="EC156" s="15"/>
      <c r="ED156" s="15"/>
      <c r="EE156" s="15"/>
      <c r="EF156" s="15"/>
      <c r="EG156" s="15"/>
      <c r="EH156" s="184"/>
      <c r="EI156" s="15"/>
      <c r="EJ156" s="15"/>
      <c r="EK156" s="15"/>
      <c r="EL156" s="15"/>
      <c r="EM156" s="15"/>
      <c r="EN156" s="15"/>
      <c r="EO156" s="184"/>
      <c r="EP156" s="15"/>
      <c r="EQ156" s="15"/>
      <c r="ER156" s="15"/>
      <c r="ES156" s="15"/>
      <c r="ET156" s="15"/>
      <c r="EU156" s="15"/>
      <c r="EV156" s="184"/>
      <c r="EW156" s="15"/>
      <c r="EX156" s="15"/>
      <c r="EY156" s="15"/>
      <c r="EZ156" s="15"/>
      <c r="FA156" s="15"/>
      <c r="FB156" s="15"/>
      <c r="FC156" s="184"/>
      <c r="FD156" s="15"/>
      <c r="FE156" s="15"/>
      <c r="FF156" s="15"/>
      <c r="FG156" s="15"/>
      <c r="FH156" s="15"/>
      <c r="FI156" s="15"/>
      <c r="FJ156" s="184"/>
      <c r="FK156" s="15"/>
      <c r="FL156" s="15"/>
      <c r="FM156" s="15"/>
      <c r="FN156" s="15"/>
      <c r="FO156" s="15"/>
      <c r="FP156" s="15"/>
      <c r="FQ156" s="184"/>
      <c r="FR156" s="15"/>
      <c r="FS156" s="15"/>
      <c r="FT156" s="15"/>
      <c r="FU156" s="15"/>
      <c r="FV156" s="15"/>
      <c r="FW156" s="178"/>
      <c r="FX156" s="184"/>
      <c r="FY156" s="181"/>
      <c r="FZ156" s="15"/>
      <c r="GA156" s="15"/>
      <c r="GB156" s="15"/>
      <c r="GC156" s="15"/>
      <c r="GD156" s="15"/>
      <c r="GE156" s="184"/>
      <c r="GF156" s="15"/>
      <c r="GG156" s="15"/>
      <c r="GH156" s="15"/>
      <c r="GI156" s="15"/>
      <c r="GJ156" s="15"/>
      <c r="GK156" s="15"/>
      <c r="GL156" s="184"/>
      <c r="GM156" s="15"/>
      <c r="GN156" s="15"/>
      <c r="GO156" s="15"/>
      <c r="GP156" s="15"/>
      <c r="GQ156" s="15"/>
      <c r="GR156" s="15"/>
      <c r="GS156" s="184"/>
      <c r="GT156" s="15"/>
      <c r="GU156" s="15"/>
      <c r="GV156" s="15"/>
      <c r="GW156" s="15"/>
      <c r="GX156" s="15"/>
      <c r="GY156" s="15"/>
      <c r="GZ156" s="184"/>
      <c r="HA156" s="15"/>
      <c r="HB156" s="15"/>
      <c r="HC156" s="15"/>
      <c r="HD156" s="15"/>
      <c r="HE156" s="15"/>
      <c r="HF156" s="15"/>
      <c r="HG156" s="184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/>
      <c r="LI156" s="15"/>
      <c r="LJ156" s="15"/>
      <c r="LK156" s="15"/>
      <c r="LL156" s="15"/>
      <c r="LM156" s="15"/>
      <c r="LN156" s="15"/>
      <c r="LO156" s="15"/>
      <c r="LP156" s="15"/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  <c r="MG156" s="15"/>
      <c r="MH156" s="15"/>
      <c r="MI156" s="15"/>
      <c r="MJ156" s="15"/>
      <c r="MK156" s="15"/>
      <c r="ML156" s="15"/>
      <c r="MM156" s="15"/>
      <c r="MN156" s="15"/>
      <c r="MO156" s="15"/>
      <c r="MP156" s="15"/>
      <c r="MQ156" s="15"/>
      <c r="MR156" s="15"/>
      <c r="MS156" s="15"/>
      <c r="MT156" s="15"/>
      <c r="MU156" s="15"/>
      <c r="MV156" s="15"/>
      <c r="MW156" s="15"/>
      <c r="MX156" s="15"/>
      <c r="MY156" s="15"/>
      <c r="MZ156" s="15"/>
      <c r="NA156" s="15"/>
      <c r="NB156" s="15"/>
      <c r="NC156" s="15"/>
      <c r="ND156" s="15"/>
      <c r="NE156" s="15"/>
      <c r="NF156" s="15"/>
      <c r="NG156" s="15"/>
      <c r="NH156" s="15"/>
      <c r="NI156" s="15"/>
      <c r="NJ156" s="15"/>
      <c r="NK156" s="15"/>
      <c r="NL156" s="15"/>
      <c r="NM156" s="15"/>
      <c r="NN156" s="15"/>
      <c r="NO156" s="15"/>
      <c r="NP156" s="15"/>
      <c r="NQ156" s="15"/>
      <c r="NR156" s="15"/>
      <c r="NS156" s="15"/>
      <c r="NT156" s="15"/>
      <c r="NU156" s="15"/>
      <c r="NV156" s="15"/>
      <c r="NW156" s="15"/>
      <c r="NX156" s="15"/>
      <c r="NY156" s="15"/>
      <c r="NZ156" s="15"/>
    </row>
    <row r="157" spans="2:390" ht="19.5" customHeight="1" x14ac:dyDescent="0.45">
      <c r="B157" s="1">
        <f t="shared" si="82"/>
        <v>4</v>
      </c>
      <c r="C157" s="1">
        <f>+C156</f>
        <v>9</v>
      </c>
      <c r="D157" s="1">
        <f>+D156+1</f>
        <v>3</v>
      </c>
      <c r="E157" s="59" t="str">
        <f t="shared" ref="E157:E173" si="89">B157&amp;"."&amp;C157&amp;"."&amp;D157</f>
        <v>4.9.3</v>
      </c>
      <c r="F157" s="23" t="s">
        <v>90</v>
      </c>
      <c r="G157" s="191"/>
      <c r="H157" s="52" t="s">
        <v>117</v>
      </c>
      <c r="I157" s="52"/>
      <c r="J157" s="52">
        <v>18</v>
      </c>
      <c r="K157" s="52">
        <v>0</v>
      </c>
      <c r="L157" s="55">
        <f>+J157-K157</f>
        <v>18</v>
      </c>
      <c r="M157" s="126"/>
      <c r="N157" s="127"/>
      <c r="O157" s="139"/>
      <c r="P157" s="139"/>
      <c r="Q157" s="139"/>
      <c r="R157" s="187"/>
      <c r="S157" s="64"/>
      <c r="T157" s="155" t="str">
        <f t="shared" si="86"/>
        <v/>
      </c>
      <c r="U157" s="22">
        <f>+K157/J157</f>
        <v>0</v>
      </c>
      <c r="V157" s="199">
        <f t="shared" si="87"/>
        <v>0</v>
      </c>
      <c r="W157" s="158"/>
      <c r="X157" s="159"/>
      <c r="Y157" s="199">
        <f t="shared" si="88"/>
        <v>0</v>
      </c>
      <c r="Z157" s="36"/>
      <c r="AA157" s="15"/>
      <c r="AB157" s="15"/>
      <c r="AC157" s="15"/>
      <c r="AD157" s="15"/>
      <c r="AE157" s="15"/>
      <c r="AF157" s="15"/>
      <c r="AG157" s="184"/>
      <c r="AH157" s="15"/>
      <c r="AI157" s="15"/>
      <c r="AJ157" s="15"/>
      <c r="AK157" s="15"/>
      <c r="AL157" s="15"/>
      <c r="AM157" s="15"/>
      <c r="AN157" s="184"/>
      <c r="AO157" s="15"/>
      <c r="AP157" s="15"/>
      <c r="AQ157" s="15"/>
      <c r="AR157" s="15"/>
      <c r="AS157" s="15"/>
      <c r="AT157" s="15"/>
      <c r="AU157" s="184"/>
      <c r="AV157" s="15"/>
      <c r="AW157" s="15"/>
      <c r="AX157" s="15"/>
      <c r="AY157" s="15"/>
      <c r="AZ157" s="15"/>
      <c r="BA157" s="15"/>
      <c r="BB157" s="184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84"/>
      <c r="CE157" s="15"/>
      <c r="CF157" s="15"/>
      <c r="CG157" s="15"/>
      <c r="CH157" s="15"/>
      <c r="CI157" s="15"/>
      <c r="CJ157" s="15"/>
      <c r="CK157" s="184"/>
      <c r="CL157" s="15"/>
      <c r="CM157" s="15"/>
      <c r="CN157" s="15"/>
      <c r="CO157" s="15"/>
      <c r="CP157" s="15"/>
      <c r="CQ157" s="15"/>
      <c r="CR157" s="184"/>
      <c r="CS157" s="15"/>
      <c r="CT157" s="15"/>
      <c r="CU157" s="15"/>
      <c r="CV157" s="15"/>
      <c r="CW157" s="15"/>
      <c r="CX157" s="15"/>
      <c r="CY157" s="184"/>
      <c r="CZ157" s="15"/>
      <c r="DA157" s="15"/>
      <c r="DB157" s="15"/>
      <c r="DC157" s="15"/>
      <c r="DD157" s="15"/>
      <c r="DE157" s="15"/>
      <c r="DF157" s="184"/>
      <c r="DG157" s="15"/>
      <c r="DH157" s="15"/>
      <c r="DI157" s="15"/>
      <c r="DJ157" s="15"/>
      <c r="DK157" s="15"/>
      <c r="DL157" s="15"/>
      <c r="DM157" s="184"/>
      <c r="DN157" s="15"/>
      <c r="DO157" s="15"/>
      <c r="DP157" s="15"/>
      <c r="DQ157" s="15"/>
      <c r="DR157" s="15"/>
      <c r="DS157" s="15"/>
      <c r="DT157" s="184"/>
      <c r="DU157" s="15"/>
      <c r="DV157" s="15"/>
      <c r="DW157" s="15"/>
      <c r="DX157" s="15"/>
      <c r="DY157" s="15"/>
      <c r="DZ157" s="15"/>
      <c r="EA157" s="184"/>
      <c r="EB157" s="15"/>
      <c r="EC157" s="15"/>
      <c r="ED157" s="15"/>
      <c r="EE157" s="15"/>
      <c r="EF157" s="15"/>
      <c r="EG157" s="15"/>
      <c r="EH157" s="184"/>
      <c r="EI157" s="15"/>
      <c r="EJ157" s="15"/>
      <c r="EK157" s="15"/>
      <c r="EL157" s="15"/>
      <c r="EM157" s="15"/>
      <c r="EN157" s="15"/>
      <c r="EO157" s="184"/>
      <c r="EP157" s="15"/>
      <c r="EQ157" s="15"/>
      <c r="ER157" s="15"/>
      <c r="ES157" s="15"/>
      <c r="ET157" s="15"/>
      <c r="EU157" s="15"/>
      <c r="EV157" s="184"/>
      <c r="EW157" s="15"/>
      <c r="EX157" s="15"/>
      <c r="EY157" s="15"/>
      <c r="EZ157" s="15"/>
      <c r="FA157" s="15"/>
      <c r="FB157" s="15"/>
      <c r="FC157" s="184"/>
      <c r="FD157" s="15"/>
      <c r="FE157" s="15"/>
      <c r="FF157" s="15"/>
      <c r="FG157" s="15"/>
      <c r="FH157" s="15"/>
      <c r="FI157" s="15"/>
      <c r="FJ157" s="184"/>
      <c r="FK157" s="15"/>
      <c r="FL157" s="15"/>
      <c r="FM157" s="15"/>
      <c r="FN157" s="15"/>
      <c r="FO157" s="15"/>
      <c r="FP157" s="15"/>
      <c r="FQ157" s="184"/>
      <c r="FR157" s="15"/>
      <c r="FS157" s="15"/>
      <c r="FT157" s="15"/>
      <c r="FU157" s="15"/>
      <c r="FV157" s="15"/>
      <c r="FW157" s="178"/>
      <c r="FX157" s="184"/>
      <c r="FY157" s="181"/>
      <c r="FZ157" s="15"/>
      <c r="GA157" s="15"/>
      <c r="GB157" s="15"/>
      <c r="GC157" s="15"/>
      <c r="GD157" s="15"/>
      <c r="GE157" s="184"/>
      <c r="GF157" s="15"/>
      <c r="GG157" s="15"/>
      <c r="GH157" s="15"/>
      <c r="GI157" s="15"/>
      <c r="GJ157" s="15"/>
      <c r="GK157" s="15"/>
      <c r="GL157" s="184"/>
      <c r="GM157" s="15"/>
      <c r="GN157" s="15"/>
      <c r="GO157" s="15"/>
      <c r="GP157" s="15"/>
      <c r="GQ157" s="15"/>
      <c r="GR157" s="15"/>
      <c r="GS157" s="184"/>
      <c r="GT157" s="15"/>
      <c r="GU157" s="15"/>
      <c r="GV157" s="15"/>
      <c r="GW157" s="15"/>
      <c r="GX157" s="15"/>
      <c r="GY157" s="15"/>
      <c r="GZ157" s="184"/>
      <c r="HA157" s="15"/>
      <c r="HB157" s="15"/>
      <c r="HC157" s="15"/>
      <c r="HD157" s="15"/>
      <c r="HE157" s="15"/>
      <c r="HF157" s="15"/>
      <c r="HG157" s="184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/>
      <c r="LI157" s="15"/>
      <c r="LJ157" s="15"/>
      <c r="LK157" s="15"/>
      <c r="LL157" s="15"/>
      <c r="LM157" s="15"/>
      <c r="LN157" s="15"/>
      <c r="LO157" s="15"/>
      <c r="LP157" s="15"/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  <c r="MG157" s="15"/>
      <c r="MH157" s="15"/>
      <c r="MI157" s="15"/>
      <c r="MJ157" s="15"/>
      <c r="MK157" s="15"/>
      <c r="ML157" s="15"/>
      <c r="MM157" s="15"/>
      <c r="MN157" s="15"/>
      <c r="MO157" s="15"/>
      <c r="MP157" s="15"/>
      <c r="MQ157" s="15"/>
      <c r="MR157" s="15"/>
      <c r="MS157" s="15"/>
      <c r="MT157" s="15"/>
      <c r="MU157" s="15"/>
      <c r="MV157" s="15"/>
      <c r="MW157" s="15"/>
      <c r="MX157" s="15"/>
      <c r="MY157" s="15"/>
      <c r="MZ157" s="15"/>
      <c r="NA157" s="15"/>
      <c r="NB157" s="15"/>
      <c r="NC157" s="15"/>
      <c r="ND157" s="15"/>
      <c r="NE157" s="15"/>
      <c r="NF157" s="15"/>
      <c r="NG157" s="15"/>
      <c r="NH157" s="15"/>
      <c r="NI157" s="15"/>
      <c r="NJ157" s="15"/>
      <c r="NK157" s="15"/>
      <c r="NL157" s="15"/>
      <c r="NM157" s="15"/>
      <c r="NN157" s="15"/>
      <c r="NO157" s="15"/>
      <c r="NP157" s="15"/>
      <c r="NQ157" s="15"/>
      <c r="NR157" s="15"/>
      <c r="NS157" s="15"/>
      <c r="NT157" s="15"/>
      <c r="NU157" s="15"/>
      <c r="NV157" s="15"/>
      <c r="NW157" s="15"/>
      <c r="NX157" s="15"/>
      <c r="NY157" s="15"/>
      <c r="NZ157" s="15"/>
    </row>
    <row r="158" spans="2:390" ht="19.5" customHeight="1" x14ac:dyDescent="0.45">
      <c r="B158" s="1">
        <f t="shared" si="82"/>
        <v>4</v>
      </c>
      <c r="C158" s="1">
        <f>+C157</f>
        <v>9</v>
      </c>
      <c r="D158" s="1">
        <f>+D157+1</f>
        <v>4</v>
      </c>
      <c r="E158" s="59" t="str">
        <f t="shared" si="89"/>
        <v>4.9.4</v>
      </c>
      <c r="F158" s="23" t="s">
        <v>91</v>
      </c>
      <c r="G158" s="191">
        <v>1.5</v>
      </c>
      <c r="H158" s="52" t="s">
        <v>117</v>
      </c>
      <c r="I158" s="52" t="s">
        <v>156</v>
      </c>
      <c r="J158" s="52">
        <v>18</v>
      </c>
      <c r="K158" s="52">
        <v>0</v>
      </c>
      <c r="L158" s="55">
        <f>+J158-K158</f>
        <v>18</v>
      </c>
      <c r="M158" s="52">
        <v>4</v>
      </c>
      <c r="N158" s="52">
        <v>18</v>
      </c>
      <c r="O158" s="51">
        <f t="shared" si="83"/>
        <v>72</v>
      </c>
      <c r="P158" s="51">
        <f>+SUM(AA158:NZ158)</f>
        <v>72</v>
      </c>
      <c r="Q158" s="51">
        <f>+O158-P158</f>
        <v>0</v>
      </c>
      <c r="R158" s="19">
        <v>46118</v>
      </c>
      <c r="S158" s="20">
        <v>11</v>
      </c>
      <c r="T158" s="21">
        <f t="shared" si="86"/>
        <v>46132</v>
      </c>
      <c r="U158" s="22">
        <f>+K158/J158</f>
        <v>0</v>
      </c>
      <c r="V158" s="199">
        <f t="shared" si="87"/>
        <v>0</v>
      </c>
      <c r="W158" s="158">
        <f>SUMIFS($AA158:$NZ158, $AA$8:$NZ$8, $W$12)/$O158</f>
        <v>0</v>
      </c>
      <c r="X158" s="159">
        <f>SUMIF($AA$9:$NZ$9, "&lt;=" &amp; $W$11,$AA158:$NZ158)/$O158</f>
        <v>0</v>
      </c>
      <c r="Y158" s="199">
        <f t="shared" si="88"/>
        <v>0</v>
      </c>
      <c r="Z158" s="36"/>
      <c r="AA158" s="15"/>
      <c r="AB158" s="15"/>
      <c r="AC158" s="15"/>
      <c r="AD158" s="15"/>
      <c r="AE158" s="15"/>
      <c r="AF158" s="15"/>
      <c r="AG158" s="184"/>
      <c r="AH158" s="15"/>
      <c r="AI158" s="15"/>
      <c r="AJ158" s="15"/>
      <c r="AK158" s="15"/>
      <c r="AL158" s="15"/>
      <c r="AM158" s="15"/>
      <c r="AN158" s="184"/>
      <c r="AO158" s="15"/>
      <c r="AP158" s="15"/>
      <c r="AQ158" s="15"/>
      <c r="AR158" s="15"/>
      <c r="AS158" s="15"/>
      <c r="AT158" s="15"/>
      <c r="AU158" s="184"/>
      <c r="AV158" s="15"/>
      <c r="AW158" s="15"/>
      <c r="AX158" s="15"/>
      <c r="AY158" s="15"/>
      <c r="AZ158" s="15"/>
      <c r="BA158" s="15"/>
      <c r="BB158" s="184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84"/>
      <c r="CE158" s="15"/>
      <c r="CF158" s="15"/>
      <c r="CG158" s="15"/>
      <c r="CH158" s="15"/>
      <c r="CI158" s="15"/>
      <c r="CJ158" s="15"/>
      <c r="CK158" s="184"/>
      <c r="CL158" s="15"/>
      <c r="CM158" s="15"/>
      <c r="CN158" s="15"/>
      <c r="CO158" s="15"/>
      <c r="CP158" s="15"/>
      <c r="CQ158" s="15"/>
      <c r="CR158" s="184"/>
      <c r="CS158" s="15"/>
      <c r="CT158" s="15"/>
      <c r="CU158" s="15"/>
      <c r="CV158" s="15"/>
      <c r="CW158" s="15"/>
      <c r="CX158" s="15"/>
      <c r="CY158" s="184"/>
      <c r="CZ158" s="15"/>
      <c r="DA158" s="15"/>
      <c r="DB158" s="15"/>
      <c r="DC158" s="15"/>
      <c r="DD158" s="15"/>
      <c r="DE158" s="15"/>
      <c r="DF158" s="184"/>
      <c r="DG158" s="15"/>
      <c r="DH158" s="15"/>
      <c r="DI158" s="15"/>
      <c r="DJ158" s="15"/>
      <c r="DK158" s="15"/>
      <c r="DL158" s="15"/>
      <c r="DM158" s="184"/>
      <c r="DN158" s="15"/>
      <c r="DO158" s="15"/>
      <c r="DP158" s="15"/>
      <c r="DQ158" s="15"/>
      <c r="DR158" s="15"/>
      <c r="DS158" s="15"/>
      <c r="DT158" s="184"/>
      <c r="DU158" s="15"/>
      <c r="DV158" s="15"/>
      <c r="DW158" s="15"/>
      <c r="DX158" s="15"/>
      <c r="DY158" s="15"/>
      <c r="DZ158" s="15"/>
      <c r="EA158" s="184"/>
      <c r="EB158" s="15"/>
      <c r="EC158" s="15"/>
      <c r="ED158" s="15"/>
      <c r="EE158" s="15"/>
      <c r="EF158" s="15"/>
      <c r="EG158" s="15"/>
      <c r="EH158" s="184"/>
      <c r="EI158" s="15"/>
      <c r="EJ158" s="15"/>
      <c r="EK158" s="15"/>
      <c r="EL158" s="15"/>
      <c r="EM158" s="15"/>
      <c r="EN158" s="15"/>
      <c r="EO158" s="184"/>
      <c r="EP158" s="15"/>
      <c r="EQ158" s="15"/>
      <c r="ER158" s="15"/>
      <c r="ES158" s="15"/>
      <c r="ET158" s="15"/>
      <c r="EU158" s="15"/>
      <c r="EV158" s="184"/>
      <c r="EW158" s="15"/>
      <c r="EX158" s="15"/>
      <c r="EY158" s="15"/>
      <c r="EZ158" s="15"/>
      <c r="FA158" s="15"/>
      <c r="FB158" s="15"/>
      <c r="FC158" s="184"/>
      <c r="FD158" s="15">
        <v>2</v>
      </c>
      <c r="FE158" s="15">
        <v>2</v>
      </c>
      <c r="FF158" s="15">
        <v>2</v>
      </c>
      <c r="FG158" s="15">
        <v>2</v>
      </c>
      <c r="FH158" s="15">
        <v>2</v>
      </c>
      <c r="FI158" s="15">
        <v>2</v>
      </c>
      <c r="FJ158" s="184"/>
      <c r="FK158" s="15">
        <v>2</v>
      </c>
      <c r="FL158" s="15">
        <v>2</v>
      </c>
      <c r="FM158" s="15">
        <v>2</v>
      </c>
      <c r="FN158" s="15">
        <v>2</v>
      </c>
      <c r="FO158" s="15">
        <v>2</v>
      </c>
      <c r="FP158" s="15">
        <v>2</v>
      </c>
      <c r="FQ158" s="184"/>
      <c r="FR158" s="15">
        <v>6</v>
      </c>
      <c r="FS158" s="15">
        <v>6</v>
      </c>
      <c r="FT158" s="15">
        <v>6</v>
      </c>
      <c r="FU158" s="15">
        <v>10</v>
      </c>
      <c r="FV158" s="15">
        <v>10</v>
      </c>
      <c r="FW158" s="178">
        <v>10</v>
      </c>
      <c r="FX158" s="184"/>
      <c r="FY158" s="181"/>
      <c r="FZ158" s="15"/>
      <c r="GA158" s="15"/>
      <c r="GB158" s="15"/>
      <c r="GC158" s="15"/>
      <c r="GD158" s="15"/>
      <c r="GE158" s="184"/>
      <c r="GF158" s="15"/>
      <c r="GG158" s="15"/>
      <c r="GH158" s="15"/>
      <c r="GI158" s="15"/>
      <c r="GJ158" s="15"/>
      <c r="GK158" s="15"/>
      <c r="GL158" s="184"/>
      <c r="GM158" s="15"/>
      <c r="GN158" s="15"/>
      <c r="GO158" s="15"/>
      <c r="GP158" s="15"/>
      <c r="GQ158" s="15"/>
      <c r="GR158" s="15"/>
      <c r="GS158" s="184"/>
      <c r="GT158" s="15"/>
      <c r="GU158" s="15"/>
      <c r="GV158" s="15"/>
      <c r="GW158" s="15"/>
      <c r="GX158" s="15"/>
      <c r="GY158" s="15"/>
      <c r="GZ158" s="184"/>
      <c r="HA158" s="15"/>
      <c r="HB158" s="15"/>
      <c r="HC158" s="15"/>
      <c r="HD158" s="15"/>
      <c r="HE158" s="15"/>
      <c r="HF158" s="15"/>
      <c r="HG158" s="184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/>
      <c r="LI158" s="15"/>
      <c r="LJ158" s="15"/>
      <c r="LK158" s="15"/>
      <c r="LL158" s="15"/>
      <c r="LM158" s="15"/>
      <c r="LN158" s="15"/>
      <c r="LO158" s="15"/>
      <c r="LP158" s="15"/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  <c r="MG158" s="15"/>
      <c r="MH158" s="15"/>
      <c r="MI158" s="15"/>
      <c r="MJ158" s="15"/>
      <c r="MK158" s="15"/>
      <c r="ML158" s="15"/>
      <c r="MM158" s="15"/>
      <c r="MN158" s="15"/>
      <c r="MO158" s="15"/>
      <c r="MP158" s="15"/>
      <c r="MQ158" s="15"/>
      <c r="MR158" s="15"/>
      <c r="MS158" s="15"/>
      <c r="MT158" s="15"/>
      <c r="MU158" s="15"/>
      <c r="MV158" s="15"/>
      <c r="MW158" s="15"/>
      <c r="MX158" s="15"/>
      <c r="MY158" s="15"/>
      <c r="MZ158" s="15"/>
      <c r="NA158" s="15"/>
      <c r="NB158" s="15"/>
      <c r="NC158" s="15"/>
      <c r="ND158" s="15"/>
      <c r="NE158" s="15"/>
      <c r="NF158" s="15"/>
      <c r="NG158" s="15"/>
      <c r="NH158" s="15"/>
      <c r="NI158" s="15"/>
      <c r="NJ158" s="15"/>
      <c r="NK158" s="15"/>
      <c r="NL158" s="15"/>
      <c r="NM158" s="15"/>
      <c r="NN158" s="15"/>
      <c r="NO158" s="15"/>
      <c r="NP158" s="15"/>
      <c r="NQ158" s="15"/>
      <c r="NR158" s="15"/>
      <c r="NS158" s="15"/>
      <c r="NT158" s="15"/>
      <c r="NU158" s="15"/>
      <c r="NV158" s="15"/>
      <c r="NW158" s="15"/>
      <c r="NX158" s="15"/>
      <c r="NY158" s="15"/>
      <c r="NZ158" s="15"/>
    </row>
    <row r="159" spans="2:390" ht="19.5" customHeight="1" x14ac:dyDescent="0.45">
      <c r="B159" s="1">
        <f t="shared" si="82"/>
        <v>4</v>
      </c>
      <c r="C159" s="1">
        <f>+C158+1</f>
        <v>10</v>
      </c>
      <c r="D159" s="1">
        <v>0</v>
      </c>
      <c r="E159" s="93" t="str">
        <f t="shared" si="89"/>
        <v>4.10.0</v>
      </c>
      <c r="F159" s="94" t="s">
        <v>70</v>
      </c>
      <c r="G159" s="94"/>
      <c r="H159" s="95"/>
      <c r="I159" s="95"/>
      <c r="J159" s="96"/>
      <c r="K159" s="96"/>
      <c r="L159" s="97"/>
      <c r="M159" s="95"/>
      <c r="N159" s="95"/>
      <c r="O159" s="95">
        <f>SUM(O160:O164)</f>
        <v>42</v>
      </c>
      <c r="P159" s="95"/>
      <c r="Q159" s="95"/>
      <c r="R159" s="168"/>
      <c r="S159" s="98"/>
      <c r="T159" s="163" t="str">
        <f t="shared" si="86"/>
        <v/>
      </c>
      <c r="U159" s="164">
        <f>+SUMPRODUCT(U160:U164,O160:O164)/O159</f>
        <v>9.5238095238095233E-2</v>
      </c>
      <c r="V159" s="200">
        <f t="shared" si="87"/>
        <v>4</v>
      </c>
      <c r="W159" s="158">
        <f>SUMIFS($AA159:$NZ159, $AA$8:$NZ$8, $W$12)/$O159</f>
        <v>0</v>
      </c>
      <c r="X159" s="159">
        <f>SUMIF($AA$9:$NZ$9, "&lt;=" &amp; $W$11,$AA159:$NZ159)/$O159</f>
        <v>0</v>
      </c>
      <c r="Y159" s="199">
        <f t="shared" si="88"/>
        <v>0</v>
      </c>
      <c r="Z159" s="36"/>
      <c r="AA159" s="15"/>
      <c r="AB159" s="15"/>
      <c r="AC159" s="15"/>
      <c r="AD159" s="15"/>
      <c r="AE159" s="15"/>
      <c r="AF159" s="15"/>
      <c r="AG159" s="184"/>
      <c r="AH159" s="15"/>
      <c r="AI159" s="15"/>
      <c r="AJ159" s="15"/>
      <c r="AK159" s="15"/>
      <c r="AL159" s="15"/>
      <c r="AM159" s="15"/>
      <c r="AN159" s="184"/>
      <c r="AO159" s="15"/>
      <c r="AP159" s="15"/>
      <c r="AQ159" s="15"/>
      <c r="AR159" s="15"/>
      <c r="AS159" s="15"/>
      <c r="AT159" s="15"/>
      <c r="AU159" s="184"/>
      <c r="AV159" s="15"/>
      <c r="AW159" s="15"/>
      <c r="AX159" s="15"/>
      <c r="AY159" s="15"/>
      <c r="AZ159" s="15"/>
      <c r="BA159" s="15"/>
      <c r="BB159" s="184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84"/>
      <c r="CE159" s="15"/>
      <c r="CF159" s="15"/>
      <c r="CG159" s="15"/>
      <c r="CH159" s="15"/>
      <c r="CI159" s="15"/>
      <c r="CJ159" s="15"/>
      <c r="CK159" s="184"/>
      <c r="CL159" s="15"/>
      <c r="CM159" s="15"/>
      <c r="CN159" s="15"/>
      <c r="CO159" s="15"/>
      <c r="CP159" s="15"/>
      <c r="CQ159" s="15"/>
      <c r="CR159" s="184"/>
      <c r="CS159" s="15"/>
      <c r="CT159" s="15"/>
      <c r="CU159" s="15"/>
      <c r="CV159" s="15"/>
      <c r="CW159" s="15"/>
      <c r="CX159" s="15"/>
      <c r="CY159" s="184"/>
      <c r="CZ159" s="15"/>
      <c r="DA159" s="15"/>
      <c r="DB159" s="15"/>
      <c r="DC159" s="15"/>
      <c r="DD159" s="15"/>
      <c r="DE159" s="15"/>
      <c r="DF159" s="184"/>
      <c r="DG159" s="15"/>
      <c r="DH159" s="15"/>
      <c r="DI159" s="15"/>
      <c r="DJ159" s="15"/>
      <c r="DK159" s="15"/>
      <c r="DL159" s="15"/>
      <c r="DM159" s="184"/>
      <c r="DN159" s="15"/>
      <c r="DO159" s="15"/>
      <c r="DP159" s="15"/>
      <c r="DQ159" s="15"/>
      <c r="DR159" s="15"/>
      <c r="DS159" s="15"/>
      <c r="DT159" s="184"/>
      <c r="DU159" s="15"/>
      <c r="DV159" s="15"/>
      <c r="DW159" s="15"/>
      <c r="DX159" s="15"/>
      <c r="DY159" s="15"/>
      <c r="DZ159" s="15"/>
      <c r="EA159" s="184"/>
      <c r="EB159" s="15"/>
      <c r="EC159" s="15"/>
      <c r="ED159" s="15"/>
      <c r="EE159" s="15"/>
      <c r="EF159" s="15"/>
      <c r="EG159" s="15"/>
      <c r="EH159" s="184"/>
      <c r="EI159" s="15"/>
      <c r="EJ159" s="15"/>
      <c r="EK159" s="15"/>
      <c r="EL159" s="15"/>
      <c r="EM159" s="15"/>
      <c r="EN159" s="15"/>
      <c r="EO159" s="184"/>
      <c r="EP159" s="15"/>
      <c r="EQ159" s="15"/>
      <c r="ER159" s="15"/>
      <c r="ES159" s="15"/>
      <c r="ET159" s="15"/>
      <c r="EU159" s="15"/>
      <c r="EV159" s="184"/>
      <c r="EW159" s="15"/>
      <c r="EX159" s="15"/>
      <c r="EY159" s="15"/>
      <c r="EZ159" s="15"/>
      <c r="FA159" s="15"/>
      <c r="FB159" s="15"/>
      <c r="FC159" s="184"/>
      <c r="FD159" s="15"/>
      <c r="FE159" s="15"/>
      <c r="FF159" s="15"/>
      <c r="FG159" s="15"/>
      <c r="FH159" s="15"/>
      <c r="FI159" s="15"/>
      <c r="FJ159" s="184"/>
      <c r="FK159" s="15"/>
      <c r="FL159" s="15"/>
      <c r="FM159" s="15"/>
      <c r="FN159" s="15"/>
      <c r="FO159" s="15"/>
      <c r="FP159" s="15"/>
      <c r="FQ159" s="184"/>
      <c r="FR159" s="15"/>
      <c r="FS159" s="15"/>
      <c r="FT159" s="15"/>
      <c r="FU159" s="15"/>
      <c r="FV159" s="15"/>
      <c r="FW159" s="178"/>
      <c r="FX159" s="184"/>
      <c r="FY159" s="181"/>
      <c r="FZ159" s="15"/>
      <c r="GA159" s="15"/>
      <c r="GB159" s="15"/>
      <c r="GC159" s="15"/>
      <c r="GD159" s="15"/>
      <c r="GE159" s="184"/>
      <c r="GF159" s="15"/>
      <c r="GG159" s="15"/>
      <c r="GH159" s="15"/>
      <c r="GI159" s="15"/>
      <c r="GJ159" s="15"/>
      <c r="GK159" s="15"/>
      <c r="GL159" s="184"/>
      <c r="GM159" s="15"/>
      <c r="GN159" s="15"/>
      <c r="GO159" s="15"/>
      <c r="GP159" s="15"/>
      <c r="GQ159" s="15"/>
      <c r="GR159" s="15"/>
      <c r="GS159" s="184"/>
      <c r="GT159" s="15"/>
      <c r="GU159" s="15"/>
      <c r="GV159" s="15"/>
      <c r="GW159" s="15"/>
      <c r="GX159" s="15"/>
      <c r="GY159" s="15"/>
      <c r="GZ159" s="184"/>
      <c r="HA159" s="15"/>
      <c r="HB159" s="15"/>
      <c r="HC159" s="15"/>
      <c r="HD159" s="15"/>
      <c r="HE159" s="15"/>
      <c r="HF159" s="15"/>
      <c r="HG159" s="184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/>
      <c r="LI159" s="15"/>
      <c r="LJ159" s="15"/>
      <c r="LK159" s="15"/>
      <c r="LL159" s="15"/>
      <c r="LM159" s="15"/>
      <c r="LN159" s="15"/>
      <c r="LO159" s="15"/>
      <c r="LP159" s="15"/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  <c r="MG159" s="15"/>
      <c r="MH159" s="15"/>
      <c r="MI159" s="15"/>
      <c r="MJ159" s="15"/>
      <c r="MK159" s="15"/>
      <c r="ML159" s="15"/>
      <c r="MM159" s="15"/>
      <c r="MN159" s="15"/>
      <c r="MO159" s="15"/>
      <c r="MP159" s="15"/>
      <c r="MQ159" s="15"/>
      <c r="MR159" s="15"/>
      <c r="MS159" s="15"/>
      <c r="MT159" s="15"/>
      <c r="MU159" s="15"/>
      <c r="MV159" s="15"/>
      <c r="MW159" s="15"/>
      <c r="MX159" s="15"/>
      <c r="MY159" s="15"/>
      <c r="MZ159" s="15"/>
      <c r="NA159" s="15"/>
      <c r="NB159" s="15"/>
      <c r="NC159" s="15"/>
      <c r="ND159" s="15"/>
      <c r="NE159" s="15"/>
      <c r="NF159" s="15"/>
      <c r="NG159" s="15"/>
      <c r="NH159" s="15"/>
      <c r="NI159" s="15"/>
      <c r="NJ159" s="15"/>
      <c r="NK159" s="15"/>
      <c r="NL159" s="15"/>
      <c r="NM159" s="15"/>
      <c r="NN159" s="15"/>
      <c r="NO159" s="15"/>
      <c r="NP159" s="15"/>
      <c r="NQ159" s="15"/>
      <c r="NR159" s="15"/>
      <c r="NS159" s="15"/>
      <c r="NT159" s="15"/>
      <c r="NU159" s="15"/>
      <c r="NV159" s="15"/>
      <c r="NW159" s="15"/>
      <c r="NX159" s="15"/>
      <c r="NY159" s="15"/>
      <c r="NZ159" s="15"/>
    </row>
    <row r="160" spans="2:390" ht="19.5" customHeight="1" x14ac:dyDescent="0.45">
      <c r="B160" s="1">
        <f t="shared" si="82"/>
        <v>4</v>
      </c>
      <c r="C160" s="1">
        <f>+C159</f>
        <v>10</v>
      </c>
      <c r="D160" s="1">
        <f>+D159+1</f>
        <v>1</v>
      </c>
      <c r="E160" s="59" t="str">
        <f t="shared" si="89"/>
        <v>4.10.1</v>
      </c>
      <c r="F160" s="23" t="s">
        <v>94</v>
      </c>
      <c r="G160" s="191">
        <v>1.5</v>
      </c>
      <c r="H160" s="52" t="s">
        <v>117</v>
      </c>
      <c r="I160" s="52"/>
      <c r="J160" s="52">
        <v>1</v>
      </c>
      <c r="K160" s="52">
        <v>1</v>
      </c>
      <c r="L160" s="55">
        <f>+J160-K160</f>
        <v>0</v>
      </c>
      <c r="M160" s="52">
        <v>2</v>
      </c>
      <c r="N160" s="52">
        <v>2</v>
      </c>
      <c r="O160" s="51">
        <f t="shared" si="83"/>
        <v>4</v>
      </c>
      <c r="P160" s="51">
        <f>+SUM(AA160:NZ160)</f>
        <v>4</v>
      </c>
      <c r="Q160" s="51">
        <f>+O160-P160</f>
        <v>0</v>
      </c>
      <c r="R160" s="19">
        <v>45989</v>
      </c>
      <c r="S160" s="20">
        <v>1</v>
      </c>
      <c r="T160" s="21">
        <f t="shared" si="86"/>
        <v>45989</v>
      </c>
      <c r="U160" s="22">
        <f>+K160/J160</f>
        <v>1</v>
      </c>
      <c r="V160" s="199">
        <f t="shared" si="87"/>
        <v>4</v>
      </c>
      <c r="W160" s="158">
        <f>SUMIFS($AA160:$NZ160, $AA$8:$NZ$8, $W$12)/$O160</f>
        <v>0</v>
      </c>
      <c r="X160" s="159">
        <f>SUMIF($AA$9:$NZ$9, "&lt;=" &amp; $W$11,$AA160:$NZ160)/$O160</f>
        <v>1</v>
      </c>
      <c r="Y160" s="199">
        <f t="shared" si="88"/>
        <v>4</v>
      </c>
      <c r="Z160" s="36"/>
      <c r="AA160" s="15"/>
      <c r="AB160" s="15"/>
      <c r="AC160" s="15"/>
      <c r="AD160" s="15"/>
      <c r="AE160" s="15">
        <v>2</v>
      </c>
      <c r="AF160" s="15">
        <v>2</v>
      </c>
      <c r="AG160" s="184"/>
      <c r="AH160" s="15"/>
      <c r="AI160" s="15"/>
      <c r="AJ160" s="15"/>
      <c r="AK160" s="15"/>
      <c r="AL160" s="15"/>
      <c r="AM160" s="15"/>
      <c r="AN160" s="184"/>
      <c r="AO160" s="15"/>
      <c r="AP160" s="15"/>
      <c r="AQ160" s="15"/>
      <c r="AR160" s="15"/>
      <c r="AS160" s="15"/>
      <c r="AT160" s="15"/>
      <c r="AU160" s="184"/>
      <c r="AV160" s="15"/>
      <c r="AW160" s="15"/>
      <c r="AX160" s="15"/>
      <c r="AY160" s="15"/>
      <c r="AZ160" s="15"/>
      <c r="BA160" s="15"/>
      <c r="BB160" s="184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84"/>
      <c r="CE160" s="15"/>
      <c r="CF160" s="15"/>
      <c r="CG160" s="15"/>
      <c r="CH160" s="15"/>
      <c r="CI160" s="15"/>
      <c r="CJ160" s="15"/>
      <c r="CK160" s="184"/>
      <c r="CL160" s="15"/>
      <c r="CM160" s="15"/>
      <c r="CN160" s="15"/>
      <c r="CO160" s="15"/>
      <c r="CP160" s="15"/>
      <c r="CQ160" s="15"/>
      <c r="CR160" s="184"/>
      <c r="CS160" s="15"/>
      <c r="CT160" s="15"/>
      <c r="CU160" s="15"/>
      <c r="CV160" s="15"/>
      <c r="CW160" s="15"/>
      <c r="CX160" s="15"/>
      <c r="CY160" s="184"/>
      <c r="CZ160" s="15"/>
      <c r="DA160" s="15"/>
      <c r="DB160" s="15"/>
      <c r="DC160" s="15"/>
      <c r="DD160" s="15"/>
      <c r="DE160" s="15"/>
      <c r="DF160" s="184"/>
      <c r="DG160" s="15"/>
      <c r="DH160" s="15"/>
      <c r="DI160" s="15"/>
      <c r="DJ160" s="15"/>
      <c r="DK160" s="15"/>
      <c r="DL160" s="15"/>
      <c r="DM160" s="184"/>
      <c r="DN160" s="15"/>
      <c r="DO160" s="15"/>
      <c r="DP160" s="15"/>
      <c r="DQ160" s="15"/>
      <c r="DR160" s="15"/>
      <c r="DS160" s="15"/>
      <c r="DT160" s="184"/>
      <c r="DU160" s="15"/>
      <c r="DV160" s="15"/>
      <c r="DW160" s="15"/>
      <c r="DX160" s="15"/>
      <c r="DY160" s="15"/>
      <c r="DZ160" s="15"/>
      <c r="EA160" s="184"/>
      <c r="EB160" s="15"/>
      <c r="EC160" s="15"/>
      <c r="ED160" s="15"/>
      <c r="EE160" s="15"/>
      <c r="EF160" s="15"/>
      <c r="EG160" s="15"/>
      <c r="EH160" s="184"/>
      <c r="EI160" s="15"/>
      <c r="EJ160" s="15"/>
      <c r="EK160" s="15"/>
      <c r="EL160" s="15"/>
      <c r="EM160" s="15"/>
      <c r="EN160" s="15"/>
      <c r="EO160" s="184"/>
      <c r="EP160" s="15"/>
      <c r="EQ160" s="15"/>
      <c r="ER160" s="15"/>
      <c r="ES160" s="15"/>
      <c r="ET160" s="15"/>
      <c r="EU160" s="15"/>
      <c r="EV160" s="184"/>
      <c r="EW160" s="15"/>
      <c r="EX160" s="15"/>
      <c r="EY160" s="15"/>
      <c r="EZ160" s="15"/>
      <c r="FA160" s="15"/>
      <c r="FB160" s="15"/>
      <c r="FC160" s="184"/>
      <c r="FD160" s="15"/>
      <c r="FE160" s="15"/>
      <c r="FF160" s="15"/>
      <c r="FG160" s="15"/>
      <c r="FH160" s="15"/>
      <c r="FI160" s="15"/>
      <c r="FJ160" s="184"/>
      <c r="FK160" s="15"/>
      <c r="FL160" s="15"/>
      <c r="FM160" s="15"/>
      <c r="FN160" s="15"/>
      <c r="FO160" s="15"/>
      <c r="FP160" s="15"/>
      <c r="FQ160" s="184"/>
      <c r="FR160" s="15"/>
      <c r="FS160" s="15"/>
      <c r="FT160" s="15"/>
      <c r="FU160" s="15"/>
      <c r="FV160" s="15"/>
      <c r="FW160" s="178"/>
      <c r="FX160" s="184"/>
      <c r="FY160" s="181"/>
      <c r="FZ160" s="15"/>
      <c r="GA160" s="15"/>
      <c r="GB160" s="15"/>
      <c r="GC160" s="15"/>
      <c r="GD160" s="15"/>
      <c r="GE160" s="184"/>
      <c r="GF160" s="15"/>
      <c r="GG160" s="15"/>
      <c r="GH160" s="15"/>
      <c r="GI160" s="15"/>
      <c r="GJ160" s="15"/>
      <c r="GK160" s="15"/>
      <c r="GL160" s="184"/>
      <c r="GM160" s="15"/>
      <c r="GN160" s="15"/>
      <c r="GO160" s="15"/>
      <c r="GP160" s="15"/>
      <c r="GQ160" s="15"/>
      <c r="GR160" s="15"/>
      <c r="GS160" s="184"/>
      <c r="GT160" s="15"/>
      <c r="GU160" s="15"/>
      <c r="GV160" s="15"/>
      <c r="GW160" s="15"/>
      <c r="GX160" s="15"/>
      <c r="GY160" s="15"/>
      <c r="GZ160" s="184"/>
      <c r="HA160" s="15"/>
      <c r="HB160" s="15"/>
      <c r="HC160" s="15"/>
      <c r="HD160" s="15"/>
      <c r="HE160" s="15"/>
      <c r="HF160" s="15"/>
      <c r="HG160" s="184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/>
      <c r="LI160" s="15"/>
      <c r="LJ160" s="15"/>
      <c r="LK160" s="15"/>
      <c r="LL160" s="15"/>
      <c r="LM160" s="15"/>
      <c r="LN160" s="15"/>
      <c r="LO160" s="15"/>
      <c r="LP160" s="15"/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  <c r="MG160" s="15"/>
      <c r="MH160" s="15"/>
      <c r="MI160" s="15"/>
      <c r="MJ160" s="15"/>
      <c r="MK160" s="15"/>
      <c r="ML160" s="15"/>
      <c r="MM160" s="15"/>
      <c r="MN160" s="15"/>
      <c r="MO160" s="15"/>
      <c r="MP160" s="15"/>
      <c r="MQ160" s="15"/>
      <c r="MR160" s="15"/>
      <c r="MS160" s="15"/>
      <c r="MT160" s="15"/>
      <c r="MU160" s="15"/>
      <c r="MV160" s="15"/>
      <c r="MW160" s="15"/>
      <c r="MX160" s="15"/>
      <c r="MY160" s="15"/>
      <c r="MZ160" s="15"/>
      <c r="NA160" s="15"/>
      <c r="NB160" s="15"/>
      <c r="NC160" s="15"/>
      <c r="ND160" s="15"/>
      <c r="NE160" s="15"/>
      <c r="NF160" s="15"/>
      <c r="NG160" s="15"/>
      <c r="NH160" s="15"/>
      <c r="NI160" s="15"/>
      <c r="NJ160" s="15"/>
      <c r="NK160" s="15"/>
      <c r="NL160" s="15"/>
      <c r="NM160" s="15"/>
      <c r="NN160" s="15"/>
      <c r="NO160" s="15"/>
      <c r="NP160" s="15"/>
      <c r="NQ160" s="15"/>
      <c r="NR160" s="15"/>
      <c r="NS160" s="15"/>
      <c r="NT160" s="15"/>
      <c r="NU160" s="15"/>
      <c r="NV160" s="15"/>
      <c r="NW160" s="15"/>
      <c r="NX160" s="15"/>
      <c r="NY160" s="15"/>
      <c r="NZ160" s="15"/>
    </row>
    <row r="161" spans="2:390" ht="19.5" customHeight="1" x14ac:dyDescent="0.45">
      <c r="B161" s="1">
        <f t="shared" si="82"/>
        <v>4</v>
      </c>
      <c r="C161" s="1">
        <f>+C160</f>
        <v>10</v>
      </c>
      <c r="D161" s="1">
        <f>+D160+1</f>
        <v>2</v>
      </c>
      <c r="E161" s="59" t="str">
        <f t="shared" si="89"/>
        <v>4.10.2</v>
      </c>
      <c r="F161" s="23" t="s">
        <v>96</v>
      </c>
      <c r="G161" s="191"/>
      <c r="H161" s="52" t="s">
        <v>117</v>
      </c>
      <c r="I161" s="52"/>
      <c r="J161" s="52">
        <v>1</v>
      </c>
      <c r="K161" s="52">
        <v>0</v>
      </c>
      <c r="L161" s="55">
        <f>+J161-K161</f>
        <v>1</v>
      </c>
      <c r="M161" s="52">
        <v>2</v>
      </c>
      <c r="N161" s="52">
        <v>1</v>
      </c>
      <c r="O161" s="51">
        <f t="shared" si="83"/>
        <v>2</v>
      </c>
      <c r="P161" s="51">
        <f>+SUM(AA161:NZ161)</f>
        <v>0</v>
      </c>
      <c r="Q161" s="51">
        <f>+O161-P161</f>
        <v>2</v>
      </c>
      <c r="R161" s="187"/>
      <c r="S161" s="64"/>
      <c r="T161" s="155" t="str">
        <f t="shared" si="86"/>
        <v/>
      </c>
      <c r="U161" s="22">
        <f>+K161/J161</f>
        <v>0</v>
      </c>
      <c r="V161" s="199">
        <f t="shared" si="87"/>
        <v>0</v>
      </c>
      <c r="W161" s="158">
        <f>SUMIFS($AA161:$NZ161, $AA$8:$NZ$8, $W$12)/$O161</f>
        <v>0</v>
      </c>
      <c r="X161" s="159">
        <f>SUMIF($AA$9:$NZ$9, "&lt;=" &amp; $W$11,$AA161:$NZ161)/$O161</f>
        <v>0</v>
      </c>
      <c r="Y161" s="199">
        <f t="shared" si="88"/>
        <v>0</v>
      </c>
      <c r="Z161" s="36"/>
      <c r="AA161" s="15"/>
      <c r="AB161" s="15"/>
      <c r="AC161" s="15"/>
      <c r="AD161" s="15"/>
      <c r="AE161" s="15"/>
      <c r="AF161" s="15"/>
      <c r="AG161" s="184"/>
      <c r="AH161" s="15"/>
      <c r="AI161" s="15"/>
      <c r="AJ161" s="15"/>
      <c r="AK161" s="15"/>
      <c r="AL161" s="15"/>
      <c r="AM161" s="15"/>
      <c r="AN161" s="184"/>
      <c r="AO161" s="15"/>
      <c r="AP161" s="15"/>
      <c r="AQ161" s="15"/>
      <c r="AR161" s="15"/>
      <c r="AS161" s="15"/>
      <c r="AT161" s="15"/>
      <c r="AU161" s="184"/>
      <c r="AV161" s="15"/>
      <c r="AW161" s="15"/>
      <c r="AX161" s="15"/>
      <c r="AY161" s="15"/>
      <c r="AZ161" s="15"/>
      <c r="BA161" s="15"/>
      <c r="BB161" s="184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84"/>
      <c r="CE161" s="15"/>
      <c r="CF161" s="15"/>
      <c r="CG161" s="15"/>
      <c r="CH161" s="15"/>
      <c r="CI161" s="15"/>
      <c r="CJ161" s="15"/>
      <c r="CK161" s="184"/>
      <c r="CL161" s="15"/>
      <c r="CM161" s="15"/>
      <c r="CN161" s="15"/>
      <c r="CO161" s="15"/>
      <c r="CP161" s="15"/>
      <c r="CQ161" s="15"/>
      <c r="CR161" s="184"/>
      <c r="CS161" s="15"/>
      <c r="CT161" s="15"/>
      <c r="CU161" s="15"/>
      <c r="CV161" s="15"/>
      <c r="CW161" s="15"/>
      <c r="CX161" s="15"/>
      <c r="CY161" s="184"/>
      <c r="CZ161" s="15"/>
      <c r="DA161" s="15"/>
      <c r="DB161" s="15"/>
      <c r="DC161" s="15"/>
      <c r="DD161" s="15"/>
      <c r="DE161" s="15"/>
      <c r="DF161" s="184"/>
      <c r="DG161" s="15"/>
      <c r="DH161" s="15"/>
      <c r="DI161" s="15"/>
      <c r="DJ161" s="15"/>
      <c r="DK161" s="15"/>
      <c r="DL161" s="15"/>
      <c r="DM161" s="184"/>
      <c r="DN161" s="15"/>
      <c r="DO161" s="15"/>
      <c r="DP161" s="15"/>
      <c r="DQ161" s="15"/>
      <c r="DR161" s="15"/>
      <c r="DS161" s="15"/>
      <c r="DT161" s="184"/>
      <c r="DU161" s="15"/>
      <c r="DV161" s="15"/>
      <c r="DW161" s="15"/>
      <c r="DX161" s="15"/>
      <c r="DY161" s="15"/>
      <c r="DZ161" s="15"/>
      <c r="EA161" s="184"/>
      <c r="EB161" s="15"/>
      <c r="EC161" s="15"/>
      <c r="ED161" s="15"/>
      <c r="EE161" s="15"/>
      <c r="EF161" s="15"/>
      <c r="EG161" s="15"/>
      <c r="EH161" s="184"/>
      <c r="EI161" s="15"/>
      <c r="EJ161" s="15"/>
      <c r="EK161" s="15"/>
      <c r="EL161" s="15"/>
      <c r="EM161" s="15"/>
      <c r="EN161" s="15"/>
      <c r="EO161" s="184"/>
      <c r="EP161" s="15"/>
      <c r="EQ161" s="15"/>
      <c r="ER161" s="15"/>
      <c r="ES161" s="15"/>
      <c r="ET161" s="15"/>
      <c r="EU161" s="15"/>
      <c r="EV161" s="184"/>
      <c r="EW161" s="15"/>
      <c r="EX161" s="15"/>
      <c r="EY161" s="15"/>
      <c r="EZ161" s="15"/>
      <c r="FA161" s="15"/>
      <c r="FB161" s="15"/>
      <c r="FC161" s="184"/>
      <c r="FD161" s="15"/>
      <c r="FE161" s="15"/>
      <c r="FF161" s="15"/>
      <c r="FG161" s="15"/>
      <c r="FH161" s="15"/>
      <c r="FI161" s="15"/>
      <c r="FJ161" s="184"/>
      <c r="FK161" s="15"/>
      <c r="FL161" s="15"/>
      <c r="FM161" s="15"/>
      <c r="FN161" s="15"/>
      <c r="FO161" s="15"/>
      <c r="FP161" s="15"/>
      <c r="FQ161" s="184"/>
      <c r="FR161" s="15"/>
      <c r="FS161" s="15"/>
      <c r="FT161" s="15"/>
      <c r="FU161" s="15"/>
      <c r="FV161" s="15"/>
      <c r="FW161" s="178"/>
      <c r="FX161" s="184"/>
      <c r="FY161" s="181"/>
      <c r="FZ161" s="15"/>
      <c r="GA161" s="15"/>
      <c r="GB161" s="15"/>
      <c r="GC161" s="15"/>
      <c r="GD161" s="15"/>
      <c r="GE161" s="184"/>
      <c r="GF161" s="15"/>
      <c r="GG161" s="15"/>
      <c r="GH161" s="15"/>
      <c r="GI161" s="15"/>
      <c r="GJ161" s="15"/>
      <c r="GK161" s="15"/>
      <c r="GL161" s="184"/>
      <c r="GM161" s="15"/>
      <c r="GN161" s="15"/>
      <c r="GO161" s="15"/>
      <c r="GP161" s="15"/>
      <c r="GQ161" s="15"/>
      <c r="GR161" s="15"/>
      <c r="GS161" s="184"/>
      <c r="GT161" s="15"/>
      <c r="GU161" s="15"/>
      <c r="GV161" s="15"/>
      <c r="GW161" s="15"/>
      <c r="GX161" s="15"/>
      <c r="GY161" s="15"/>
      <c r="GZ161" s="184"/>
      <c r="HA161" s="15"/>
      <c r="HB161" s="15"/>
      <c r="HC161" s="15"/>
      <c r="HD161" s="15"/>
      <c r="HE161" s="15"/>
      <c r="HF161" s="15"/>
      <c r="HG161" s="184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/>
      <c r="KE161" s="15"/>
      <c r="KF161" s="15"/>
      <c r="KG161" s="15"/>
      <c r="KH161" s="15"/>
      <c r="KI161" s="15"/>
      <c r="KJ161" s="15"/>
      <c r="KK161" s="15"/>
      <c r="KL161" s="15"/>
      <c r="KM161" s="15"/>
      <c r="KN161" s="15"/>
      <c r="KO161" s="15"/>
      <c r="KP161" s="15"/>
      <c r="KQ161" s="15"/>
      <c r="KR161" s="15"/>
      <c r="KS161" s="15"/>
      <c r="KT161" s="15"/>
      <c r="KU161" s="15"/>
      <c r="KV161" s="15"/>
      <c r="KW161" s="15"/>
      <c r="KX161" s="15"/>
      <c r="KY161" s="15"/>
      <c r="KZ161" s="15"/>
      <c r="LA161" s="15"/>
      <c r="LB161" s="15"/>
      <c r="LC161" s="15"/>
      <c r="LD161" s="15"/>
      <c r="LE161" s="15"/>
      <c r="LF161" s="15"/>
      <c r="LG161" s="15"/>
      <c r="LH161" s="15"/>
      <c r="LI161" s="15"/>
      <c r="LJ161" s="15"/>
      <c r="LK161" s="15"/>
      <c r="LL161" s="15"/>
      <c r="LM161" s="15"/>
      <c r="LN161" s="15"/>
      <c r="LO161" s="15"/>
      <c r="LP161" s="15"/>
      <c r="LQ161" s="15"/>
      <c r="LR161" s="15"/>
      <c r="LS161" s="15"/>
      <c r="LT161" s="15"/>
      <c r="LU161" s="15"/>
      <c r="LV161" s="15"/>
      <c r="LW161" s="15"/>
      <c r="LX161" s="15"/>
      <c r="LY161" s="15"/>
      <c r="LZ161" s="15"/>
      <c r="MA161" s="15"/>
      <c r="MB161" s="15"/>
      <c r="MC161" s="15"/>
      <c r="MD161" s="15"/>
      <c r="ME161" s="15"/>
      <c r="MF161" s="15"/>
      <c r="MG161" s="15"/>
      <c r="MH161" s="15"/>
      <c r="MI161" s="15"/>
      <c r="MJ161" s="15"/>
      <c r="MK161" s="15"/>
      <c r="ML161" s="15"/>
      <c r="MM161" s="15"/>
      <c r="MN161" s="15"/>
      <c r="MO161" s="15"/>
      <c r="MP161" s="15"/>
      <c r="MQ161" s="15"/>
      <c r="MR161" s="15"/>
      <c r="MS161" s="15"/>
      <c r="MT161" s="15"/>
      <c r="MU161" s="15"/>
      <c r="MV161" s="15"/>
      <c r="MW161" s="15"/>
      <c r="MX161" s="15"/>
      <c r="MY161" s="15"/>
      <c r="MZ161" s="15"/>
      <c r="NA161" s="15"/>
      <c r="NB161" s="15"/>
      <c r="NC161" s="15"/>
      <c r="ND161" s="15"/>
      <c r="NE161" s="15"/>
      <c r="NF161" s="15"/>
      <c r="NG161" s="15"/>
      <c r="NH161" s="15"/>
      <c r="NI161" s="15"/>
      <c r="NJ161" s="15"/>
      <c r="NK161" s="15"/>
      <c r="NL161" s="15"/>
      <c r="NM161" s="15"/>
      <c r="NN161" s="15"/>
      <c r="NO161" s="15"/>
      <c r="NP161" s="15"/>
      <c r="NQ161" s="15"/>
      <c r="NR161" s="15"/>
      <c r="NS161" s="15"/>
      <c r="NT161" s="15"/>
      <c r="NU161" s="15"/>
      <c r="NV161" s="15"/>
      <c r="NW161" s="15"/>
      <c r="NX161" s="15"/>
      <c r="NY161" s="15"/>
      <c r="NZ161" s="15"/>
    </row>
    <row r="162" spans="2:390" ht="19.5" customHeight="1" x14ac:dyDescent="0.45">
      <c r="B162" s="1">
        <f t="shared" si="82"/>
        <v>4</v>
      </c>
      <c r="C162" s="1">
        <f>+C161</f>
        <v>10</v>
      </c>
      <c r="D162" s="1">
        <f>+D161+1</f>
        <v>3</v>
      </c>
      <c r="E162" s="59" t="str">
        <f t="shared" si="89"/>
        <v>4.10.3</v>
      </c>
      <c r="F162" s="23" t="s">
        <v>95</v>
      </c>
      <c r="G162" s="191"/>
      <c r="H162" s="73" t="s">
        <v>120</v>
      </c>
      <c r="I162" s="73"/>
      <c r="J162" s="55"/>
      <c r="K162" s="55"/>
      <c r="L162" s="55"/>
      <c r="M162" s="72"/>
      <c r="N162" s="72"/>
      <c r="O162" s="23"/>
      <c r="P162" s="23"/>
      <c r="Q162" s="23"/>
      <c r="R162" s="187"/>
      <c r="S162" s="64"/>
      <c r="T162" s="155" t="str">
        <f t="shared" si="86"/>
        <v/>
      </c>
      <c r="U162" s="22"/>
      <c r="V162" s="199">
        <f t="shared" si="87"/>
        <v>0</v>
      </c>
      <c r="W162" s="158"/>
      <c r="X162" s="159"/>
      <c r="Y162" s="199">
        <f t="shared" si="88"/>
        <v>0</v>
      </c>
      <c r="Z162" s="36"/>
      <c r="AA162" s="15"/>
      <c r="AB162" s="15"/>
      <c r="AC162" s="15"/>
      <c r="AD162" s="15"/>
      <c r="AE162" s="15"/>
      <c r="AF162" s="15"/>
      <c r="AG162" s="184"/>
      <c r="AH162" s="15"/>
      <c r="AI162" s="15"/>
      <c r="AJ162" s="15"/>
      <c r="AK162" s="15"/>
      <c r="AL162" s="15"/>
      <c r="AM162" s="15"/>
      <c r="AN162" s="184"/>
      <c r="AO162" s="15"/>
      <c r="AP162" s="15"/>
      <c r="AQ162" s="15"/>
      <c r="AR162" s="15"/>
      <c r="AS162" s="15"/>
      <c r="AT162" s="15"/>
      <c r="AU162" s="184"/>
      <c r="AV162" s="15"/>
      <c r="AW162" s="15"/>
      <c r="AX162" s="15"/>
      <c r="AY162" s="15"/>
      <c r="AZ162" s="15"/>
      <c r="BA162" s="15"/>
      <c r="BB162" s="184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84"/>
      <c r="CE162" s="15"/>
      <c r="CF162" s="15"/>
      <c r="CG162" s="15"/>
      <c r="CH162" s="15"/>
      <c r="CI162" s="15"/>
      <c r="CJ162" s="15"/>
      <c r="CK162" s="184"/>
      <c r="CL162" s="15"/>
      <c r="CM162" s="15"/>
      <c r="CN162" s="15"/>
      <c r="CO162" s="15"/>
      <c r="CP162" s="15"/>
      <c r="CQ162" s="15"/>
      <c r="CR162" s="184"/>
      <c r="CS162" s="15"/>
      <c r="CT162" s="15"/>
      <c r="CU162" s="15"/>
      <c r="CV162" s="15"/>
      <c r="CW162" s="15"/>
      <c r="CX162" s="15"/>
      <c r="CY162" s="184"/>
      <c r="CZ162" s="15"/>
      <c r="DA162" s="15"/>
      <c r="DB162" s="15"/>
      <c r="DC162" s="15"/>
      <c r="DD162" s="15"/>
      <c r="DE162" s="15"/>
      <c r="DF162" s="184"/>
      <c r="DG162" s="15"/>
      <c r="DH162" s="15"/>
      <c r="DI162" s="15"/>
      <c r="DJ162" s="15"/>
      <c r="DK162" s="15"/>
      <c r="DL162" s="15"/>
      <c r="DM162" s="184"/>
      <c r="DN162" s="15"/>
      <c r="DO162" s="15"/>
      <c r="DP162" s="15"/>
      <c r="DQ162" s="15"/>
      <c r="DR162" s="15"/>
      <c r="DS162" s="15"/>
      <c r="DT162" s="184"/>
      <c r="DU162" s="15"/>
      <c r="DV162" s="15"/>
      <c r="DW162" s="15"/>
      <c r="DX162" s="15"/>
      <c r="DY162" s="15"/>
      <c r="DZ162" s="15"/>
      <c r="EA162" s="184"/>
      <c r="EB162" s="15"/>
      <c r="EC162" s="15"/>
      <c r="ED162" s="15"/>
      <c r="EE162" s="15"/>
      <c r="EF162" s="15"/>
      <c r="EG162" s="15"/>
      <c r="EH162" s="184"/>
      <c r="EI162" s="15"/>
      <c r="EJ162" s="15"/>
      <c r="EK162" s="15"/>
      <c r="EL162" s="15"/>
      <c r="EM162" s="15"/>
      <c r="EN162" s="15"/>
      <c r="EO162" s="184"/>
      <c r="EP162" s="15"/>
      <c r="EQ162" s="15"/>
      <c r="ER162" s="15"/>
      <c r="ES162" s="15"/>
      <c r="ET162" s="15"/>
      <c r="EU162" s="15"/>
      <c r="EV162" s="184"/>
      <c r="EW162" s="15"/>
      <c r="EX162" s="15"/>
      <c r="EY162" s="15"/>
      <c r="EZ162" s="15"/>
      <c r="FA162" s="15"/>
      <c r="FB162" s="15"/>
      <c r="FC162" s="184"/>
      <c r="FD162" s="15"/>
      <c r="FE162" s="15"/>
      <c r="FF162" s="15"/>
      <c r="FG162" s="15"/>
      <c r="FH162" s="15"/>
      <c r="FI162" s="15"/>
      <c r="FJ162" s="184"/>
      <c r="FK162" s="15"/>
      <c r="FL162" s="15"/>
      <c r="FM162" s="15"/>
      <c r="FN162" s="15"/>
      <c r="FO162" s="15"/>
      <c r="FP162" s="15"/>
      <c r="FQ162" s="184"/>
      <c r="FR162" s="15"/>
      <c r="FS162" s="15"/>
      <c r="FT162" s="15"/>
      <c r="FU162" s="15"/>
      <c r="FV162" s="15"/>
      <c r="FW162" s="178"/>
      <c r="FX162" s="184"/>
      <c r="FY162" s="181"/>
      <c r="FZ162" s="15"/>
      <c r="GA162" s="15"/>
      <c r="GB162" s="15"/>
      <c r="GC162" s="15"/>
      <c r="GD162" s="15"/>
      <c r="GE162" s="184"/>
      <c r="GF162" s="15"/>
      <c r="GG162" s="15"/>
      <c r="GH162" s="15"/>
      <c r="GI162" s="15"/>
      <c r="GJ162" s="15"/>
      <c r="GK162" s="15"/>
      <c r="GL162" s="184"/>
      <c r="GM162" s="15"/>
      <c r="GN162" s="15"/>
      <c r="GO162" s="15"/>
      <c r="GP162" s="15"/>
      <c r="GQ162" s="15"/>
      <c r="GR162" s="15"/>
      <c r="GS162" s="184"/>
      <c r="GT162" s="15"/>
      <c r="GU162" s="15"/>
      <c r="GV162" s="15"/>
      <c r="GW162" s="15"/>
      <c r="GX162" s="15"/>
      <c r="GY162" s="15"/>
      <c r="GZ162" s="184"/>
      <c r="HA162" s="15"/>
      <c r="HB162" s="15"/>
      <c r="HC162" s="15"/>
      <c r="HD162" s="15"/>
      <c r="HE162" s="15"/>
      <c r="HF162" s="15"/>
      <c r="HG162" s="184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/>
      <c r="KE162" s="15"/>
      <c r="KF162" s="15"/>
      <c r="KG162" s="15"/>
      <c r="KH162" s="15"/>
      <c r="KI162" s="15"/>
      <c r="KJ162" s="15"/>
      <c r="KK162" s="15"/>
      <c r="KL162" s="15"/>
      <c r="KM162" s="15"/>
      <c r="KN162" s="15"/>
      <c r="KO162" s="15"/>
      <c r="KP162" s="15"/>
      <c r="KQ162" s="15"/>
      <c r="KR162" s="15"/>
      <c r="KS162" s="15"/>
      <c r="KT162" s="15"/>
      <c r="KU162" s="15"/>
      <c r="KV162" s="15"/>
      <c r="KW162" s="15"/>
      <c r="KX162" s="15"/>
      <c r="KY162" s="15"/>
      <c r="KZ162" s="15"/>
      <c r="LA162" s="15"/>
      <c r="LB162" s="15"/>
      <c r="LC162" s="15"/>
      <c r="LD162" s="15"/>
      <c r="LE162" s="15"/>
      <c r="LF162" s="15"/>
      <c r="LG162" s="15"/>
      <c r="LH162" s="15"/>
      <c r="LI162" s="15"/>
      <c r="LJ162" s="15"/>
      <c r="LK162" s="15"/>
      <c r="LL162" s="15"/>
      <c r="LM162" s="15"/>
      <c r="LN162" s="15"/>
      <c r="LO162" s="15"/>
      <c r="LP162" s="15"/>
      <c r="LQ162" s="15"/>
      <c r="LR162" s="15"/>
      <c r="LS162" s="15"/>
      <c r="LT162" s="15"/>
      <c r="LU162" s="15"/>
      <c r="LV162" s="15"/>
      <c r="LW162" s="15"/>
      <c r="LX162" s="15"/>
      <c r="LY162" s="15"/>
      <c r="LZ162" s="15"/>
      <c r="MA162" s="15"/>
      <c r="MB162" s="15"/>
      <c r="MC162" s="15"/>
      <c r="MD162" s="15"/>
      <c r="ME162" s="15"/>
      <c r="MF162" s="15"/>
      <c r="MG162" s="15"/>
      <c r="MH162" s="15"/>
      <c r="MI162" s="15"/>
      <c r="MJ162" s="15"/>
      <c r="MK162" s="15"/>
      <c r="ML162" s="15"/>
      <c r="MM162" s="15"/>
      <c r="MN162" s="15"/>
      <c r="MO162" s="15"/>
      <c r="MP162" s="15"/>
      <c r="MQ162" s="15"/>
      <c r="MR162" s="15"/>
      <c r="MS162" s="15"/>
      <c r="MT162" s="15"/>
      <c r="MU162" s="15"/>
      <c r="MV162" s="15"/>
      <c r="MW162" s="15"/>
      <c r="MX162" s="15"/>
      <c r="MY162" s="15"/>
      <c r="MZ162" s="15"/>
      <c r="NA162" s="15"/>
      <c r="NB162" s="15"/>
      <c r="NC162" s="15"/>
      <c r="ND162" s="15"/>
      <c r="NE162" s="15"/>
      <c r="NF162" s="15"/>
      <c r="NG162" s="15"/>
      <c r="NH162" s="15"/>
      <c r="NI162" s="15"/>
      <c r="NJ162" s="15"/>
      <c r="NK162" s="15"/>
      <c r="NL162" s="15"/>
      <c r="NM162" s="15"/>
      <c r="NN162" s="15"/>
      <c r="NO162" s="15"/>
      <c r="NP162" s="15"/>
      <c r="NQ162" s="15"/>
      <c r="NR162" s="15"/>
      <c r="NS162" s="15"/>
      <c r="NT162" s="15"/>
      <c r="NU162" s="15"/>
      <c r="NV162" s="15"/>
      <c r="NW162" s="15"/>
      <c r="NX162" s="15"/>
      <c r="NY162" s="15"/>
      <c r="NZ162" s="15"/>
    </row>
    <row r="163" spans="2:390" ht="19.5" customHeight="1" x14ac:dyDescent="0.45">
      <c r="B163" s="1">
        <f t="shared" si="82"/>
        <v>4</v>
      </c>
      <c r="C163" s="1">
        <f>+C162</f>
        <v>10</v>
      </c>
      <c r="D163" s="1">
        <f>+D162+1</f>
        <v>4</v>
      </c>
      <c r="E163" s="59" t="str">
        <f t="shared" si="89"/>
        <v>4.10.4</v>
      </c>
      <c r="F163" s="23" t="s">
        <v>90</v>
      </c>
      <c r="G163" s="23"/>
      <c r="H163" s="52" t="s">
        <v>117</v>
      </c>
      <c r="I163" s="52"/>
      <c r="J163" s="61">
        <v>20</v>
      </c>
      <c r="K163" s="61">
        <v>0</v>
      </c>
      <c r="L163" s="55">
        <f>+J163-K163</f>
        <v>20</v>
      </c>
      <c r="M163" s="52"/>
      <c r="N163" s="52"/>
      <c r="O163" s="51"/>
      <c r="P163" s="51">
        <f>+SUM(AA163:NZ163)</f>
        <v>0</v>
      </c>
      <c r="Q163" s="51">
        <f>+O163-P163</f>
        <v>0</v>
      </c>
      <c r="R163" s="187"/>
      <c r="S163" s="64"/>
      <c r="T163" s="155" t="str">
        <f t="shared" si="86"/>
        <v/>
      </c>
      <c r="U163" s="22">
        <f>+K163/J163</f>
        <v>0</v>
      </c>
      <c r="V163" s="199">
        <f t="shared" si="87"/>
        <v>0</v>
      </c>
      <c r="W163" s="158"/>
      <c r="X163" s="159"/>
      <c r="Y163" s="199">
        <f t="shared" si="88"/>
        <v>0</v>
      </c>
      <c r="Z163" s="36"/>
      <c r="AA163" s="15"/>
      <c r="AB163" s="15"/>
      <c r="AC163" s="15"/>
      <c r="AD163" s="15"/>
      <c r="AE163" s="15"/>
      <c r="AF163" s="15"/>
      <c r="AG163" s="184"/>
      <c r="AH163" s="15"/>
      <c r="AI163" s="15"/>
      <c r="AJ163" s="15"/>
      <c r="AK163" s="15"/>
      <c r="AL163" s="15"/>
      <c r="AM163" s="15"/>
      <c r="AN163" s="184"/>
      <c r="AO163" s="15"/>
      <c r="AP163" s="15"/>
      <c r="AQ163" s="15"/>
      <c r="AR163" s="15"/>
      <c r="AS163" s="15"/>
      <c r="AT163" s="15"/>
      <c r="AU163" s="184"/>
      <c r="AV163" s="15"/>
      <c r="AW163" s="15"/>
      <c r="AX163" s="15"/>
      <c r="AY163" s="15"/>
      <c r="AZ163" s="15"/>
      <c r="BA163" s="15"/>
      <c r="BB163" s="184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84"/>
      <c r="CE163" s="15"/>
      <c r="CF163" s="15"/>
      <c r="CG163" s="15"/>
      <c r="CH163" s="15"/>
      <c r="CI163" s="15"/>
      <c r="CJ163" s="15"/>
      <c r="CK163" s="184"/>
      <c r="CL163" s="15"/>
      <c r="CM163" s="15"/>
      <c r="CN163" s="15"/>
      <c r="CO163" s="15"/>
      <c r="CP163" s="15"/>
      <c r="CQ163" s="15"/>
      <c r="CR163" s="184"/>
      <c r="CS163" s="15"/>
      <c r="CT163" s="15"/>
      <c r="CU163" s="15"/>
      <c r="CV163" s="15"/>
      <c r="CW163" s="15"/>
      <c r="CX163" s="15"/>
      <c r="CY163" s="184"/>
      <c r="CZ163" s="15"/>
      <c r="DA163" s="15"/>
      <c r="DB163" s="15"/>
      <c r="DC163" s="15"/>
      <c r="DD163" s="15"/>
      <c r="DE163" s="15"/>
      <c r="DF163" s="184"/>
      <c r="DG163" s="15"/>
      <c r="DH163" s="15"/>
      <c r="DI163" s="15"/>
      <c r="DJ163" s="15"/>
      <c r="DK163" s="15"/>
      <c r="DL163" s="15"/>
      <c r="DM163" s="184"/>
      <c r="DN163" s="15"/>
      <c r="DO163" s="15"/>
      <c r="DP163" s="15"/>
      <c r="DQ163" s="15"/>
      <c r="DR163" s="15"/>
      <c r="DS163" s="15"/>
      <c r="DT163" s="184"/>
      <c r="DU163" s="15"/>
      <c r="DV163" s="15"/>
      <c r="DW163" s="15"/>
      <c r="DX163" s="15"/>
      <c r="DY163" s="15"/>
      <c r="DZ163" s="15"/>
      <c r="EA163" s="184"/>
      <c r="EB163" s="15"/>
      <c r="EC163" s="15"/>
      <c r="ED163" s="15"/>
      <c r="EE163" s="15"/>
      <c r="EF163" s="15"/>
      <c r="EG163" s="15"/>
      <c r="EH163" s="184"/>
      <c r="EI163" s="15"/>
      <c r="EJ163" s="15"/>
      <c r="EK163" s="15"/>
      <c r="EL163" s="15"/>
      <c r="EM163" s="15"/>
      <c r="EN163" s="15"/>
      <c r="EO163" s="184"/>
      <c r="EP163" s="15"/>
      <c r="EQ163" s="15"/>
      <c r="ER163" s="15"/>
      <c r="ES163" s="15"/>
      <c r="ET163" s="15"/>
      <c r="EU163" s="15"/>
      <c r="EV163" s="184"/>
      <c r="EW163" s="15"/>
      <c r="EX163" s="15"/>
      <c r="EY163" s="15"/>
      <c r="EZ163" s="15"/>
      <c r="FA163" s="15"/>
      <c r="FB163" s="15"/>
      <c r="FC163" s="184"/>
      <c r="FD163" s="15"/>
      <c r="FE163" s="15"/>
      <c r="FF163" s="15"/>
      <c r="FG163" s="15"/>
      <c r="FH163" s="15"/>
      <c r="FI163" s="15"/>
      <c r="FJ163" s="184"/>
      <c r="FK163" s="15"/>
      <c r="FL163" s="15"/>
      <c r="FM163" s="15"/>
      <c r="FN163" s="15"/>
      <c r="FO163" s="15"/>
      <c r="FP163" s="15"/>
      <c r="FQ163" s="184"/>
      <c r="FR163" s="15"/>
      <c r="FS163" s="15"/>
      <c r="FT163" s="15"/>
      <c r="FU163" s="15"/>
      <c r="FV163" s="15"/>
      <c r="FW163" s="178"/>
      <c r="FX163" s="184"/>
      <c r="FY163" s="181"/>
      <c r="FZ163" s="15"/>
      <c r="GA163" s="15"/>
      <c r="GB163" s="15"/>
      <c r="GC163" s="15"/>
      <c r="GD163" s="15"/>
      <c r="GE163" s="184"/>
      <c r="GF163" s="15"/>
      <c r="GG163" s="15"/>
      <c r="GH163" s="15"/>
      <c r="GI163" s="15"/>
      <c r="GJ163" s="15"/>
      <c r="GK163" s="15"/>
      <c r="GL163" s="184"/>
      <c r="GM163" s="15"/>
      <c r="GN163" s="15"/>
      <c r="GO163" s="15"/>
      <c r="GP163" s="15"/>
      <c r="GQ163" s="15"/>
      <c r="GR163" s="15"/>
      <c r="GS163" s="184"/>
      <c r="GT163" s="15"/>
      <c r="GU163" s="15"/>
      <c r="GV163" s="15"/>
      <c r="GW163" s="15"/>
      <c r="GX163" s="15"/>
      <c r="GY163" s="15"/>
      <c r="GZ163" s="184"/>
      <c r="HA163" s="15"/>
      <c r="HB163" s="15"/>
      <c r="HC163" s="15"/>
      <c r="HD163" s="15"/>
      <c r="HE163" s="15"/>
      <c r="HF163" s="15"/>
      <c r="HG163" s="184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  <c r="JT163" s="15"/>
      <c r="JU163" s="15"/>
      <c r="JV163" s="15"/>
      <c r="JW163" s="15"/>
      <c r="JX163" s="15"/>
      <c r="JY163" s="15"/>
      <c r="JZ163" s="15"/>
      <c r="KA163" s="15"/>
      <c r="KB163" s="15"/>
      <c r="KC163" s="15"/>
      <c r="KD163" s="15"/>
      <c r="KE163" s="15"/>
      <c r="KF163" s="15"/>
      <c r="KG163" s="15"/>
      <c r="KH163" s="15"/>
      <c r="KI163" s="15"/>
      <c r="KJ163" s="15"/>
      <c r="KK163" s="15"/>
      <c r="KL163" s="15"/>
      <c r="KM163" s="15"/>
      <c r="KN163" s="15"/>
      <c r="KO163" s="15"/>
      <c r="KP163" s="15"/>
      <c r="KQ163" s="15"/>
      <c r="KR163" s="15"/>
      <c r="KS163" s="15"/>
      <c r="KT163" s="15"/>
      <c r="KU163" s="15"/>
      <c r="KV163" s="15"/>
      <c r="KW163" s="15"/>
      <c r="KX163" s="15"/>
      <c r="KY163" s="15"/>
      <c r="KZ163" s="15"/>
      <c r="LA163" s="15"/>
      <c r="LB163" s="15"/>
      <c r="LC163" s="15"/>
      <c r="LD163" s="15"/>
      <c r="LE163" s="15"/>
      <c r="LF163" s="15"/>
      <c r="LG163" s="15"/>
      <c r="LH163" s="15"/>
      <c r="LI163" s="15"/>
      <c r="LJ163" s="15"/>
      <c r="LK163" s="15"/>
      <c r="LL163" s="15"/>
      <c r="LM163" s="15"/>
      <c r="LN163" s="15"/>
      <c r="LO163" s="15"/>
      <c r="LP163" s="15"/>
      <c r="LQ163" s="15"/>
      <c r="LR163" s="15"/>
      <c r="LS163" s="15"/>
      <c r="LT163" s="15"/>
      <c r="LU163" s="15"/>
      <c r="LV163" s="15"/>
      <c r="LW163" s="15"/>
      <c r="LX163" s="15"/>
      <c r="LY163" s="15"/>
      <c r="LZ163" s="15"/>
      <c r="MA163" s="15"/>
      <c r="MB163" s="15"/>
      <c r="MC163" s="15"/>
      <c r="MD163" s="15"/>
      <c r="ME163" s="15"/>
      <c r="MF163" s="15"/>
      <c r="MG163" s="15"/>
      <c r="MH163" s="15"/>
      <c r="MI163" s="15"/>
      <c r="MJ163" s="15"/>
      <c r="MK163" s="15"/>
      <c r="ML163" s="15"/>
      <c r="MM163" s="15"/>
      <c r="MN163" s="15"/>
      <c r="MO163" s="15"/>
      <c r="MP163" s="15"/>
      <c r="MQ163" s="15"/>
      <c r="MR163" s="15"/>
      <c r="MS163" s="15"/>
      <c r="MT163" s="15"/>
      <c r="MU163" s="15"/>
      <c r="MV163" s="15"/>
      <c r="MW163" s="15"/>
      <c r="MX163" s="15"/>
      <c r="MY163" s="15"/>
      <c r="MZ163" s="15"/>
      <c r="NA163" s="15"/>
      <c r="NB163" s="15"/>
      <c r="NC163" s="15"/>
      <c r="ND163" s="15"/>
      <c r="NE163" s="15"/>
      <c r="NF163" s="15"/>
      <c r="NG163" s="15"/>
      <c r="NH163" s="15"/>
      <c r="NI163" s="15"/>
      <c r="NJ163" s="15"/>
      <c r="NK163" s="15"/>
      <c r="NL163" s="15"/>
      <c r="NM163" s="15"/>
      <c r="NN163" s="15"/>
      <c r="NO163" s="15"/>
      <c r="NP163" s="15"/>
      <c r="NQ163" s="15"/>
      <c r="NR163" s="15"/>
      <c r="NS163" s="15"/>
      <c r="NT163" s="15"/>
      <c r="NU163" s="15"/>
      <c r="NV163" s="15"/>
      <c r="NW163" s="15"/>
      <c r="NX163" s="15"/>
      <c r="NY163" s="15"/>
      <c r="NZ163" s="15"/>
    </row>
    <row r="164" spans="2:390" ht="19.5" customHeight="1" x14ac:dyDescent="0.45">
      <c r="B164" s="1">
        <f t="shared" si="82"/>
        <v>4</v>
      </c>
      <c r="C164" s="1">
        <f>+C163</f>
        <v>10</v>
      </c>
      <c r="D164" s="1">
        <f>+D163+1</f>
        <v>5</v>
      </c>
      <c r="E164" s="59" t="str">
        <f t="shared" si="89"/>
        <v>4.10.5</v>
      </c>
      <c r="F164" s="23" t="s">
        <v>91</v>
      </c>
      <c r="G164" s="191">
        <v>1.5</v>
      </c>
      <c r="H164" s="52" t="s">
        <v>117</v>
      </c>
      <c r="I164" s="52" t="s">
        <v>156</v>
      </c>
      <c r="J164" s="61">
        <v>20</v>
      </c>
      <c r="K164" s="61">
        <v>0</v>
      </c>
      <c r="L164" s="55">
        <f>+J164-K164</f>
        <v>20</v>
      </c>
      <c r="M164" s="52">
        <v>2</v>
      </c>
      <c r="N164" s="52">
        <v>18</v>
      </c>
      <c r="O164" s="51">
        <f t="shared" si="83"/>
        <v>36</v>
      </c>
      <c r="P164" s="51">
        <f>+SUM(AA164:NZ164)</f>
        <v>36</v>
      </c>
      <c r="Q164" s="51">
        <f>+O164-P164</f>
        <v>0</v>
      </c>
      <c r="R164" s="19">
        <v>46139</v>
      </c>
      <c r="S164" s="20">
        <v>5</v>
      </c>
      <c r="T164" s="21">
        <f t="shared" si="86"/>
        <v>46143</v>
      </c>
      <c r="U164" s="22">
        <f>+K164/J164</f>
        <v>0</v>
      </c>
      <c r="V164" s="199">
        <f t="shared" si="87"/>
        <v>0</v>
      </c>
      <c r="W164" s="158">
        <f>SUMIFS($AA164:$NZ164, $AA$8:$NZ$8, $W$12)/$O164</f>
        <v>0</v>
      </c>
      <c r="X164" s="159">
        <f>SUMIF($AA$9:$NZ$9, "&lt;=" &amp; $W$11,$AA164:$NZ164)/$O164</f>
        <v>0</v>
      </c>
      <c r="Y164" s="199">
        <f t="shared" si="88"/>
        <v>0</v>
      </c>
      <c r="Z164" s="36"/>
      <c r="AA164" s="15"/>
      <c r="AB164" s="15"/>
      <c r="AC164" s="15"/>
      <c r="AD164" s="15"/>
      <c r="AE164" s="15"/>
      <c r="AF164" s="15"/>
      <c r="AG164" s="184"/>
      <c r="AH164" s="15"/>
      <c r="AI164" s="15"/>
      <c r="AJ164" s="15"/>
      <c r="AK164" s="15"/>
      <c r="AL164" s="15"/>
      <c r="AM164" s="15"/>
      <c r="AN164" s="184"/>
      <c r="AO164" s="15"/>
      <c r="AP164" s="15"/>
      <c r="AQ164" s="15"/>
      <c r="AR164" s="15"/>
      <c r="AS164" s="15"/>
      <c r="AT164" s="15"/>
      <c r="AU164" s="184"/>
      <c r="AV164" s="15"/>
      <c r="AW164" s="15"/>
      <c r="AX164" s="15"/>
      <c r="AY164" s="15"/>
      <c r="AZ164" s="15"/>
      <c r="BA164" s="15"/>
      <c r="BB164" s="184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84"/>
      <c r="CE164" s="15"/>
      <c r="CF164" s="15"/>
      <c r="CG164" s="15"/>
      <c r="CH164" s="15"/>
      <c r="CI164" s="15"/>
      <c r="CJ164" s="15"/>
      <c r="CK164" s="184"/>
      <c r="CL164" s="15"/>
      <c r="CM164" s="15"/>
      <c r="CN164" s="15"/>
      <c r="CO164" s="15"/>
      <c r="CP164" s="15"/>
      <c r="CQ164" s="15"/>
      <c r="CR164" s="184"/>
      <c r="CS164" s="15"/>
      <c r="CT164" s="15"/>
      <c r="CU164" s="15"/>
      <c r="CV164" s="15"/>
      <c r="CW164" s="15"/>
      <c r="CX164" s="15"/>
      <c r="CY164" s="184"/>
      <c r="CZ164" s="15"/>
      <c r="DA164" s="15"/>
      <c r="DB164" s="15"/>
      <c r="DC164" s="15"/>
      <c r="DD164" s="15"/>
      <c r="DE164" s="15"/>
      <c r="DF164" s="184"/>
      <c r="DG164" s="15"/>
      <c r="DH164" s="15"/>
      <c r="DI164" s="15"/>
      <c r="DJ164" s="15"/>
      <c r="DK164" s="15"/>
      <c r="DL164" s="15"/>
      <c r="DM164" s="184"/>
      <c r="DN164" s="15"/>
      <c r="DO164" s="15"/>
      <c r="DP164" s="15"/>
      <c r="DQ164" s="15"/>
      <c r="DR164" s="15"/>
      <c r="DS164" s="15"/>
      <c r="DT164" s="184"/>
      <c r="DU164" s="15"/>
      <c r="DV164" s="15"/>
      <c r="DW164" s="15"/>
      <c r="DX164" s="15"/>
      <c r="DY164" s="15"/>
      <c r="DZ164" s="15"/>
      <c r="EA164" s="184"/>
      <c r="EB164" s="15"/>
      <c r="EC164" s="15"/>
      <c r="ED164" s="15"/>
      <c r="EE164" s="15"/>
      <c r="EF164" s="15"/>
      <c r="EG164" s="15"/>
      <c r="EH164" s="184"/>
      <c r="EI164" s="15"/>
      <c r="EJ164" s="15"/>
      <c r="EK164" s="15"/>
      <c r="EL164" s="15"/>
      <c r="EM164" s="15"/>
      <c r="EN164" s="15"/>
      <c r="EO164" s="184"/>
      <c r="EP164" s="15"/>
      <c r="EQ164" s="15"/>
      <c r="ER164" s="15"/>
      <c r="ES164" s="15"/>
      <c r="ET164" s="15"/>
      <c r="EU164" s="15"/>
      <c r="EV164" s="184"/>
      <c r="EW164" s="15"/>
      <c r="EX164" s="15"/>
      <c r="EY164" s="15"/>
      <c r="EZ164" s="15"/>
      <c r="FA164" s="15"/>
      <c r="FB164" s="15"/>
      <c r="FC164" s="184"/>
      <c r="FD164" s="15"/>
      <c r="FE164" s="15"/>
      <c r="FF164" s="15"/>
      <c r="FG164" s="15"/>
      <c r="FH164" s="15"/>
      <c r="FI164" s="15"/>
      <c r="FJ164" s="184"/>
      <c r="FK164" s="15"/>
      <c r="FL164" s="15"/>
      <c r="FM164" s="15"/>
      <c r="FN164" s="15"/>
      <c r="FO164" s="15"/>
      <c r="FP164" s="15"/>
      <c r="FQ164" s="184"/>
      <c r="FR164" s="15"/>
      <c r="FS164" s="15"/>
      <c r="FT164" s="15"/>
      <c r="FU164" s="15"/>
      <c r="FV164" s="15"/>
      <c r="FW164" s="178"/>
      <c r="FX164" s="184"/>
      <c r="FY164" s="181">
        <v>6</v>
      </c>
      <c r="FZ164" s="15">
        <v>6</v>
      </c>
      <c r="GA164" s="15">
        <v>6</v>
      </c>
      <c r="GB164" s="15">
        <v>6</v>
      </c>
      <c r="GC164" s="15">
        <v>6</v>
      </c>
      <c r="GD164" s="15">
        <v>6</v>
      </c>
      <c r="GE164" s="184"/>
      <c r="GF164" s="15"/>
      <c r="GG164" s="15"/>
      <c r="GH164" s="15"/>
      <c r="GI164" s="15"/>
      <c r="GJ164" s="15"/>
      <c r="GK164" s="15"/>
      <c r="GL164" s="184"/>
      <c r="GM164" s="15"/>
      <c r="GN164" s="15"/>
      <c r="GO164" s="15"/>
      <c r="GP164" s="15"/>
      <c r="GQ164" s="15"/>
      <c r="GR164" s="15"/>
      <c r="GS164" s="184"/>
      <c r="GT164" s="15"/>
      <c r="GU164" s="15"/>
      <c r="GV164" s="15"/>
      <c r="GW164" s="15"/>
      <c r="GX164" s="15"/>
      <c r="GY164" s="15"/>
      <c r="GZ164" s="184"/>
      <c r="HA164" s="15"/>
      <c r="HB164" s="15"/>
      <c r="HC164" s="15"/>
      <c r="HD164" s="15"/>
      <c r="HE164" s="15"/>
      <c r="HF164" s="15"/>
      <c r="HG164" s="184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  <c r="JT164" s="15"/>
      <c r="JU164" s="15"/>
      <c r="JV164" s="15"/>
      <c r="JW164" s="15"/>
      <c r="JX164" s="15"/>
      <c r="JY164" s="15"/>
      <c r="JZ164" s="15"/>
      <c r="KA164" s="15"/>
      <c r="KB164" s="15"/>
      <c r="KC164" s="15"/>
      <c r="KD164" s="15"/>
      <c r="KE164" s="15"/>
      <c r="KF164" s="15"/>
      <c r="KG164" s="15"/>
      <c r="KH164" s="15"/>
      <c r="KI164" s="15"/>
      <c r="KJ164" s="15"/>
      <c r="KK164" s="15"/>
      <c r="KL164" s="15"/>
      <c r="KM164" s="15"/>
      <c r="KN164" s="15"/>
      <c r="KO164" s="15"/>
      <c r="KP164" s="15"/>
      <c r="KQ164" s="15"/>
      <c r="KR164" s="15"/>
      <c r="KS164" s="15"/>
      <c r="KT164" s="15"/>
      <c r="KU164" s="15"/>
      <c r="KV164" s="15"/>
      <c r="KW164" s="15"/>
      <c r="KX164" s="15"/>
      <c r="KY164" s="15"/>
      <c r="KZ164" s="15"/>
      <c r="LA164" s="15"/>
      <c r="LB164" s="15"/>
      <c r="LC164" s="15"/>
      <c r="LD164" s="15"/>
      <c r="LE164" s="15"/>
      <c r="LF164" s="15"/>
      <c r="LG164" s="15"/>
      <c r="LH164" s="15"/>
      <c r="LI164" s="15"/>
      <c r="LJ164" s="15"/>
      <c r="LK164" s="15"/>
      <c r="LL164" s="15"/>
      <c r="LM164" s="15"/>
      <c r="LN164" s="15"/>
      <c r="LO164" s="15"/>
      <c r="LP164" s="15"/>
      <c r="LQ164" s="15"/>
      <c r="LR164" s="15"/>
      <c r="LS164" s="15"/>
      <c r="LT164" s="15"/>
      <c r="LU164" s="15"/>
      <c r="LV164" s="15"/>
      <c r="LW164" s="15"/>
      <c r="LX164" s="15"/>
      <c r="LY164" s="15"/>
      <c r="LZ164" s="15"/>
      <c r="MA164" s="15"/>
      <c r="MB164" s="15"/>
      <c r="MC164" s="15"/>
      <c r="MD164" s="15"/>
      <c r="ME164" s="15"/>
      <c r="MF164" s="15"/>
      <c r="MG164" s="15"/>
      <c r="MH164" s="15"/>
      <c r="MI164" s="15"/>
      <c r="MJ164" s="15"/>
      <c r="MK164" s="15"/>
      <c r="ML164" s="15"/>
      <c r="MM164" s="15"/>
      <c r="MN164" s="15"/>
      <c r="MO164" s="15"/>
      <c r="MP164" s="15"/>
      <c r="MQ164" s="15"/>
      <c r="MR164" s="15"/>
      <c r="MS164" s="15"/>
      <c r="MT164" s="15"/>
      <c r="MU164" s="15"/>
      <c r="MV164" s="15"/>
      <c r="MW164" s="15"/>
      <c r="MX164" s="15"/>
      <c r="MY164" s="15"/>
      <c r="MZ164" s="15"/>
      <c r="NA164" s="15"/>
      <c r="NB164" s="15"/>
      <c r="NC164" s="15"/>
      <c r="ND164" s="15"/>
      <c r="NE164" s="15"/>
      <c r="NF164" s="15"/>
      <c r="NG164" s="15"/>
      <c r="NH164" s="15"/>
      <c r="NI164" s="15"/>
      <c r="NJ164" s="15"/>
      <c r="NK164" s="15"/>
      <c r="NL164" s="15"/>
      <c r="NM164" s="15"/>
      <c r="NN164" s="15"/>
      <c r="NO164" s="15"/>
      <c r="NP164" s="15"/>
      <c r="NQ164" s="15"/>
      <c r="NR164" s="15"/>
      <c r="NS164" s="15"/>
      <c r="NT164" s="15"/>
      <c r="NU164" s="15"/>
      <c r="NV164" s="15"/>
      <c r="NW164" s="15"/>
      <c r="NX164" s="15"/>
      <c r="NY164" s="15"/>
      <c r="NZ164" s="15"/>
    </row>
    <row r="165" spans="2:390" ht="19.5" customHeight="1" x14ac:dyDescent="0.45">
      <c r="B165" s="1">
        <f t="shared" si="82"/>
        <v>4</v>
      </c>
      <c r="C165" s="1">
        <f>+C164+1</f>
        <v>11</v>
      </c>
      <c r="D165" s="1">
        <v>0</v>
      </c>
      <c r="E165" s="77" t="str">
        <f t="shared" si="89"/>
        <v>4.11.0</v>
      </c>
      <c r="F165" s="78" t="s">
        <v>103</v>
      </c>
      <c r="G165" s="78"/>
      <c r="H165" s="81"/>
      <c r="I165" s="81"/>
      <c r="J165" s="74"/>
      <c r="K165" s="74"/>
      <c r="L165" s="74"/>
      <c r="M165" s="78"/>
      <c r="N165" s="78"/>
      <c r="O165" s="78"/>
      <c r="P165" s="78"/>
      <c r="Q165" s="78"/>
      <c r="R165" s="79"/>
      <c r="S165" s="80"/>
      <c r="T165" s="89" t="str">
        <f>IF(S165&lt;&gt;"",IF(#REF!="x",WORKDAY(IF(WEEKDAY(R165,1)=7,R165+2,IF(WEEKDAY(R165,1)=1,R165+1,R165)),S165-1),R165+S165-1),"")</f>
        <v/>
      </c>
      <c r="U165" s="90"/>
      <c r="V165" s="90"/>
      <c r="W165" s="22"/>
      <c r="X165" s="22"/>
      <c r="Y165" s="22"/>
      <c r="Z165" s="36"/>
      <c r="AA165" s="15"/>
      <c r="AB165" s="15"/>
      <c r="AC165" s="15"/>
      <c r="AD165" s="15"/>
      <c r="AE165" s="15"/>
      <c r="AF165" s="15"/>
      <c r="AG165" s="184"/>
      <c r="AH165" s="15"/>
      <c r="AI165" s="15"/>
      <c r="AJ165" s="15"/>
      <c r="AK165" s="15"/>
      <c r="AL165" s="15"/>
      <c r="AM165" s="15"/>
      <c r="AN165" s="184"/>
      <c r="AO165" s="15"/>
      <c r="AP165" s="15"/>
      <c r="AQ165" s="15"/>
      <c r="AR165" s="15"/>
      <c r="AS165" s="15"/>
      <c r="AT165" s="15"/>
      <c r="AU165" s="184"/>
      <c r="AV165" s="15"/>
      <c r="AW165" s="15"/>
      <c r="AX165" s="15"/>
      <c r="AY165" s="15"/>
      <c r="AZ165" s="15"/>
      <c r="BA165" s="15"/>
      <c r="BB165" s="184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84"/>
      <c r="CE165" s="15"/>
      <c r="CF165" s="15"/>
      <c r="CG165" s="15"/>
      <c r="CH165" s="15"/>
      <c r="CI165" s="15"/>
      <c r="CJ165" s="15"/>
      <c r="CK165" s="184"/>
      <c r="CL165" s="15"/>
      <c r="CM165" s="15"/>
      <c r="CN165" s="15"/>
      <c r="CO165" s="15"/>
      <c r="CP165" s="15"/>
      <c r="CQ165" s="15"/>
      <c r="CR165" s="184"/>
      <c r="CS165" s="15"/>
      <c r="CT165" s="15"/>
      <c r="CU165" s="15"/>
      <c r="CV165" s="15"/>
      <c r="CW165" s="15"/>
      <c r="CX165" s="15"/>
      <c r="CY165" s="184"/>
      <c r="CZ165" s="15"/>
      <c r="DA165" s="15"/>
      <c r="DB165" s="15"/>
      <c r="DC165" s="15"/>
      <c r="DD165" s="15"/>
      <c r="DE165" s="15"/>
      <c r="DF165" s="184"/>
      <c r="DG165" s="15"/>
      <c r="DH165" s="15"/>
      <c r="DI165" s="15"/>
      <c r="DJ165" s="15"/>
      <c r="DK165" s="15"/>
      <c r="DL165" s="15"/>
      <c r="DM165" s="184"/>
      <c r="DN165" s="15"/>
      <c r="DO165" s="15"/>
      <c r="DP165" s="15"/>
      <c r="DQ165" s="15"/>
      <c r="DR165" s="15"/>
      <c r="DS165" s="15"/>
      <c r="DT165" s="184"/>
      <c r="DU165" s="15"/>
      <c r="DV165" s="15"/>
      <c r="DW165" s="15"/>
      <c r="DX165" s="15"/>
      <c r="DY165" s="15"/>
      <c r="DZ165" s="15"/>
      <c r="EA165" s="184"/>
      <c r="EB165" s="15"/>
      <c r="EC165" s="15"/>
      <c r="ED165" s="15"/>
      <c r="EE165" s="15"/>
      <c r="EF165" s="15"/>
      <c r="EG165" s="15"/>
      <c r="EH165" s="184"/>
      <c r="EI165" s="15"/>
      <c r="EJ165" s="15"/>
      <c r="EK165" s="15"/>
      <c r="EL165" s="15"/>
      <c r="EM165" s="15"/>
      <c r="EN165" s="15"/>
      <c r="EO165" s="184"/>
      <c r="EP165" s="15"/>
      <c r="EQ165" s="15"/>
      <c r="ER165" s="15"/>
      <c r="ES165" s="15"/>
      <c r="ET165" s="15"/>
      <c r="EU165" s="15"/>
      <c r="EV165" s="184"/>
      <c r="EW165" s="15"/>
      <c r="EX165" s="15"/>
      <c r="EY165" s="15"/>
      <c r="EZ165" s="15"/>
      <c r="FA165" s="15"/>
      <c r="FB165" s="15"/>
      <c r="FC165" s="184"/>
      <c r="FD165" s="15"/>
      <c r="FE165" s="15"/>
      <c r="FF165" s="15"/>
      <c r="FG165" s="15"/>
      <c r="FH165" s="15"/>
      <c r="FI165" s="15"/>
      <c r="FJ165" s="184"/>
      <c r="FK165" s="15"/>
      <c r="FL165" s="15"/>
      <c r="FM165" s="15"/>
      <c r="FN165" s="15"/>
      <c r="FO165" s="15"/>
      <c r="FP165" s="15"/>
      <c r="FQ165" s="184"/>
      <c r="FR165" s="15"/>
      <c r="FS165" s="15"/>
      <c r="FT165" s="15"/>
      <c r="FU165" s="15"/>
      <c r="FV165" s="15"/>
      <c r="FW165" s="178"/>
      <c r="FX165" s="184"/>
      <c r="FY165" s="181"/>
      <c r="FZ165" s="15"/>
      <c r="GA165" s="15"/>
      <c r="GB165" s="15"/>
      <c r="GC165" s="15"/>
      <c r="GD165" s="15"/>
      <c r="GE165" s="184"/>
      <c r="GF165" s="15"/>
      <c r="GG165" s="15"/>
      <c r="GH165" s="15"/>
      <c r="GI165" s="15"/>
      <c r="GJ165" s="15"/>
      <c r="GK165" s="15"/>
      <c r="GL165" s="184"/>
      <c r="GM165" s="15"/>
      <c r="GN165" s="15"/>
      <c r="GO165" s="15"/>
      <c r="GP165" s="15"/>
      <c r="GQ165" s="15"/>
      <c r="GR165" s="15"/>
      <c r="GS165" s="184"/>
      <c r="GT165" s="15"/>
      <c r="GU165" s="15"/>
      <c r="GV165" s="15"/>
      <c r="GW165" s="15"/>
      <c r="GX165" s="15"/>
      <c r="GY165" s="15"/>
      <c r="GZ165" s="184"/>
      <c r="HA165" s="15"/>
      <c r="HB165" s="15"/>
      <c r="HC165" s="15"/>
      <c r="HD165" s="15"/>
      <c r="HE165" s="15"/>
      <c r="HF165" s="15"/>
      <c r="HG165" s="184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  <c r="JT165" s="15"/>
      <c r="JU165" s="15"/>
      <c r="JV165" s="15"/>
      <c r="JW165" s="15"/>
      <c r="JX165" s="15"/>
      <c r="JY165" s="15"/>
      <c r="JZ165" s="15"/>
      <c r="KA165" s="15"/>
      <c r="KB165" s="15"/>
      <c r="KC165" s="15"/>
      <c r="KD165" s="15"/>
      <c r="KE165" s="15"/>
      <c r="KF165" s="15"/>
      <c r="KG165" s="15"/>
      <c r="KH165" s="15"/>
      <c r="KI165" s="15"/>
      <c r="KJ165" s="15"/>
      <c r="KK165" s="15"/>
      <c r="KL165" s="15"/>
      <c r="KM165" s="15"/>
      <c r="KN165" s="15"/>
      <c r="KO165" s="15"/>
      <c r="KP165" s="15"/>
      <c r="KQ165" s="15"/>
      <c r="KR165" s="15"/>
      <c r="KS165" s="15"/>
      <c r="KT165" s="15"/>
      <c r="KU165" s="15"/>
      <c r="KV165" s="15"/>
      <c r="KW165" s="15"/>
      <c r="KX165" s="15"/>
      <c r="KY165" s="15"/>
      <c r="KZ165" s="15"/>
      <c r="LA165" s="15"/>
      <c r="LB165" s="15"/>
      <c r="LC165" s="15"/>
      <c r="LD165" s="15"/>
      <c r="LE165" s="15"/>
      <c r="LF165" s="15"/>
      <c r="LG165" s="15"/>
      <c r="LH165" s="15"/>
      <c r="LI165" s="15"/>
      <c r="LJ165" s="15"/>
      <c r="LK165" s="15"/>
      <c r="LL165" s="15"/>
      <c r="LM165" s="15"/>
      <c r="LN165" s="15"/>
      <c r="LO165" s="15"/>
      <c r="LP165" s="15"/>
      <c r="LQ165" s="15"/>
      <c r="LR165" s="15"/>
      <c r="LS165" s="15"/>
      <c r="LT165" s="15"/>
      <c r="LU165" s="15"/>
      <c r="LV165" s="15"/>
      <c r="LW165" s="15"/>
      <c r="LX165" s="15"/>
      <c r="LY165" s="15"/>
      <c r="LZ165" s="15"/>
      <c r="MA165" s="15"/>
      <c r="MB165" s="15"/>
      <c r="MC165" s="15"/>
      <c r="MD165" s="15"/>
      <c r="ME165" s="15"/>
      <c r="MF165" s="15"/>
      <c r="MG165" s="15"/>
      <c r="MH165" s="15"/>
      <c r="MI165" s="15"/>
      <c r="MJ165" s="15"/>
      <c r="MK165" s="15"/>
      <c r="ML165" s="15"/>
      <c r="MM165" s="15"/>
      <c r="MN165" s="15"/>
      <c r="MO165" s="15"/>
      <c r="MP165" s="15"/>
      <c r="MQ165" s="15"/>
      <c r="MR165" s="15"/>
      <c r="MS165" s="15"/>
      <c r="MT165" s="15"/>
      <c r="MU165" s="15"/>
      <c r="MV165" s="15"/>
      <c r="MW165" s="15"/>
      <c r="MX165" s="15"/>
      <c r="MY165" s="15"/>
      <c r="MZ165" s="15"/>
      <c r="NA165" s="15"/>
      <c r="NB165" s="15"/>
      <c r="NC165" s="15"/>
      <c r="ND165" s="15"/>
      <c r="NE165" s="15"/>
      <c r="NF165" s="15"/>
      <c r="NG165" s="15"/>
      <c r="NH165" s="15"/>
      <c r="NI165" s="15"/>
      <c r="NJ165" s="15"/>
      <c r="NK165" s="15"/>
      <c r="NL165" s="15"/>
      <c r="NM165" s="15"/>
      <c r="NN165" s="15"/>
      <c r="NO165" s="15"/>
      <c r="NP165" s="15"/>
      <c r="NQ165" s="15"/>
      <c r="NR165" s="15"/>
      <c r="NS165" s="15"/>
      <c r="NT165" s="15"/>
      <c r="NU165" s="15"/>
      <c r="NV165" s="15"/>
      <c r="NW165" s="15"/>
      <c r="NX165" s="15"/>
      <c r="NY165" s="15"/>
      <c r="NZ165" s="15"/>
    </row>
    <row r="166" spans="2:390" ht="19.5" customHeight="1" x14ac:dyDescent="0.45">
      <c r="B166" s="1">
        <f t="shared" ref="B166:B172" si="90">+B165</f>
        <v>4</v>
      </c>
      <c r="C166" s="1">
        <f t="shared" ref="C166:C172" si="91">+C165</f>
        <v>11</v>
      </c>
      <c r="D166" s="1">
        <f t="shared" ref="D166:D172" si="92">+D165+1</f>
        <v>1</v>
      </c>
      <c r="E166" s="91" t="str">
        <f t="shared" si="89"/>
        <v>4.11.1</v>
      </c>
      <c r="F166" s="82" t="s">
        <v>107</v>
      </c>
      <c r="G166" s="82"/>
      <c r="H166" s="83" t="s">
        <v>117</v>
      </c>
      <c r="I166" s="83"/>
      <c r="J166" s="83"/>
      <c r="K166" s="83"/>
      <c r="L166" s="83"/>
      <c r="M166" s="83"/>
      <c r="N166" s="83"/>
      <c r="O166" s="83"/>
      <c r="P166" s="83"/>
      <c r="Q166" s="83"/>
      <c r="R166" s="79"/>
      <c r="S166" s="80"/>
      <c r="T166" s="89" t="str">
        <f>IF(S166&lt;&gt;"",IF(#REF!="x",WORKDAY(IF(WEEKDAY(R166,1)=7,R166+2,IF(WEEKDAY(R166,1)=1,R166+1,R166)),S166-1),R166+S166-1),"")</f>
        <v/>
      </c>
      <c r="U166" s="90"/>
      <c r="V166" s="90"/>
      <c r="W166" s="22"/>
      <c r="X166" s="22"/>
      <c r="Y166" s="22"/>
      <c r="Z166" s="36"/>
      <c r="AA166" s="15"/>
      <c r="AB166" s="15"/>
      <c r="AC166" s="15"/>
      <c r="AD166" s="15"/>
      <c r="AE166" s="15"/>
      <c r="AF166" s="15"/>
      <c r="AG166" s="184"/>
      <c r="AH166" s="15"/>
      <c r="AI166" s="15"/>
      <c r="AJ166" s="15"/>
      <c r="AK166" s="15"/>
      <c r="AL166" s="15"/>
      <c r="AM166" s="15"/>
      <c r="AN166" s="184"/>
      <c r="AO166" s="15"/>
      <c r="AP166" s="15"/>
      <c r="AQ166" s="15"/>
      <c r="AR166" s="15"/>
      <c r="AS166" s="15"/>
      <c r="AT166" s="15"/>
      <c r="AU166" s="184"/>
      <c r="AV166" s="15"/>
      <c r="AW166" s="15"/>
      <c r="AX166" s="15"/>
      <c r="AY166" s="15"/>
      <c r="AZ166" s="15"/>
      <c r="BA166" s="15"/>
      <c r="BB166" s="184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84"/>
      <c r="CE166" s="15"/>
      <c r="CF166" s="15"/>
      <c r="CG166" s="15"/>
      <c r="CH166" s="15"/>
      <c r="CI166" s="15"/>
      <c r="CJ166" s="15"/>
      <c r="CK166" s="184"/>
      <c r="CL166" s="15"/>
      <c r="CM166" s="15"/>
      <c r="CN166" s="15"/>
      <c r="CO166" s="15"/>
      <c r="CP166" s="15"/>
      <c r="CQ166" s="15"/>
      <c r="CR166" s="184"/>
      <c r="CS166" s="15"/>
      <c r="CT166" s="15"/>
      <c r="CU166" s="15"/>
      <c r="CV166" s="15"/>
      <c r="CW166" s="15"/>
      <c r="CX166" s="15"/>
      <c r="CY166" s="184"/>
      <c r="CZ166" s="15"/>
      <c r="DA166" s="15"/>
      <c r="DB166" s="15"/>
      <c r="DC166" s="15"/>
      <c r="DD166" s="15"/>
      <c r="DE166" s="15"/>
      <c r="DF166" s="184"/>
      <c r="DG166" s="15"/>
      <c r="DH166" s="15"/>
      <c r="DI166" s="15"/>
      <c r="DJ166" s="15"/>
      <c r="DK166" s="15"/>
      <c r="DL166" s="15"/>
      <c r="DM166" s="184"/>
      <c r="DN166" s="15"/>
      <c r="DO166" s="15"/>
      <c r="DP166" s="15"/>
      <c r="DQ166" s="15"/>
      <c r="DR166" s="15"/>
      <c r="DS166" s="15"/>
      <c r="DT166" s="184"/>
      <c r="DU166" s="15"/>
      <c r="DV166" s="15"/>
      <c r="DW166" s="15"/>
      <c r="DX166" s="15"/>
      <c r="DY166" s="15"/>
      <c r="DZ166" s="15"/>
      <c r="EA166" s="184"/>
      <c r="EB166" s="15"/>
      <c r="EC166" s="15"/>
      <c r="ED166" s="15"/>
      <c r="EE166" s="15"/>
      <c r="EF166" s="15"/>
      <c r="EG166" s="15"/>
      <c r="EH166" s="184"/>
      <c r="EI166" s="15"/>
      <c r="EJ166" s="15"/>
      <c r="EK166" s="15"/>
      <c r="EL166" s="15"/>
      <c r="EM166" s="15"/>
      <c r="EN166" s="15"/>
      <c r="EO166" s="184"/>
      <c r="EP166" s="15"/>
      <c r="EQ166" s="15"/>
      <c r="ER166" s="15"/>
      <c r="ES166" s="15"/>
      <c r="ET166" s="15"/>
      <c r="EU166" s="15"/>
      <c r="EV166" s="184"/>
      <c r="EW166" s="15"/>
      <c r="EX166" s="15"/>
      <c r="EY166" s="15"/>
      <c r="EZ166" s="15"/>
      <c r="FA166" s="15"/>
      <c r="FB166" s="15"/>
      <c r="FC166" s="184"/>
      <c r="FD166" s="15"/>
      <c r="FE166" s="15"/>
      <c r="FF166" s="15"/>
      <c r="FG166" s="15"/>
      <c r="FH166" s="15"/>
      <c r="FI166" s="15"/>
      <c r="FJ166" s="184"/>
      <c r="FK166" s="15"/>
      <c r="FL166" s="15"/>
      <c r="FM166" s="15"/>
      <c r="FN166" s="15"/>
      <c r="FO166" s="15"/>
      <c r="FP166" s="15"/>
      <c r="FQ166" s="184"/>
      <c r="FR166" s="15"/>
      <c r="FS166" s="15"/>
      <c r="FT166" s="15"/>
      <c r="FU166" s="15"/>
      <c r="FV166" s="15"/>
      <c r="FW166" s="178"/>
      <c r="FX166" s="184"/>
      <c r="FY166" s="181"/>
      <c r="FZ166" s="15"/>
      <c r="GA166" s="15"/>
      <c r="GB166" s="15"/>
      <c r="GC166" s="15"/>
      <c r="GD166" s="15"/>
      <c r="GE166" s="184"/>
      <c r="GF166" s="15"/>
      <c r="GG166" s="15"/>
      <c r="GH166" s="15"/>
      <c r="GI166" s="15"/>
      <c r="GJ166" s="15"/>
      <c r="GK166" s="15"/>
      <c r="GL166" s="184"/>
      <c r="GM166" s="15"/>
      <c r="GN166" s="15"/>
      <c r="GO166" s="15"/>
      <c r="GP166" s="15"/>
      <c r="GQ166" s="15"/>
      <c r="GR166" s="15"/>
      <c r="GS166" s="184"/>
      <c r="GT166" s="15"/>
      <c r="GU166" s="15"/>
      <c r="GV166" s="15"/>
      <c r="GW166" s="15"/>
      <c r="GX166" s="15"/>
      <c r="GY166" s="15"/>
      <c r="GZ166" s="184"/>
      <c r="HA166" s="15"/>
      <c r="HB166" s="15"/>
      <c r="HC166" s="15"/>
      <c r="HD166" s="15"/>
      <c r="HE166" s="15"/>
      <c r="HF166" s="15"/>
      <c r="HG166" s="184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  <c r="JT166" s="15"/>
      <c r="JU166" s="15"/>
      <c r="JV166" s="15"/>
      <c r="JW166" s="15"/>
      <c r="JX166" s="15"/>
      <c r="JY166" s="15"/>
      <c r="JZ166" s="15"/>
      <c r="KA166" s="15"/>
      <c r="KB166" s="15"/>
      <c r="KC166" s="15"/>
      <c r="KD166" s="15"/>
      <c r="KE166" s="15"/>
      <c r="KF166" s="15"/>
      <c r="KG166" s="15"/>
      <c r="KH166" s="15"/>
      <c r="KI166" s="15"/>
      <c r="KJ166" s="15"/>
      <c r="KK166" s="15"/>
      <c r="KL166" s="15"/>
      <c r="KM166" s="15"/>
      <c r="KN166" s="15"/>
      <c r="KO166" s="15"/>
      <c r="KP166" s="15"/>
      <c r="KQ166" s="15"/>
      <c r="KR166" s="15"/>
      <c r="KS166" s="15"/>
      <c r="KT166" s="15"/>
      <c r="KU166" s="15"/>
      <c r="KV166" s="15"/>
      <c r="KW166" s="15"/>
      <c r="KX166" s="15"/>
      <c r="KY166" s="15"/>
      <c r="KZ166" s="15"/>
      <c r="LA166" s="15"/>
      <c r="LB166" s="15"/>
      <c r="LC166" s="15"/>
      <c r="LD166" s="15"/>
      <c r="LE166" s="15"/>
      <c r="LF166" s="15"/>
      <c r="LG166" s="15"/>
      <c r="LH166" s="15"/>
      <c r="LI166" s="15"/>
      <c r="LJ166" s="15"/>
      <c r="LK166" s="15"/>
      <c r="LL166" s="15"/>
      <c r="LM166" s="15"/>
      <c r="LN166" s="15"/>
      <c r="LO166" s="15"/>
      <c r="LP166" s="15"/>
      <c r="LQ166" s="15"/>
      <c r="LR166" s="15"/>
      <c r="LS166" s="15"/>
      <c r="LT166" s="15"/>
      <c r="LU166" s="15"/>
      <c r="LV166" s="15"/>
      <c r="LW166" s="15"/>
      <c r="LX166" s="15"/>
      <c r="LY166" s="15"/>
      <c r="LZ166" s="15"/>
      <c r="MA166" s="15"/>
      <c r="MB166" s="15"/>
      <c r="MC166" s="15"/>
      <c r="MD166" s="15"/>
      <c r="ME166" s="15"/>
      <c r="MF166" s="15"/>
      <c r="MG166" s="15"/>
      <c r="MH166" s="15"/>
      <c r="MI166" s="15"/>
      <c r="MJ166" s="15"/>
      <c r="MK166" s="15"/>
      <c r="ML166" s="15"/>
      <c r="MM166" s="15"/>
      <c r="MN166" s="15"/>
      <c r="MO166" s="15"/>
      <c r="MP166" s="15"/>
      <c r="MQ166" s="15"/>
      <c r="MR166" s="15"/>
      <c r="MS166" s="15"/>
      <c r="MT166" s="15"/>
      <c r="MU166" s="15"/>
      <c r="MV166" s="15"/>
      <c r="MW166" s="15"/>
      <c r="MX166" s="15"/>
      <c r="MY166" s="15"/>
      <c r="MZ166" s="15"/>
      <c r="NA166" s="15"/>
      <c r="NB166" s="15"/>
      <c r="NC166" s="15"/>
      <c r="ND166" s="15"/>
      <c r="NE166" s="15"/>
      <c r="NF166" s="15"/>
      <c r="NG166" s="15"/>
      <c r="NH166" s="15"/>
      <c r="NI166" s="15"/>
      <c r="NJ166" s="15"/>
      <c r="NK166" s="15"/>
      <c r="NL166" s="15"/>
      <c r="NM166" s="15"/>
      <c r="NN166" s="15"/>
      <c r="NO166" s="15"/>
      <c r="NP166" s="15"/>
      <c r="NQ166" s="15"/>
      <c r="NR166" s="15"/>
      <c r="NS166" s="15"/>
      <c r="NT166" s="15"/>
      <c r="NU166" s="15"/>
      <c r="NV166" s="15"/>
      <c r="NW166" s="15"/>
      <c r="NX166" s="15"/>
      <c r="NY166" s="15"/>
      <c r="NZ166" s="15"/>
    </row>
    <row r="167" spans="2:390" ht="19.5" customHeight="1" x14ac:dyDescent="0.45">
      <c r="B167" s="1">
        <f t="shared" si="90"/>
        <v>4</v>
      </c>
      <c r="C167" s="1">
        <f t="shared" si="91"/>
        <v>11</v>
      </c>
      <c r="D167" s="1">
        <f t="shared" si="92"/>
        <v>2</v>
      </c>
      <c r="E167" s="91" t="str">
        <f t="shared" si="89"/>
        <v>4.11.2</v>
      </c>
      <c r="F167" s="82" t="s">
        <v>112</v>
      </c>
      <c r="G167" s="82"/>
      <c r="H167" s="83" t="s">
        <v>117</v>
      </c>
      <c r="I167" s="83"/>
      <c r="J167" s="83"/>
      <c r="K167" s="83"/>
      <c r="L167" s="83"/>
      <c r="M167" s="83"/>
      <c r="N167" s="83"/>
      <c r="O167" s="83"/>
      <c r="P167" s="83"/>
      <c r="Q167" s="83"/>
      <c r="R167" s="79"/>
      <c r="S167" s="80"/>
      <c r="T167" s="89" t="str">
        <f>IF(S167&lt;&gt;"",IF(#REF!="x",WORKDAY(IF(WEEKDAY(R167,1)=7,R167+2,IF(WEEKDAY(R167,1)=1,R167+1,R167)),S167-1),R167+S167-1),"")</f>
        <v/>
      </c>
      <c r="U167" s="90"/>
      <c r="V167" s="90"/>
      <c r="W167" s="22"/>
      <c r="X167" s="22"/>
      <c r="Y167" s="22"/>
      <c r="Z167" s="36"/>
      <c r="AA167" s="15"/>
      <c r="AB167" s="15"/>
      <c r="AC167" s="15"/>
      <c r="AD167" s="15"/>
      <c r="AE167" s="15"/>
      <c r="AF167" s="15"/>
      <c r="AG167" s="184"/>
      <c r="AH167" s="15"/>
      <c r="AI167" s="15"/>
      <c r="AJ167" s="15"/>
      <c r="AK167" s="15"/>
      <c r="AL167" s="15"/>
      <c r="AM167" s="15"/>
      <c r="AN167" s="184"/>
      <c r="AO167" s="15"/>
      <c r="AP167" s="15"/>
      <c r="AQ167" s="15"/>
      <c r="AR167" s="15"/>
      <c r="AS167" s="15"/>
      <c r="AT167" s="15"/>
      <c r="AU167" s="184"/>
      <c r="AV167" s="15"/>
      <c r="AW167" s="15"/>
      <c r="AX167" s="15"/>
      <c r="AY167" s="15"/>
      <c r="AZ167" s="15"/>
      <c r="BA167" s="15"/>
      <c r="BB167" s="184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84"/>
      <c r="CE167" s="15"/>
      <c r="CF167" s="15"/>
      <c r="CG167" s="15"/>
      <c r="CH167" s="15"/>
      <c r="CI167" s="15"/>
      <c r="CJ167" s="15"/>
      <c r="CK167" s="184"/>
      <c r="CL167" s="15"/>
      <c r="CM167" s="15"/>
      <c r="CN167" s="15"/>
      <c r="CO167" s="15"/>
      <c r="CP167" s="15"/>
      <c r="CQ167" s="15"/>
      <c r="CR167" s="184"/>
      <c r="CS167" s="15"/>
      <c r="CT167" s="15"/>
      <c r="CU167" s="15"/>
      <c r="CV167" s="15"/>
      <c r="CW167" s="15"/>
      <c r="CX167" s="15"/>
      <c r="CY167" s="184"/>
      <c r="CZ167" s="15"/>
      <c r="DA167" s="15"/>
      <c r="DB167" s="15"/>
      <c r="DC167" s="15"/>
      <c r="DD167" s="15"/>
      <c r="DE167" s="15"/>
      <c r="DF167" s="184"/>
      <c r="DG167" s="15"/>
      <c r="DH167" s="15"/>
      <c r="DI167" s="15"/>
      <c r="DJ167" s="15"/>
      <c r="DK167" s="15"/>
      <c r="DL167" s="15"/>
      <c r="DM167" s="184"/>
      <c r="DN167" s="15"/>
      <c r="DO167" s="15"/>
      <c r="DP167" s="15"/>
      <c r="DQ167" s="15"/>
      <c r="DR167" s="15"/>
      <c r="DS167" s="15"/>
      <c r="DT167" s="184"/>
      <c r="DU167" s="15"/>
      <c r="DV167" s="15"/>
      <c r="DW167" s="15"/>
      <c r="DX167" s="15"/>
      <c r="DY167" s="15"/>
      <c r="DZ167" s="15"/>
      <c r="EA167" s="184"/>
      <c r="EB167" s="15"/>
      <c r="EC167" s="15"/>
      <c r="ED167" s="15"/>
      <c r="EE167" s="15"/>
      <c r="EF167" s="15"/>
      <c r="EG167" s="15"/>
      <c r="EH167" s="184"/>
      <c r="EI167" s="15"/>
      <c r="EJ167" s="15"/>
      <c r="EK167" s="15"/>
      <c r="EL167" s="15"/>
      <c r="EM167" s="15"/>
      <c r="EN167" s="15"/>
      <c r="EO167" s="184"/>
      <c r="EP167" s="15"/>
      <c r="EQ167" s="15"/>
      <c r="ER167" s="15"/>
      <c r="ES167" s="15"/>
      <c r="ET167" s="15"/>
      <c r="EU167" s="15"/>
      <c r="EV167" s="184"/>
      <c r="EW167" s="15"/>
      <c r="EX167" s="15"/>
      <c r="EY167" s="15"/>
      <c r="EZ167" s="15"/>
      <c r="FA167" s="15"/>
      <c r="FB167" s="15"/>
      <c r="FC167" s="184"/>
      <c r="FD167" s="15"/>
      <c r="FE167" s="15"/>
      <c r="FF167" s="15"/>
      <c r="FG167" s="15"/>
      <c r="FH167" s="15"/>
      <c r="FI167" s="15"/>
      <c r="FJ167" s="184"/>
      <c r="FK167" s="15"/>
      <c r="FL167" s="15"/>
      <c r="FM167" s="15"/>
      <c r="FN167" s="15"/>
      <c r="FO167" s="15"/>
      <c r="FP167" s="15"/>
      <c r="FQ167" s="184"/>
      <c r="FR167" s="15"/>
      <c r="FS167" s="15"/>
      <c r="FT167" s="15"/>
      <c r="FU167" s="15"/>
      <c r="FV167" s="15"/>
      <c r="FW167" s="178"/>
      <c r="FX167" s="184"/>
      <c r="FY167" s="181"/>
      <c r="FZ167" s="15"/>
      <c r="GA167" s="15"/>
      <c r="GB167" s="15"/>
      <c r="GC167" s="15"/>
      <c r="GD167" s="15"/>
      <c r="GE167" s="184"/>
      <c r="GF167" s="15"/>
      <c r="GG167" s="15"/>
      <c r="GH167" s="15"/>
      <c r="GI167" s="15"/>
      <c r="GJ167" s="15"/>
      <c r="GK167" s="15"/>
      <c r="GL167" s="184"/>
      <c r="GM167" s="15"/>
      <c r="GN167" s="15"/>
      <c r="GO167" s="15"/>
      <c r="GP167" s="15"/>
      <c r="GQ167" s="15"/>
      <c r="GR167" s="15"/>
      <c r="GS167" s="184"/>
      <c r="GT167" s="15"/>
      <c r="GU167" s="15"/>
      <c r="GV167" s="15"/>
      <c r="GW167" s="15"/>
      <c r="GX167" s="15"/>
      <c r="GY167" s="15"/>
      <c r="GZ167" s="184"/>
      <c r="HA167" s="15"/>
      <c r="HB167" s="15"/>
      <c r="HC167" s="15"/>
      <c r="HD167" s="15"/>
      <c r="HE167" s="15"/>
      <c r="HF167" s="15"/>
      <c r="HG167" s="184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  <c r="JT167" s="15"/>
      <c r="JU167" s="15"/>
      <c r="JV167" s="15"/>
      <c r="JW167" s="15"/>
      <c r="JX167" s="15"/>
      <c r="JY167" s="15"/>
      <c r="JZ167" s="15"/>
      <c r="KA167" s="15"/>
      <c r="KB167" s="15"/>
      <c r="KC167" s="15"/>
      <c r="KD167" s="15"/>
      <c r="KE167" s="15"/>
      <c r="KF167" s="15"/>
      <c r="KG167" s="15"/>
      <c r="KH167" s="15"/>
      <c r="KI167" s="15"/>
      <c r="KJ167" s="15"/>
      <c r="KK167" s="15"/>
      <c r="KL167" s="15"/>
      <c r="KM167" s="15"/>
      <c r="KN167" s="15"/>
      <c r="KO167" s="15"/>
      <c r="KP167" s="15"/>
      <c r="KQ167" s="15"/>
      <c r="KR167" s="15"/>
      <c r="KS167" s="15"/>
      <c r="KT167" s="15"/>
      <c r="KU167" s="15"/>
      <c r="KV167" s="15"/>
      <c r="KW167" s="15"/>
      <c r="KX167" s="15"/>
      <c r="KY167" s="15"/>
      <c r="KZ167" s="15"/>
      <c r="LA167" s="15"/>
      <c r="LB167" s="15"/>
      <c r="LC167" s="15"/>
      <c r="LD167" s="15"/>
      <c r="LE167" s="15"/>
      <c r="LF167" s="15"/>
      <c r="LG167" s="15"/>
      <c r="LH167" s="15"/>
      <c r="LI167" s="15"/>
      <c r="LJ167" s="15"/>
      <c r="LK167" s="15"/>
      <c r="LL167" s="15"/>
      <c r="LM167" s="15"/>
      <c r="LN167" s="15"/>
      <c r="LO167" s="15"/>
      <c r="LP167" s="15"/>
      <c r="LQ167" s="15"/>
      <c r="LR167" s="15"/>
      <c r="LS167" s="15"/>
      <c r="LT167" s="15"/>
      <c r="LU167" s="15"/>
      <c r="LV167" s="15"/>
      <c r="LW167" s="15"/>
      <c r="LX167" s="15"/>
      <c r="LY167" s="15"/>
      <c r="LZ167" s="15"/>
      <c r="MA167" s="15"/>
      <c r="MB167" s="15"/>
      <c r="MC167" s="15"/>
      <c r="MD167" s="15"/>
      <c r="ME167" s="15"/>
      <c r="MF167" s="15"/>
      <c r="MG167" s="15"/>
      <c r="MH167" s="15"/>
      <c r="MI167" s="15"/>
      <c r="MJ167" s="15"/>
      <c r="MK167" s="15"/>
      <c r="ML167" s="15"/>
      <c r="MM167" s="15"/>
      <c r="MN167" s="15"/>
      <c r="MO167" s="15"/>
      <c r="MP167" s="15"/>
      <c r="MQ167" s="15"/>
      <c r="MR167" s="15"/>
      <c r="MS167" s="15"/>
      <c r="MT167" s="15"/>
      <c r="MU167" s="15"/>
      <c r="MV167" s="15"/>
      <c r="MW167" s="15"/>
      <c r="MX167" s="15"/>
      <c r="MY167" s="15"/>
      <c r="MZ167" s="15"/>
      <c r="NA167" s="15"/>
      <c r="NB167" s="15"/>
      <c r="NC167" s="15"/>
      <c r="ND167" s="15"/>
      <c r="NE167" s="15"/>
      <c r="NF167" s="15"/>
      <c r="NG167" s="15"/>
      <c r="NH167" s="15"/>
      <c r="NI167" s="15"/>
      <c r="NJ167" s="15"/>
      <c r="NK167" s="15"/>
      <c r="NL167" s="15"/>
      <c r="NM167" s="15"/>
      <c r="NN167" s="15"/>
      <c r="NO167" s="15"/>
      <c r="NP167" s="15"/>
      <c r="NQ167" s="15"/>
      <c r="NR167" s="15"/>
      <c r="NS167" s="15"/>
      <c r="NT167" s="15"/>
      <c r="NU167" s="15"/>
      <c r="NV167" s="15"/>
      <c r="NW167" s="15"/>
      <c r="NX167" s="15"/>
      <c r="NY167" s="15"/>
      <c r="NZ167" s="15"/>
    </row>
    <row r="168" spans="2:390" ht="19.5" customHeight="1" x14ac:dyDescent="0.45">
      <c r="B168" s="1">
        <f t="shared" si="90"/>
        <v>4</v>
      </c>
      <c r="C168" s="1">
        <f t="shared" si="91"/>
        <v>11</v>
      </c>
      <c r="D168" s="1">
        <f t="shared" si="92"/>
        <v>3</v>
      </c>
      <c r="E168" s="91" t="str">
        <f t="shared" si="89"/>
        <v>4.11.3</v>
      </c>
      <c r="F168" s="82" t="s">
        <v>108</v>
      </c>
      <c r="G168" s="82"/>
      <c r="H168" s="83" t="s">
        <v>117</v>
      </c>
      <c r="I168" s="83"/>
      <c r="J168" s="83"/>
      <c r="K168" s="83"/>
      <c r="L168" s="83"/>
      <c r="M168" s="83"/>
      <c r="N168" s="83"/>
      <c r="O168" s="83"/>
      <c r="P168" s="83"/>
      <c r="Q168" s="83"/>
      <c r="R168" s="79"/>
      <c r="S168" s="80"/>
      <c r="T168" s="89" t="str">
        <f>IF(S168&lt;&gt;"",IF(#REF!="x",WORKDAY(IF(WEEKDAY(R168,1)=7,R168+2,IF(WEEKDAY(R168,1)=1,R168+1,R168)),S168-1),R168+S168-1),"")</f>
        <v/>
      </c>
      <c r="U168" s="90"/>
      <c r="V168" s="90"/>
      <c r="W168" s="22"/>
      <c r="X168" s="22"/>
      <c r="Y168" s="22"/>
      <c r="Z168" s="36"/>
      <c r="AA168" s="15"/>
      <c r="AB168" s="15"/>
      <c r="AC168" s="15"/>
      <c r="AD168" s="15"/>
      <c r="AE168" s="15"/>
      <c r="AF168" s="15"/>
      <c r="AG168" s="184"/>
      <c r="AH168" s="15"/>
      <c r="AI168" s="15"/>
      <c r="AJ168" s="15"/>
      <c r="AK168" s="15"/>
      <c r="AL168" s="15"/>
      <c r="AM168" s="15"/>
      <c r="AN168" s="184"/>
      <c r="AO168" s="15"/>
      <c r="AP168" s="15"/>
      <c r="AQ168" s="15"/>
      <c r="AR168" s="15"/>
      <c r="AS168" s="15"/>
      <c r="AT168" s="15"/>
      <c r="AU168" s="184"/>
      <c r="AV168" s="15"/>
      <c r="AW168" s="15"/>
      <c r="AX168" s="15"/>
      <c r="AY168" s="15"/>
      <c r="AZ168" s="15"/>
      <c r="BA168" s="15"/>
      <c r="BB168" s="184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84"/>
      <c r="CE168" s="15"/>
      <c r="CF168" s="15"/>
      <c r="CG168" s="15"/>
      <c r="CH168" s="15"/>
      <c r="CI168" s="15"/>
      <c r="CJ168" s="15"/>
      <c r="CK168" s="184"/>
      <c r="CL168" s="15"/>
      <c r="CM168" s="15"/>
      <c r="CN168" s="15"/>
      <c r="CO168" s="15"/>
      <c r="CP168" s="15"/>
      <c r="CQ168" s="15"/>
      <c r="CR168" s="184"/>
      <c r="CS168" s="15"/>
      <c r="CT168" s="15"/>
      <c r="CU168" s="15"/>
      <c r="CV168" s="15"/>
      <c r="CW168" s="15"/>
      <c r="CX168" s="15"/>
      <c r="CY168" s="184"/>
      <c r="CZ168" s="15"/>
      <c r="DA168" s="15"/>
      <c r="DB168" s="15"/>
      <c r="DC168" s="15"/>
      <c r="DD168" s="15"/>
      <c r="DE168" s="15"/>
      <c r="DF168" s="184"/>
      <c r="DG168" s="15"/>
      <c r="DH168" s="15"/>
      <c r="DI168" s="15"/>
      <c r="DJ168" s="15"/>
      <c r="DK168" s="15"/>
      <c r="DL168" s="15"/>
      <c r="DM168" s="184"/>
      <c r="DN168" s="15"/>
      <c r="DO168" s="15"/>
      <c r="DP168" s="15"/>
      <c r="DQ168" s="15"/>
      <c r="DR168" s="15"/>
      <c r="DS168" s="15"/>
      <c r="DT168" s="184"/>
      <c r="DU168" s="15"/>
      <c r="DV168" s="15"/>
      <c r="DW168" s="15"/>
      <c r="DX168" s="15"/>
      <c r="DY168" s="15"/>
      <c r="DZ168" s="15"/>
      <c r="EA168" s="184"/>
      <c r="EB168" s="15"/>
      <c r="EC168" s="15"/>
      <c r="ED168" s="15"/>
      <c r="EE168" s="15"/>
      <c r="EF168" s="15"/>
      <c r="EG168" s="15"/>
      <c r="EH168" s="184"/>
      <c r="EI168" s="15"/>
      <c r="EJ168" s="15"/>
      <c r="EK168" s="15"/>
      <c r="EL168" s="15"/>
      <c r="EM168" s="15"/>
      <c r="EN168" s="15"/>
      <c r="EO168" s="184"/>
      <c r="EP168" s="15"/>
      <c r="EQ168" s="15"/>
      <c r="ER168" s="15"/>
      <c r="ES168" s="15"/>
      <c r="ET168" s="15"/>
      <c r="EU168" s="15"/>
      <c r="EV168" s="184"/>
      <c r="EW168" s="15"/>
      <c r="EX168" s="15"/>
      <c r="EY168" s="15"/>
      <c r="EZ168" s="15"/>
      <c r="FA168" s="15"/>
      <c r="FB168" s="15"/>
      <c r="FC168" s="184"/>
      <c r="FD168" s="15"/>
      <c r="FE168" s="15"/>
      <c r="FF168" s="15"/>
      <c r="FG168" s="15"/>
      <c r="FH168" s="15"/>
      <c r="FI168" s="15"/>
      <c r="FJ168" s="184"/>
      <c r="FK168" s="15"/>
      <c r="FL168" s="15"/>
      <c r="FM168" s="15"/>
      <c r="FN168" s="15"/>
      <c r="FO168" s="15"/>
      <c r="FP168" s="15"/>
      <c r="FQ168" s="184"/>
      <c r="FR168" s="15"/>
      <c r="FS168" s="15"/>
      <c r="FT168" s="15"/>
      <c r="FU168" s="15"/>
      <c r="FV168" s="15"/>
      <c r="FW168" s="178"/>
      <c r="FX168" s="184"/>
      <c r="FY168" s="181"/>
      <c r="FZ168" s="15"/>
      <c r="GA168" s="15"/>
      <c r="GB168" s="15"/>
      <c r="GC168" s="15"/>
      <c r="GD168" s="15"/>
      <c r="GE168" s="184"/>
      <c r="GF168" s="15"/>
      <c r="GG168" s="15"/>
      <c r="GH168" s="15"/>
      <c r="GI168" s="15"/>
      <c r="GJ168" s="15"/>
      <c r="GK168" s="15"/>
      <c r="GL168" s="184"/>
      <c r="GM168" s="15"/>
      <c r="GN168" s="15"/>
      <c r="GO168" s="15"/>
      <c r="GP168" s="15"/>
      <c r="GQ168" s="15"/>
      <c r="GR168" s="15"/>
      <c r="GS168" s="184"/>
      <c r="GT168" s="15"/>
      <c r="GU168" s="15"/>
      <c r="GV168" s="15"/>
      <c r="GW168" s="15"/>
      <c r="GX168" s="15"/>
      <c r="GY168" s="15"/>
      <c r="GZ168" s="184"/>
      <c r="HA168" s="15"/>
      <c r="HB168" s="15"/>
      <c r="HC168" s="15"/>
      <c r="HD168" s="15"/>
      <c r="HE168" s="15"/>
      <c r="HF168" s="15"/>
      <c r="HG168" s="184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  <c r="JT168" s="15"/>
      <c r="JU168" s="15"/>
      <c r="JV168" s="15"/>
      <c r="JW168" s="15"/>
      <c r="JX168" s="15"/>
      <c r="JY168" s="15"/>
      <c r="JZ168" s="15"/>
      <c r="KA168" s="15"/>
      <c r="KB168" s="15"/>
      <c r="KC168" s="15"/>
      <c r="KD168" s="15"/>
      <c r="KE168" s="15"/>
      <c r="KF168" s="15"/>
      <c r="KG168" s="15"/>
      <c r="KH168" s="15"/>
      <c r="KI168" s="15"/>
      <c r="KJ168" s="15"/>
      <c r="KK168" s="15"/>
      <c r="KL168" s="15"/>
      <c r="KM168" s="15"/>
      <c r="KN168" s="15"/>
      <c r="KO168" s="15"/>
      <c r="KP168" s="15"/>
      <c r="KQ168" s="15"/>
      <c r="KR168" s="15"/>
      <c r="KS168" s="15"/>
      <c r="KT168" s="15"/>
      <c r="KU168" s="15"/>
      <c r="KV168" s="15"/>
      <c r="KW168" s="15"/>
      <c r="KX168" s="15"/>
      <c r="KY168" s="15"/>
      <c r="KZ168" s="15"/>
      <c r="LA168" s="15"/>
      <c r="LB168" s="15"/>
      <c r="LC168" s="15"/>
      <c r="LD168" s="15"/>
      <c r="LE168" s="15"/>
      <c r="LF168" s="15"/>
      <c r="LG168" s="15"/>
      <c r="LH168" s="15"/>
      <c r="LI168" s="15"/>
      <c r="LJ168" s="15"/>
      <c r="LK168" s="15"/>
      <c r="LL168" s="15"/>
      <c r="LM168" s="15"/>
      <c r="LN168" s="15"/>
      <c r="LO168" s="15"/>
      <c r="LP168" s="15"/>
      <c r="LQ168" s="15"/>
      <c r="LR168" s="15"/>
      <c r="LS168" s="15"/>
      <c r="LT168" s="15"/>
      <c r="LU168" s="15"/>
      <c r="LV168" s="15"/>
      <c r="LW168" s="15"/>
      <c r="LX168" s="15"/>
      <c r="LY168" s="15"/>
      <c r="LZ168" s="15"/>
      <c r="MA168" s="15"/>
      <c r="MB168" s="15"/>
      <c r="MC168" s="15"/>
      <c r="MD168" s="15"/>
      <c r="ME168" s="15"/>
      <c r="MF168" s="15"/>
      <c r="MG168" s="15"/>
      <c r="MH168" s="15"/>
      <c r="MI168" s="15"/>
      <c r="MJ168" s="15"/>
      <c r="MK168" s="15"/>
      <c r="ML168" s="15"/>
      <c r="MM168" s="15"/>
      <c r="MN168" s="15"/>
      <c r="MO168" s="15"/>
      <c r="MP168" s="15"/>
      <c r="MQ168" s="15"/>
      <c r="MR168" s="15"/>
      <c r="MS168" s="15"/>
      <c r="MT168" s="15"/>
      <c r="MU168" s="15"/>
      <c r="MV168" s="15"/>
      <c r="MW168" s="15"/>
      <c r="MX168" s="15"/>
      <c r="MY168" s="15"/>
      <c r="MZ168" s="15"/>
      <c r="NA168" s="15"/>
      <c r="NB168" s="15"/>
      <c r="NC168" s="15"/>
      <c r="ND168" s="15"/>
      <c r="NE168" s="15"/>
      <c r="NF168" s="15"/>
      <c r="NG168" s="15"/>
      <c r="NH168" s="15"/>
      <c r="NI168" s="15"/>
      <c r="NJ168" s="15"/>
      <c r="NK168" s="15"/>
      <c r="NL168" s="15"/>
      <c r="NM168" s="15"/>
      <c r="NN168" s="15"/>
      <c r="NO168" s="15"/>
      <c r="NP168" s="15"/>
      <c r="NQ168" s="15"/>
      <c r="NR168" s="15"/>
      <c r="NS168" s="15"/>
      <c r="NT168" s="15"/>
      <c r="NU168" s="15"/>
      <c r="NV168" s="15"/>
      <c r="NW168" s="15"/>
      <c r="NX168" s="15"/>
      <c r="NY168" s="15"/>
      <c r="NZ168" s="15"/>
    </row>
    <row r="169" spans="2:390" ht="19.5" customHeight="1" x14ac:dyDescent="0.45">
      <c r="B169" s="1">
        <f t="shared" si="90"/>
        <v>4</v>
      </c>
      <c r="C169" s="1">
        <f t="shared" si="91"/>
        <v>11</v>
      </c>
      <c r="D169" s="1">
        <f t="shared" si="92"/>
        <v>4</v>
      </c>
      <c r="E169" s="91" t="str">
        <f t="shared" si="89"/>
        <v>4.11.4</v>
      </c>
      <c r="F169" s="82" t="s">
        <v>110</v>
      </c>
      <c r="G169" s="82"/>
      <c r="H169" s="83" t="s">
        <v>117</v>
      </c>
      <c r="I169" s="83"/>
      <c r="J169" s="83"/>
      <c r="K169" s="83"/>
      <c r="L169" s="83"/>
      <c r="M169" s="83"/>
      <c r="N169" s="83"/>
      <c r="O169" s="83"/>
      <c r="P169" s="83"/>
      <c r="Q169" s="83"/>
      <c r="R169" s="79"/>
      <c r="S169" s="80"/>
      <c r="T169" s="89" t="str">
        <f>IF(S169&lt;&gt;"",IF(#REF!="x",WORKDAY(IF(WEEKDAY(R169,1)=7,R169+2,IF(WEEKDAY(R169,1)=1,R169+1,R169)),S169-1),R169+S169-1),"")</f>
        <v/>
      </c>
      <c r="U169" s="90"/>
      <c r="V169" s="90"/>
      <c r="W169" s="22"/>
      <c r="X169" s="22"/>
      <c r="Y169" s="22"/>
      <c r="Z169" s="36"/>
      <c r="AA169" s="15"/>
      <c r="AB169" s="15"/>
      <c r="AC169" s="15"/>
      <c r="AD169" s="15"/>
      <c r="AE169" s="15"/>
      <c r="AF169" s="15"/>
      <c r="AG169" s="184"/>
      <c r="AH169" s="15"/>
      <c r="AI169" s="15"/>
      <c r="AJ169" s="15"/>
      <c r="AK169" s="15"/>
      <c r="AL169" s="15"/>
      <c r="AM169" s="15"/>
      <c r="AN169" s="184"/>
      <c r="AO169" s="15"/>
      <c r="AP169" s="15"/>
      <c r="AQ169" s="15"/>
      <c r="AR169" s="15"/>
      <c r="AS169" s="15"/>
      <c r="AT169" s="15"/>
      <c r="AU169" s="184"/>
      <c r="AV169" s="15"/>
      <c r="AW169" s="15"/>
      <c r="AX169" s="15"/>
      <c r="AY169" s="15"/>
      <c r="AZ169" s="15"/>
      <c r="BA169" s="15"/>
      <c r="BB169" s="184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84"/>
      <c r="CE169" s="15"/>
      <c r="CF169" s="15"/>
      <c r="CG169" s="15"/>
      <c r="CH169" s="15"/>
      <c r="CI169" s="15"/>
      <c r="CJ169" s="15"/>
      <c r="CK169" s="184"/>
      <c r="CL169" s="15"/>
      <c r="CM169" s="15"/>
      <c r="CN169" s="15"/>
      <c r="CO169" s="15"/>
      <c r="CP169" s="15"/>
      <c r="CQ169" s="15"/>
      <c r="CR169" s="184"/>
      <c r="CS169" s="15"/>
      <c r="CT169" s="15"/>
      <c r="CU169" s="15"/>
      <c r="CV169" s="15"/>
      <c r="CW169" s="15"/>
      <c r="CX169" s="15"/>
      <c r="CY169" s="184"/>
      <c r="CZ169" s="15"/>
      <c r="DA169" s="15"/>
      <c r="DB169" s="15"/>
      <c r="DC169" s="15"/>
      <c r="DD169" s="15"/>
      <c r="DE169" s="15"/>
      <c r="DF169" s="184"/>
      <c r="DG169" s="15"/>
      <c r="DH169" s="15"/>
      <c r="DI169" s="15"/>
      <c r="DJ169" s="15"/>
      <c r="DK169" s="15"/>
      <c r="DL169" s="15"/>
      <c r="DM169" s="184"/>
      <c r="DN169" s="15"/>
      <c r="DO169" s="15"/>
      <c r="DP169" s="15"/>
      <c r="DQ169" s="15"/>
      <c r="DR169" s="15"/>
      <c r="DS169" s="15"/>
      <c r="DT169" s="184"/>
      <c r="DU169" s="15"/>
      <c r="DV169" s="15"/>
      <c r="DW169" s="15"/>
      <c r="DX169" s="15"/>
      <c r="DY169" s="15"/>
      <c r="DZ169" s="15"/>
      <c r="EA169" s="184"/>
      <c r="EB169" s="15"/>
      <c r="EC169" s="15"/>
      <c r="ED169" s="15"/>
      <c r="EE169" s="15"/>
      <c r="EF169" s="15"/>
      <c r="EG169" s="15"/>
      <c r="EH169" s="184"/>
      <c r="EI169" s="15"/>
      <c r="EJ169" s="15"/>
      <c r="EK169" s="15"/>
      <c r="EL169" s="15"/>
      <c r="EM169" s="15"/>
      <c r="EN169" s="15"/>
      <c r="EO169" s="184"/>
      <c r="EP169" s="15"/>
      <c r="EQ169" s="15"/>
      <c r="ER169" s="15"/>
      <c r="ES169" s="15"/>
      <c r="ET169" s="15"/>
      <c r="EU169" s="15"/>
      <c r="EV169" s="184"/>
      <c r="EW169" s="15"/>
      <c r="EX169" s="15"/>
      <c r="EY169" s="15"/>
      <c r="EZ169" s="15"/>
      <c r="FA169" s="15"/>
      <c r="FB169" s="15"/>
      <c r="FC169" s="184"/>
      <c r="FD169" s="15"/>
      <c r="FE169" s="15"/>
      <c r="FF169" s="15"/>
      <c r="FG169" s="15"/>
      <c r="FH169" s="15"/>
      <c r="FI169" s="15"/>
      <c r="FJ169" s="184"/>
      <c r="FK169" s="15"/>
      <c r="FL169" s="15"/>
      <c r="FM169" s="15"/>
      <c r="FN169" s="15"/>
      <c r="FO169" s="15"/>
      <c r="FP169" s="15"/>
      <c r="FQ169" s="184"/>
      <c r="FR169" s="15"/>
      <c r="FS169" s="15"/>
      <c r="FT169" s="15"/>
      <c r="FU169" s="15"/>
      <c r="FV169" s="15"/>
      <c r="FW169" s="178"/>
      <c r="FX169" s="184"/>
      <c r="FY169" s="181"/>
      <c r="FZ169" s="15"/>
      <c r="GA169" s="15"/>
      <c r="GB169" s="15"/>
      <c r="GC169" s="15"/>
      <c r="GD169" s="15"/>
      <c r="GE169" s="184"/>
      <c r="GF169" s="15"/>
      <c r="GG169" s="15"/>
      <c r="GH169" s="15"/>
      <c r="GI169" s="15"/>
      <c r="GJ169" s="15"/>
      <c r="GK169" s="15"/>
      <c r="GL169" s="184"/>
      <c r="GM169" s="15"/>
      <c r="GN169" s="15"/>
      <c r="GO169" s="15"/>
      <c r="GP169" s="15"/>
      <c r="GQ169" s="15"/>
      <c r="GR169" s="15"/>
      <c r="GS169" s="184"/>
      <c r="GT169" s="15"/>
      <c r="GU169" s="15"/>
      <c r="GV169" s="15"/>
      <c r="GW169" s="15"/>
      <c r="GX169" s="15"/>
      <c r="GY169" s="15"/>
      <c r="GZ169" s="184"/>
      <c r="HA169" s="15"/>
      <c r="HB169" s="15"/>
      <c r="HC169" s="15"/>
      <c r="HD169" s="15"/>
      <c r="HE169" s="15"/>
      <c r="HF169" s="15"/>
      <c r="HG169" s="184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  <c r="JT169" s="15"/>
      <c r="JU169" s="15"/>
      <c r="JV169" s="15"/>
      <c r="JW169" s="15"/>
      <c r="JX169" s="15"/>
      <c r="JY169" s="15"/>
      <c r="JZ169" s="15"/>
      <c r="KA169" s="15"/>
      <c r="KB169" s="15"/>
      <c r="KC169" s="15"/>
      <c r="KD169" s="15"/>
      <c r="KE169" s="15"/>
      <c r="KF169" s="15"/>
      <c r="KG169" s="15"/>
      <c r="KH169" s="15"/>
      <c r="KI169" s="15"/>
      <c r="KJ169" s="15"/>
      <c r="KK169" s="15"/>
      <c r="KL169" s="15"/>
      <c r="KM169" s="15"/>
      <c r="KN169" s="15"/>
      <c r="KO169" s="15"/>
      <c r="KP169" s="15"/>
      <c r="KQ169" s="15"/>
      <c r="KR169" s="15"/>
      <c r="KS169" s="15"/>
      <c r="KT169" s="15"/>
      <c r="KU169" s="15"/>
      <c r="KV169" s="15"/>
      <c r="KW169" s="15"/>
      <c r="KX169" s="15"/>
      <c r="KY169" s="15"/>
      <c r="KZ169" s="15"/>
      <c r="LA169" s="15"/>
      <c r="LB169" s="15"/>
      <c r="LC169" s="15"/>
      <c r="LD169" s="15"/>
      <c r="LE169" s="15"/>
      <c r="LF169" s="15"/>
      <c r="LG169" s="15"/>
      <c r="LH169" s="15"/>
      <c r="LI169" s="15"/>
      <c r="LJ169" s="15"/>
      <c r="LK169" s="15"/>
      <c r="LL169" s="15"/>
      <c r="LM169" s="15"/>
      <c r="LN169" s="15"/>
      <c r="LO169" s="15"/>
      <c r="LP169" s="15"/>
      <c r="LQ169" s="15"/>
      <c r="LR169" s="15"/>
      <c r="LS169" s="15"/>
      <c r="LT169" s="15"/>
      <c r="LU169" s="15"/>
      <c r="LV169" s="15"/>
      <c r="LW169" s="15"/>
      <c r="LX169" s="15"/>
      <c r="LY169" s="15"/>
      <c r="LZ169" s="15"/>
      <c r="MA169" s="15"/>
      <c r="MB169" s="15"/>
      <c r="MC169" s="15"/>
      <c r="MD169" s="15"/>
      <c r="ME169" s="15"/>
      <c r="MF169" s="15"/>
      <c r="MG169" s="15"/>
      <c r="MH169" s="15"/>
      <c r="MI169" s="15"/>
      <c r="MJ169" s="15"/>
      <c r="MK169" s="15"/>
      <c r="ML169" s="15"/>
      <c r="MM169" s="15"/>
      <c r="MN169" s="15"/>
      <c r="MO169" s="15"/>
      <c r="MP169" s="15"/>
      <c r="MQ169" s="15"/>
      <c r="MR169" s="15"/>
      <c r="MS169" s="15"/>
      <c r="MT169" s="15"/>
      <c r="MU169" s="15"/>
      <c r="MV169" s="15"/>
      <c r="MW169" s="15"/>
      <c r="MX169" s="15"/>
      <c r="MY169" s="15"/>
      <c r="MZ169" s="15"/>
      <c r="NA169" s="15"/>
      <c r="NB169" s="15"/>
      <c r="NC169" s="15"/>
      <c r="ND169" s="15"/>
      <c r="NE169" s="15"/>
      <c r="NF169" s="15"/>
      <c r="NG169" s="15"/>
      <c r="NH169" s="15"/>
      <c r="NI169" s="15"/>
      <c r="NJ169" s="15"/>
      <c r="NK169" s="15"/>
      <c r="NL169" s="15"/>
      <c r="NM169" s="15"/>
      <c r="NN169" s="15"/>
      <c r="NO169" s="15"/>
      <c r="NP169" s="15"/>
      <c r="NQ169" s="15"/>
      <c r="NR169" s="15"/>
      <c r="NS169" s="15"/>
      <c r="NT169" s="15"/>
      <c r="NU169" s="15"/>
      <c r="NV169" s="15"/>
      <c r="NW169" s="15"/>
      <c r="NX169" s="15"/>
      <c r="NY169" s="15"/>
      <c r="NZ169" s="15"/>
    </row>
    <row r="170" spans="2:390" ht="19.5" customHeight="1" x14ac:dyDescent="0.45">
      <c r="B170" s="1">
        <f t="shared" si="90"/>
        <v>4</v>
      </c>
      <c r="C170" s="1">
        <f t="shared" si="91"/>
        <v>11</v>
      </c>
      <c r="D170" s="1">
        <f t="shared" si="92"/>
        <v>5</v>
      </c>
      <c r="E170" s="91" t="str">
        <f t="shared" si="89"/>
        <v>4.11.5</v>
      </c>
      <c r="F170" s="82" t="s">
        <v>109</v>
      </c>
      <c r="G170" s="82"/>
      <c r="H170" s="83" t="s">
        <v>117</v>
      </c>
      <c r="I170" s="83"/>
      <c r="J170" s="83"/>
      <c r="K170" s="83"/>
      <c r="L170" s="83"/>
      <c r="M170" s="83"/>
      <c r="N170" s="83"/>
      <c r="O170" s="83"/>
      <c r="P170" s="83"/>
      <c r="Q170" s="83"/>
      <c r="R170" s="79"/>
      <c r="S170" s="80"/>
      <c r="T170" s="89" t="str">
        <f>IF(S170&lt;&gt;"",IF(#REF!="x",WORKDAY(IF(WEEKDAY(R170,1)=7,R170+2,IF(WEEKDAY(R170,1)=1,R170+1,R170)),S170-1),R170+S170-1),"")</f>
        <v/>
      </c>
      <c r="U170" s="90"/>
      <c r="V170" s="90"/>
      <c r="W170" s="22"/>
      <c r="X170" s="22"/>
      <c r="Y170" s="22"/>
      <c r="Z170" s="36"/>
      <c r="AA170" s="15"/>
      <c r="AB170" s="15"/>
      <c r="AC170" s="15"/>
      <c r="AD170" s="15"/>
      <c r="AE170" s="15"/>
      <c r="AF170" s="15"/>
      <c r="AG170" s="184"/>
      <c r="AH170" s="15"/>
      <c r="AI170" s="15"/>
      <c r="AJ170" s="15"/>
      <c r="AK170" s="15"/>
      <c r="AL170" s="15"/>
      <c r="AM170" s="15"/>
      <c r="AN170" s="184"/>
      <c r="AO170" s="15"/>
      <c r="AP170" s="15"/>
      <c r="AQ170" s="15"/>
      <c r="AR170" s="15"/>
      <c r="AS170" s="15"/>
      <c r="AT170" s="15"/>
      <c r="AU170" s="184"/>
      <c r="AV170" s="15"/>
      <c r="AW170" s="15"/>
      <c r="AX170" s="15"/>
      <c r="AY170" s="15"/>
      <c r="AZ170" s="15"/>
      <c r="BA170" s="15"/>
      <c r="BB170" s="184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84"/>
      <c r="CE170" s="15"/>
      <c r="CF170" s="15"/>
      <c r="CG170" s="15"/>
      <c r="CH170" s="15"/>
      <c r="CI170" s="15"/>
      <c r="CJ170" s="15"/>
      <c r="CK170" s="184"/>
      <c r="CL170" s="15"/>
      <c r="CM170" s="15"/>
      <c r="CN170" s="15"/>
      <c r="CO170" s="15"/>
      <c r="CP170" s="15"/>
      <c r="CQ170" s="15"/>
      <c r="CR170" s="184"/>
      <c r="CS170" s="15"/>
      <c r="CT170" s="15"/>
      <c r="CU170" s="15"/>
      <c r="CV170" s="15"/>
      <c r="CW170" s="15"/>
      <c r="CX170" s="15"/>
      <c r="CY170" s="184"/>
      <c r="CZ170" s="15"/>
      <c r="DA170" s="15"/>
      <c r="DB170" s="15"/>
      <c r="DC170" s="15"/>
      <c r="DD170" s="15"/>
      <c r="DE170" s="15"/>
      <c r="DF170" s="184"/>
      <c r="DG170" s="15"/>
      <c r="DH170" s="15"/>
      <c r="DI170" s="15"/>
      <c r="DJ170" s="15"/>
      <c r="DK170" s="15"/>
      <c r="DL170" s="15"/>
      <c r="DM170" s="184"/>
      <c r="DN170" s="15"/>
      <c r="DO170" s="15"/>
      <c r="DP170" s="15"/>
      <c r="DQ170" s="15"/>
      <c r="DR170" s="15"/>
      <c r="DS170" s="15"/>
      <c r="DT170" s="184"/>
      <c r="DU170" s="15"/>
      <c r="DV170" s="15"/>
      <c r="DW170" s="15"/>
      <c r="DX170" s="15"/>
      <c r="DY170" s="15"/>
      <c r="DZ170" s="15"/>
      <c r="EA170" s="184"/>
      <c r="EB170" s="15"/>
      <c r="EC170" s="15"/>
      <c r="ED170" s="15"/>
      <c r="EE170" s="15"/>
      <c r="EF170" s="15"/>
      <c r="EG170" s="15"/>
      <c r="EH170" s="184"/>
      <c r="EI170" s="15"/>
      <c r="EJ170" s="15"/>
      <c r="EK170" s="15"/>
      <c r="EL170" s="15"/>
      <c r="EM170" s="15"/>
      <c r="EN170" s="15"/>
      <c r="EO170" s="184"/>
      <c r="EP170" s="15"/>
      <c r="EQ170" s="15"/>
      <c r="ER170" s="15"/>
      <c r="ES170" s="15"/>
      <c r="ET170" s="15"/>
      <c r="EU170" s="15"/>
      <c r="EV170" s="184"/>
      <c r="EW170" s="15"/>
      <c r="EX170" s="15"/>
      <c r="EY170" s="15"/>
      <c r="EZ170" s="15"/>
      <c r="FA170" s="15"/>
      <c r="FB170" s="15"/>
      <c r="FC170" s="184"/>
      <c r="FD170" s="15"/>
      <c r="FE170" s="15"/>
      <c r="FF170" s="15"/>
      <c r="FG170" s="15"/>
      <c r="FH170" s="15"/>
      <c r="FI170" s="15"/>
      <c r="FJ170" s="184"/>
      <c r="FK170" s="15"/>
      <c r="FL170" s="15"/>
      <c r="FM170" s="15"/>
      <c r="FN170" s="15"/>
      <c r="FO170" s="15"/>
      <c r="FP170" s="15"/>
      <c r="FQ170" s="184"/>
      <c r="FR170" s="15"/>
      <c r="FS170" s="15"/>
      <c r="FT170" s="15"/>
      <c r="FU170" s="15"/>
      <c r="FV170" s="15"/>
      <c r="FW170" s="178"/>
      <c r="FX170" s="184"/>
      <c r="FY170" s="181"/>
      <c r="FZ170" s="15"/>
      <c r="GA170" s="15"/>
      <c r="GB170" s="15"/>
      <c r="GC170" s="15"/>
      <c r="GD170" s="15"/>
      <c r="GE170" s="184"/>
      <c r="GF170" s="15"/>
      <c r="GG170" s="15"/>
      <c r="GH170" s="15"/>
      <c r="GI170" s="15"/>
      <c r="GJ170" s="15"/>
      <c r="GK170" s="15"/>
      <c r="GL170" s="184"/>
      <c r="GM170" s="15"/>
      <c r="GN170" s="15"/>
      <c r="GO170" s="15"/>
      <c r="GP170" s="15"/>
      <c r="GQ170" s="15"/>
      <c r="GR170" s="15"/>
      <c r="GS170" s="184"/>
      <c r="GT170" s="15"/>
      <c r="GU170" s="15"/>
      <c r="GV170" s="15"/>
      <c r="GW170" s="15"/>
      <c r="GX170" s="15"/>
      <c r="GY170" s="15"/>
      <c r="GZ170" s="184"/>
      <c r="HA170" s="15"/>
      <c r="HB170" s="15"/>
      <c r="HC170" s="15"/>
      <c r="HD170" s="15"/>
      <c r="HE170" s="15"/>
      <c r="HF170" s="15"/>
      <c r="HG170" s="184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  <c r="JT170" s="15"/>
      <c r="JU170" s="15"/>
      <c r="JV170" s="15"/>
      <c r="JW170" s="15"/>
      <c r="JX170" s="15"/>
      <c r="JY170" s="15"/>
      <c r="JZ170" s="15"/>
      <c r="KA170" s="15"/>
      <c r="KB170" s="15"/>
      <c r="KC170" s="15"/>
      <c r="KD170" s="15"/>
      <c r="KE170" s="15"/>
      <c r="KF170" s="15"/>
      <c r="KG170" s="15"/>
      <c r="KH170" s="15"/>
      <c r="KI170" s="15"/>
      <c r="KJ170" s="15"/>
      <c r="KK170" s="15"/>
      <c r="KL170" s="15"/>
      <c r="KM170" s="15"/>
      <c r="KN170" s="15"/>
      <c r="KO170" s="15"/>
      <c r="KP170" s="15"/>
      <c r="KQ170" s="15"/>
      <c r="KR170" s="15"/>
      <c r="KS170" s="15"/>
      <c r="KT170" s="15"/>
      <c r="KU170" s="15"/>
      <c r="KV170" s="15"/>
      <c r="KW170" s="15"/>
      <c r="KX170" s="15"/>
      <c r="KY170" s="15"/>
      <c r="KZ170" s="15"/>
      <c r="LA170" s="15"/>
      <c r="LB170" s="15"/>
      <c r="LC170" s="15"/>
      <c r="LD170" s="15"/>
      <c r="LE170" s="15"/>
      <c r="LF170" s="15"/>
      <c r="LG170" s="15"/>
      <c r="LH170" s="15"/>
      <c r="LI170" s="15"/>
      <c r="LJ170" s="15"/>
      <c r="LK170" s="15"/>
      <c r="LL170" s="15"/>
      <c r="LM170" s="15"/>
      <c r="LN170" s="15"/>
      <c r="LO170" s="15"/>
      <c r="LP170" s="15"/>
      <c r="LQ170" s="15"/>
      <c r="LR170" s="15"/>
      <c r="LS170" s="15"/>
      <c r="LT170" s="15"/>
      <c r="LU170" s="15"/>
      <c r="LV170" s="15"/>
      <c r="LW170" s="15"/>
      <c r="LX170" s="15"/>
      <c r="LY170" s="15"/>
      <c r="LZ170" s="15"/>
      <c r="MA170" s="15"/>
      <c r="MB170" s="15"/>
      <c r="MC170" s="15"/>
      <c r="MD170" s="15"/>
      <c r="ME170" s="15"/>
      <c r="MF170" s="15"/>
      <c r="MG170" s="15"/>
      <c r="MH170" s="15"/>
      <c r="MI170" s="15"/>
      <c r="MJ170" s="15"/>
      <c r="MK170" s="15"/>
      <c r="ML170" s="15"/>
      <c r="MM170" s="15"/>
      <c r="MN170" s="15"/>
      <c r="MO170" s="15"/>
      <c r="MP170" s="15"/>
      <c r="MQ170" s="15"/>
      <c r="MR170" s="15"/>
      <c r="MS170" s="15"/>
      <c r="MT170" s="15"/>
      <c r="MU170" s="15"/>
      <c r="MV170" s="15"/>
      <c r="MW170" s="15"/>
      <c r="MX170" s="15"/>
      <c r="MY170" s="15"/>
      <c r="MZ170" s="15"/>
      <c r="NA170" s="15"/>
      <c r="NB170" s="15"/>
      <c r="NC170" s="15"/>
      <c r="ND170" s="15"/>
      <c r="NE170" s="15"/>
      <c r="NF170" s="15"/>
      <c r="NG170" s="15"/>
      <c r="NH170" s="15"/>
      <c r="NI170" s="15"/>
      <c r="NJ170" s="15"/>
      <c r="NK170" s="15"/>
      <c r="NL170" s="15"/>
      <c r="NM170" s="15"/>
      <c r="NN170" s="15"/>
      <c r="NO170" s="15"/>
      <c r="NP170" s="15"/>
      <c r="NQ170" s="15"/>
      <c r="NR170" s="15"/>
      <c r="NS170" s="15"/>
      <c r="NT170" s="15"/>
      <c r="NU170" s="15"/>
      <c r="NV170" s="15"/>
      <c r="NW170" s="15"/>
      <c r="NX170" s="15"/>
      <c r="NY170" s="15"/>
      <c r="NZ170" s="15"/>
    </row>
    <row r="171" spans="2:390" ht="19.5" customHeight="1" x14ac:dyDescent="0.45">
      <c r="B171" s="1">
        <f t="shared" si="90"/>
        <v>4</v>
      </c>
      <c r="C171" s="1">
        <f t="shared" si="91"/>
        <v>11</v>
      </c>
      <c r="D171" s="1">
        <f t="shared" si="92"/>
        <v>6</v>
      </c>
      <c r="E171" s="91" t="str">
        <f t="shared" si="89"/>
        <v>4.11.6</v>
      </c>
      <c r="F171" s="82" t="s">
        <v>111</v>
      </c>
      <c r="G171" s="82"/>
      <c r="H171" s="83" t="s">
        <v>117</v>
      </c>
      <c r="I171" s="83"/>
      <c r="J171" s="83"/>
      <c r="K171" s="83"/>
      <c r="L171" s="83"/>
      <c r="M171" s="83"/>
      <c r="N171" s="83"/>
      <c r="O171" s="83"/>
      <c r="P171" s="83"/>
      <c r="Q171" s="83"/>
      <c r="R171" s="79"/>
      <c r="S171" s="80"/>
      <c r="T171" s="89" t="str">
        <f>IF(S171&lt;&gt;"",IF(#REF!="x",WORKDAY(IF(WEEKDAY(R171,1)=7,R171+2,IF(WEEKDAY(R171,1)=1,R171+1,R171)),S171-1),R171+S171-1),"")</f>
        <v/>
      </c>
      <c r="U171" s="90"/>
      <c r="V171" s="90"/>
      <c r="W171" s="22"/>
      <c r="X171" s="22"/>
      <c r="Y171" s="22"/>
      <c r="Z171" s="36"/>
      <c r="AA171" s="15"/>
      <c r="AB171" s="15"/>
      <c r="AC171" s="15"/>
      <c r="AD171" s="15"/>
      <c r="AE171" s="15"/>
      <c r="AF171" s="15"/>
      <c r="AG171" s="184"/>
      <c r="AH171" s="15"/>
      <c r="AI171" s="15"/>
      <c r="AJ171" s="15"/>
      <c r="AK171" s="15"/>
      <c r="AL171" s="15"/>
      <c r="AM171" s="15"/>
      <c r="AN171" s="184"/>
      <c r="AO171" s="15"/>
      <c r="AP171" s="15"/>
      <c r="AQ171" s="15"/>
      <c r="AR171" s="15"/>
      <c r="AS171" s="15"/>
      <c r="AT171" s="15"/>
      <c r="AU171" s="184"/>
      <c r="AV171" s="15"/>
      <c r="AW171" s="15"/>
      <c r="AX171" s="15"/>
      <c r="AY171" s="15"/>
      <c r="AZ171" s="15"/>
      <c r="BA171" s="15"/>
      <c r="BB171" s="184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84"/>
      <c r="CE171" s="15"/>
      <c r="CF171" s="15"/>
      <c r="CG171" s="15"/>
      <c r="CH171" s="15"/>
      <c r="CI171" s="15"/>
      <c r="CJ171" s="15"/>
      <c r="CK171" s="184"/>
      <c r="CL171" s="15"/>
      <c r="CM171" s="15"/>
      <c r="CN171" s="15"/>
      <c r="CO171" s="15"/>
      <c r="CP171" s="15"/>
      <c r="CQ171" s="15"/>
      <c r="CR171" s="184"/>
      <c r="CS171" s="15"/>
      <c r="CT171" s="15"/>
      <c r="CU171" s="15"/>
      <c r="CV171" s="15"/>
      <c r="CW171" s="15"/>
      <c r="CX171" s="15"/>
      <c r="CY171" s="184"/>
      <c r="CZ171" s="15"/>
      <c r="DA171" s="15"/>
      <c r="DB171" s="15"/>
      <c r="DC171" s="15"/>
      <c r="DD171" s="15"/>
      <c r="DE171" s="15"/>
      <c r="DF171" s="184"/>
      <c r="DG171" s="15"/>
      <c r="DH171" s="15"/>
      <c r="DI171" s="15"/>
      <c r="DJ171" s="15"/>
      <c r="DK171" s="15"/>
      <c r="DL171" s="15"/>
      <c r="DM171" s="184"/>
      <c r="DN171" s="15"/>
      <c r="DO171" s="15"/>
      <c r="DP171" s="15"/>
      <c r="DQ171" s="15"/>
      <c r="DR171" s="15"/>
      <c r="DS171" s="15"/>
      <c r="DT171" s="184"/>
      <c r="DU171" s="15"/>
      <c r="DV171" s="15"/>
      <c r="DW171" s="15"/>
      <c r="DX171" s="15"/>
      <c r="DY171" s="15"/>
      <c r="DZ171" s="15"/>
      <c r="EA171" s="184"/>
      <c r="EB171" s="15"/>
      <c r="EC171" s="15"/>
      <c r="ED171" s="15"/>
      <c r="EE171" s="15"/>
      <c r="EF171" s="15"/>
      <c r="EG171" s="15"/>
      <c r="EH171" s="184"/>
      <c r="EI171" s="15"/>
      <c r="EJ171" s="15"/>
      <c r="EK171" s="15"/>
      <c r="EL171" s="15"/>
      <c r="EM171" s="15"/>
      <c r="EN171" s="15"/>
      <c r="EO171" s="184"/>
      <c r="EP171" s="15"/>
      <c r="EQ171" s="15"/>
      <c r="ER171" s="15"/>
      <c r="ES171" s="15"/>
      <c r="ET171" s="15"/>
      <c r="EU171" s="15"/>
      <c r="EV171" s="184"/>
      <c r="EW171" s="15"/>
      <c r="EX171" s="15"/>
      <c r="EY171" s="15"/>
      <c r="EZ171" s="15"/>
      <c r="FA171" s="15"/>
      <c r="FB171" s="15"/>
      <c r="FC171" s="184"/>
      <c r="FD171" s="15"/>
      <c r="FE171" s="15"/>
      <c r="FF171" s="15"/>
      <c r="FG171" s="15"/>
      <c r="FH171" s="15"/>
      <c r="FI171" s="15"/>
      <c r="FJ171" s="184"/>
      <c r="FK171" s="15"/>
      <c r="FL171" s="15"/>
      <c r="FM171" s="15"/>
      <c r="FN171" s="15"/>
      <c r="FO171" s="15"/>
      <c r="FP171" s="15"/>
      <c r="FQ171" s="184"/>
      <c r="FR171" s="15"/>
      <c r="FS171" s="15"/>
      <c r="FT171" s="15"/>
      <c r="FU171" s="15"/>
      <c r="FV171" s="15"/>
      <c r="FW171" s="178"/>
      <c r="FX171" s="184"/>
      <c r="FY171" s="181"/>
      <c r="FZ171" s="15"/>
      <c r="GA171" s="15"/>
      <c r="GB171" s="15"/>
      <c r="GC171" s="15"/>
      <c r="GD171" s="15"/>
      <c r="GE171" s="184"/>
      <c r="GF171" s="15"/>
      <c r="GG171" s="15"/>
      <c r="GH171" s="15"/>
      <c r="GI171" s="15"/>
      <c r="GJ171" s="15"/>
      <c r="GK171" s="15"/>
      <c r="GL171" s="184"/>
      <c r="GM171" s="15"/>
      <c r="GN171" s="15"/>
      <c r="GO171" s="15"/>
      <c r="GP171" s="15"/>
      <c r="GQ171" s="15"/>
      <c r="GR171" s="15"/>
      <c r="GS171" s="184"/>
      <c r="GT171" s="15"/>
      <c r="GU171" s="15"/>
      <c r="GV171" s="15"/>
      <c r="GW171" s="15"/>
      <c r="GX171" s="15"/>
      <c r="GY171" s="15"/>
      <c r="GZ171" s="184"/>
      <c r="HA171" s="15"/>
      <c r="HB171" s="15"/>
      <c r="HC171" s="15"/>
      <c r="HD171" s="15"/>
      <c r="HE171" s="15"/>
      <c r="HF171" s="15"/>
      <c r="HG171" s="184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  <c r="JT171" s="15"/>
      <c r="JU171" s="15"/>
      <c r="JV171" s="15"/>
      <c r="JW171" s="15"/>
      <c r="JX171" s="15"/>
      <c r="JY171" s="15"/>
      <c r="JZ171" s="15"/>
      <c r="KA171" s="15"/>
      <c r="KB171" s="15"/>
      <c r="KC171" s="15"/>
      <c r="KD171" s="15"/>
      <c r="KE171" s="15"/>
      <c r="KF171" s="15"/>
      <c r="KG171" s="15"/>
      <c r="KH171" s="15"/>
      <c r="KI171" s="15"/>
      <c r="KJ171" s="15"/>
      <c r="KK171" s="15"/>
      <c r="KL171" s="15"/>
      <c r="KM171" s="15"/>
      <c r="KN171" s="15"/>
      <c r="KO171" s="15"/>
      <c r="KP171" s="15"/>
      <c r="KQ171" s="15"/>
      <c r="KR171" s="15"/>
      <c r="KS171" s="15"/>
      <c r="KT171" s="15"/>
      <c r="KU171" s="15"/>
      <c r="KV171" s="15"/>
      <c r="KW171" s="15"/>
      <c r="KX171" s="15"/>
      <c r="KY171" s="15"/>
      <c r="KZ171" s="15"/>
      <c r="LA171" s="15"/>
      <c r="LB171" s="15"/>
      <c r="LC171" s="15"/>
      <c r="LD171" s="15"/>
      <c r="LE171" s="15"/>
      <c r="LF171" s="15"/>
      <c r="LG171" s="15"/>
      <c r="LH171" s="15"/>
      <c r="LI171" s="15"/>
      <c r="LJ171" s="15"/>
      <c r="LK171" s="15"/>
      <c r="LL171" s="15"/>
      <c r="LM171" s="15"/>
      <c r="LN171" s="15"/>
      <c r="LO171" s="15"/>
      <c r="LP171" s="15"/>
      <c r="LQ171" s="15"/>
      <c r="LR171" s="15"/>
      <c r="LS171" s="15"/>
      <c r="LT171" s="15"/>
      <c r="LU171" s="15"/>
      <c r="LV171" s="15"/>
      <c r="LW171" s="15"/>
      <c r="LX171" s="15"/>
      <c r="LY171" s="15"/>
      <c r="LZ171" s="15"/>
      <c r="MA171" s="15"/>
      <c r="MB171" s="15"/>
      <c r="MC171" s="15"/>
      <c r="MD171" s="15"/>
      <c r="ME171" s="15"/>
      <c r="MF171" s="15"/>
      <c r="MG171" s="15"/>
      <c r="MH171" s="15"/>
      <c r="MI171" s="15"/>
      <c r="MJ171" s="15"/>
      <c r="MK171" s="15"/>
      <c r="ML171" s="15"/>
      <c r="MM171" s="15"/>
      <c r="MN171" s="15"/>
      <c r="MO171" s="15"/>
      <c r="MP171" s="15"/>
      <c r="MQ171" s="15"/>
      <c r="MR171" s="15"/>
      <c r="MS171" s="15"/>
      <c r="MT171" s="15"/>
      <c r="MU171" s="15"/>
      <c r="MV171" s="15"/>
      <c r="MW171" s="15"/>
      <c r="MX171" s="15"/>
      <c r="MY171" s="15"/>
      <c r="MZ171" s="15"/>
      <c r="NA171" s="15"/>
      <c r="NB171" s="15"/>
      <c r="NC171" s="15"/>
      <c r="ND171" s="15"/>
      <c r="NE171" s="15"/>
      <c r="NF171" s="15"/>
      <c r="NG171" s="15"/>
      <c r="NH171" s="15"/>
      <c r="NI171" s="15"/>
      <c r="NJ171" s="15"/>
      <c r="NK171" s="15"/>
      <c r="NL171" s="15"/>
      <c r="NM171" s="15"/>
      <c r="NN171" s="15"/>
      <c r="NO171" s="15"/>
      <c r="NP171" s="15"/>
      <c r="NQ171" s="15"/>
      <c r="NR171" s="15"/>
      <c r="NS171" s="15"/>
      <c r="NT171" s="15"/>
      <c r="NU171" s="15"/>
      <c r="NV171" s="15"/>
      <c r="NW171" s="15"/>
      <c r="NX171" s="15"/>
      <c r="NY171" s="15"/>
      <c r="NZ171" s="15"/>
    </row>
    <row r="172" spans="2:390" ht="19.5" customHeight="1" x14ac:dyDescent="0.45">
      <c r="B172" s="1">
        <f t="shared" si="90"/>
        <v>4</v>
      </c>
      <c r="C172" s="1">
        <f t="shared" si="91"/>
        <v>11</v>
      </c>
      <c r="D172" s="1">
        <f t="shared" si="92"/>
        <v>7</v>
      </c>
      <c r="E172" s="91" t="str">
        <f t="shared" si="89"/>
        <v>4.11.7</v>
      </c>
      <c r="F172" s="82" t="s">
        <v>113</v>
      </c>
      <c r="G172" s="82"/>
      <c r="H172" s="83" t="s">
        <v>117</v>
      </c>
      <c r="I172" s="83"/>
      <c r="J172" s="83"/>
      <c r="K172" s="83"/>
      <c r="L172" s="83"/>
      <c r="M172" s="83"/>
      <c r="N172" s="83"/>
      <c r="O172" s="83"/>
      <c r="P172" s="83"/>
      <c r="Q172" s="83"/>
      <c r="R172" s="79"/>
      <c r="S172" s="80"/>
      <c r="T172" s="89" t="str">
        <f>IF(S172&lt;&gt;"",IF(#REF!="x",WORKDAY(IF(WEEKDAY(R172,1)=7,R172+2,IF(WEEKDAY(R172,1)=1,R172+1,R172)),S172-1),R172+S172-1),"")</f>
        <v/>
      </c>
      <c r="U172" s="90"/>
      <c r="V172" s="90"/>
      <c r="W172" s="22"/>
      <c r="X172" s="22"/>
      <c r="Y172" s="22"/>
      <c r="Z172" s="36"/>
      <c r="AA172" s="15"/>
      <c r="AB172" s="15"/>
      <c r="AC172" s="15"/>
      <c r="AD172" s="15"/>
      <c r="AE172" s="15"/>
      <c r="AF172" s="15"/>
      <c r="AG172" s="184"/>
      <c r="AH172" s="15"/>
      <c r="AI172" s="15"/>
      <c r="AJ172" s="15"/>
      <c r="AK172" s="15"/>
      <c r="AL172" s="15"/>
      <c r="AM172" s="15"/>
      <c r="AN172" s="184"/>
      <c r="AO172" s="15"/>
      <c r="AP172" s="15"/>
      <c r="AQ172" s="15"/>
      <c r="AR172" s="15"/>
      <c r="AS172" s="15"/>
      <c r="AT172" s="15"/>
      <c r="AU172" s="184"/>
      <c r="AV172" s="15"/>
      <c r="AW172" s="15"/>
      <c r="AX172" s="15"/>
      <c r="AY172" s="15"/>
      <c r="AZ172" s="15"/>
      <c r="BA172" s="15"/>
      <c r="BB172" s="184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84"/>
      <c r="CE172" s="15"/>
      <c r="CF172" s="15"/>
      <c r="CG172" s="15"/>
      <c r="CH172" s="15"/>
      <c r="CI172" s="15"/>
      <c r="CJ172" s="15"/>
      <c r="CK172" s="184"/>
      <c r="CL172" s="15"/>
      <c r="CM172" s="15"/>
      <c r="CN172" s="15"/>
      <c r="CO172" s="15"/>
      <c r="CP172" s="15"/>
      <c r="CQ172" s="15"/>
      <c r="CR172" s="184"/>
      <c r="CS172" s="15"/>
      <c r="CT172" s="15"/>
      <c r="CU172" s="15"/>
      <c r="CV172" s="15"/>
      <c r="CW172" s="15"/>
      <c r="CX172" s="15"/>
      <c r="CY172" s="184"/>
      <c r="CZ172" s="15"/>
      <c r="DA172" s="15"/>
      <c r="DB172" s="15"/>
      <c r="DC172" s="15"/>
      <c r="DD172" s="15"/>
      <c r="DE172" s="15"/>
      <c r="DF172" s="184"/>
      <c r="DG172" s="15"/>
      <c r="DH172" s="15"/>
      <c r="DI172" s="15"/>
      <c r="DJ172" s="15"/>
      <c r="DK172" s="15"/>
      <c r="DL172" s="15"/>
      <c r="DM172" s="184"/>
      <c r="DN172" s="15"/>
      <c r="DO172" s="15"/>
      <c r="DP172" s="15"/>
      <c r="DQ172" s="15"/>
      <c r="DR172" s="15"/>
      <c r="DS172" s="15"/>
      <c r="DT172" s="184"/>
      <c r="DU172" s="15"/>
      <c r="DV172" s="15"/>
      <c r="DW172" s="15"/>
      <c r="DX172" s="15"/>
      <c r="DY172" s="15"/>
      <c r="DZ172" s="15"/>
      <c r="EA172" s="184"/>
      <c r="EB172" s="15"/>
      <c r="EC172" s="15"/>
      <c r="ED172" s="15"/>
      <c r="EE172" s="15"/>
      <c r="EF172" s="15"/>
      <c r="EG172" s="15"/>
      <c r="EH172" s="184"/>
      <c r="EI172" s="15"/>
      <c r="EJ172" s="15"/>
      <c r="EK172" s="15"/>
      <c r="EL172" s="15"/>
      <c r="EM172" s="15"/>
      <c r="EN172" s="15"/>
      <c r="EO172" s="184"/>
      <c r="EP172" s="15"/>
      <c r="EQ172" s="15"/>
      <c r="ER172" s="15"/>
      <c r="ES172" s="15"/>
      <c r="ET172" s="15"/>
      <c r="EU172" s="15"/>
      <c r="EV172" s="184"/>
      <c r="EW172" s="15"/>
      <c r="EX172" s="15"/>
      <c r="EY172" s="15"/>
      <c r="EZ172" s="15"/>
      <c r="FA172" s="15"/>
      <c r="FB172" s="15"/>
      <c r="FC172" s="184"/>
      <c r="FD172" s="15"/>
      <c r="FE172" s="15"/>
      <c r="FF172" s="15"/>
      <c r="FG172" s="15"/>
      <c r="FH172" s="15"/>
      <c r="FI172" s="15"/>
      <c r="FJ172" s="184"/>
      <c r="FK172" s="15"/>
      <c r="FL172" s="15"/>
      <c r="FM172" s="15"/>
      <c r="FN172" s="15"/>
      <c r="FO172" s="15"/>
      <c r="FP172" s="15"/>
      <c r="FQ172" s="184"/>
      <c r="FR172" s="15"/>
      <c r="FS172" s="15"/>
      <c r="FT172" s="15"/>
      <c r="FU172" s="15"/>
      <c r="FV172" s="15"/>
      <c r="FW172" s="178"/>
      <c r="FX172" s="184"/>
      <c r="FY172" s="181"/>
      <c r="FZ172" s="15"/>
      <c r="GA172" s="15"/>
      <c r="GB172" s="15"/>
      <c r="GC172" s="15"/>
      <c r="GD172" s="15"/>
      <c r="GE172" s="184"/>
      <c r="GF172" s="15"/>
      <c r="GG172" s="15"/>
      <c r="GH172" s="15"/>
      <c r="GI172" s="15"/>
      <c r="GJ172" s="15"/>
      <c r="GK172" s="15"/>
      <c r="GL172" s="184"/>
      <c r="GM172" s="15"/>
      <c r="GN172" s="15"/>
      <c r="GO172" s="15"/>
      <c r="GP172" s="15"/>
      <c r="GQ172" s="15"/>
      <c r="GR172" s="15"/>
      <c r="GS172" s="184"/>
      <c r="GT172" s="15"/>
      <c r="GU172" s="15"/>
      <c r="GV172" s="15"/>
      <c r="GW172" s="15"/>
      <c r="GX172" s="15"/>
      <c r="GY172" s="15"/>
      <c r="GZ172" s="184"/>
      <c r="HA172" s="15"/>
      <c r="HB172" s="15"/>
      <c r="HC172" s="15"/>
      <c r="HD172" s="15"/>
      <c r="HE172" s="15"/>
      <c r="HF172" s="15"/>
      <c r="HG172" s="184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  <c r="JT172" s="15"/>
      <c r="JU172" s="15"/>
      <c r="JV172" s="15"/>
      <c r="JW172" s="15"/>
      <c r="JX172" s="15"/>
      <c r="JY172" s="15"/>
      <c r="JZ172" s="15"/>
      <c r="KA172" s="15"/>
      <c r="KB172" s="15"/>
      <c r="KC172" s="15"/>
      <c r="KD172" s="15"/>
      <c r="KE172" s="15"/>
      <c r="KF172" s="15"/>
      <c r="KG172" s="15"/>
      <c r="KH172" s="15"/>
      <c r="KI172" s="15"/>
      <c r="KJ172" s="15"/>
      <c r="KK172" s="15"/>
      <c r="KL172" s="15"/>
      <c r="KM172" s="15"/>
      <c r="KN172" s="15"/>
      <c r="KO172" s="15"/>
      <c r="KP172" s="15"/>
      <c r="KQ172" s="15"/>
      <c r="KR172" s="15"/>
      <c r="KS172" s="15"/>
      <c r="KT172" s="15"/>
      <c r="KU172" s="15"/>
      <c r="KV172" s="15"/>
      <c r="KW172" s="15"/>
      <c r="KX172" s="15"/>
      <c r="KY172" s="15"/>
      <c r="KZ172" s="15"/>
      <c r="LA172" s="15"/>
      <c r="LB172" s="15"/>
      <c r="LC172" s="15"/>
      <c r="LD172" s="15"/>
      <c r="LE172" s="15"/>
      <c r="LF172" s="15"/>
      <c r="LG172" s="15"/>
      <c r="LH172" s="15"/>
      <c r="LI172" s="15"/>
      <c r="LJ172" s="15"/>
      <c r="LK172" s="15"/>
      <c r="LL172" s="15"/>
      <c r="LM172" s="15"/>
      <c r="LN172" s="15"/>
      <c r="LO172" s="15"/>
      <c r="LP172" s="15"/>
      <c r="LQ172" s="15"/>
      <c r="LR172" s="15"/>
      <c r="LS172" s="15"/>
      <c r="LT172" s="15"/>
      <c r="LU172" s="15"/>
      <c r="LV172" s="15"/>
      <c r="LW172" s="15"/>
      <c r="LX172" s="15"/>
      <c r="LY172" s="15"/>
      <c r="LZ172" s="15"/>
      <c r="MA172" s="15"/>
      <c r="MB172" s="15"/>
      <c r="MC172" s="15"/>
      <c r="MD172" s="15"/>
      <c r="ME172" s="15"/>
      <c r="MF172" s="15"/>
      <c r="MG172" s="15"/>
      <c r="MH172" s="15"/>
      <c r="MI172" s="15"/>
      <c r="MJ172" s="15"/>
      <c r="MK172" s="15"/>
      <c r="ML172" s="15"/>
      <c r="MM172" s="15"/>
      <c r="MN172" s="15"/>
      <c r="MO172" s="15"/>
      <c r="MP172" s="15"/>
      <c r="MQ172" s="15"/>
      <c r="MR172" s="15"/>
      <c r="MS172" s="15"/>
      <c r="MT172" s="15"/>
      <c r="MU172" s="15"/>
      <c r="MV172" s="15"/>
      <c r="MW172" s="15"/>
      <c r="MX172" s="15"/>
      <c r="MY172" s="15"/>
      <c r="MZ172" s="15"/>
      <c r="NA172" s="15"/>
      <c r="NB172" s="15"/>
      <c r="NC172" s="15"/>
      <c r="ND172" s="15"/>
      <c r="NE172" s="15"/>
      <c r="NF172" s="15"/>
      <c r="NG172" s="15"/>
      <c r="NH172" s="15"/>
      <c r="NI172" s="15"/>
      <c r="NJ172" s="15"/>
      <c r="NK172" s="15"/>
      <c r="NL172" s="15"/>
      <c r="NM172" s="15"/>
      <c r="NN172" s="15"/>
      <c r="NO172" s="15"/>
      <c r="NP172" s="15"/>
      <c r="NQ172" s="15"/>
      <c r="NR172" s="15"/>
      <c r="NS172" s="15"/>
      <c r="NT172" s="15"/>
      <c r="NU172" s="15"/>
      <c r="NV172" s="15"/>
      <c r="NW172" s="15"/>
      <c r="NX172" s="15"/>
      <c r="NY172" s="15"/>
      <c r="NZ172" s="15"/>
    </row>
    <row r="173" spans="2:390" ht="19.5" customHeight="1" x14ac:dyDescent="0.45">
      <c r="B173" s="1">
        <f>+B172</f>
        <v>4</v>
      </c>
      <c r="C173" s="1">
        <f>+C172+1</f>
        <v>12</v>
      </c>
      <c r="D173" s="1">
        <v>0</v>
      </c>
      <c r="E173" s="77" t="str">
        <f t="shared" si="89"/>
        <v>4.12.0</v>
      </c>
      <c r="F173" s="78" t="s">
        <v>135</v>
      </c>
      <c r="G173" s="78"/>
      <c r="H173" s="81"/>
      <c r="I173" s="81"/>
      <c r="J173" s="74"/>
      <c r="K173" s="74"/>
      <c r="L173" s="74"/>
      <c r="M173" s="78"/>
      <c r="N173" s="78"/>
      <c r="O173" s="78"/>
      <c r="P173" s="78"/>
      <c r="Q173" s="78"/>
      <c r="R173" s="79"/>
      <c r="S173" s="80"/>
      <c r="T173" s="89" t="str">
        <f>IF(S173&lt;&gt;"",IF(#REF!="x",WORKDAY(IF(WEEKDAY(R173,1)=7,R173+2,IF(WEEKDAY(R173,1)=1,R173+1,R173)),S173-1),R173+S173-1),"")</f>
        <v/>
      </c>
      <c r="U173" s="90"/>
      <c r="V173" s="90"/>
      <c r="W173" s="22"/>
      <c r="X173" s="22"/>
      <c r="Y173" s="22"/>
      <c r="Z173" s="36"/>
      <c r="AA173" s="15">
        <v>3</v>
      </c>
      <c r="AB173" s="15">
        <v>3</v>
      </c>
      <c r="AC173" s="15">
        <v>3</v>
      </c>
      <c r="AD173" s="15">
        <v>3</v>
      </c>
      <c r="AE173" s="15">
        <v>3</v>
      </c>
      <c r="AF173" s="15">
        <v>3</v>
      </c>
      <c r="AG173" s="184"/>
      <c r="AH173" s="15">
        <v>2</v>
      </c>
      <c r="AI173" s="15">
        <v>2</v>
      </c>
      <c r="AJ173" s="15">
        <v>2</v>
      </c>
      <c r="AK173" s="15">
        <v>2</v>
      </c>
      <c r="AL173" s="15">
        <v>2</v>
      </c>
      <c r="AM173" s="15">
        <v>2</v>
      </c>
      <c r="AN173" s="184"/>
      <c r="AO173" s="15">
        <v>2</v>
      </c>
      <c r="AP173" s="15">
        <v>2</v>
      </c>
      <c r="AQ173" s="15">
        <v>2</v>
      </c>
      <c r="AR173" s="15">
        <v>2</v>
      </c>
      <c r="AS173" s="15">
        <v>2</v>
      </c>
      <c r="AT173" s="15">
        <v>2</v>
      </c>
      <c r="AU173" s="184"/>
      <c r="AV173" s="15">
        <v>2</v>
      </c>
      <c r="AW173" s="15">
        <v>2</v>
      </c>
      <c r="AX173" s="15">
        <v>2</v>
      </c>
      <c r="AY173" s="15">
        <v>2</v>
      </c>
      <c r="AZ173" s="15">
        <v>2</v>
      </c>
      <c r="BA173" s="15">
        <v>2</v>
      </c>
      <c r="BB173" s="184"/>
      <c r="BC173" s="15">
        <v>2</v>
      </c>
      <c r="BD173" s="15">
        <v>2</v>
      </c>
      <c r="BE173" s="15">
        <v>2</v>
      </c>
      <c r="BF173" s="15">
        <v>2</v>
      </c>
      <c r="BG173" s="15">
        <v>2</v>
      </c>
      <c r="BH173" s="15">
        <v>2</v>
      </c>
      <c r="BI173" s="15"/>
      <c r="BJ173" s="15">
        <v>2</v>
      </c>
      <c r="BK173" s="15">
        <v>2</v>
      </c>
      <c r="BL173" s="15">
        <v>2</v>
      </c>
      <c r="BM173" s="15">
        <v>2</v>
      </c>
      <c r="BN173" s="15">
        <v>2</v>
      </c>
      <c r="BO173" s="15">
        <v>2</v>
      </c>
      <c r="BP173" s="15"/>
      <c r="BQ173" s="15">
        <v>2</v>
      </c>
      <c r="BR173" s="15">
        <v>2</v>
      </c>
      <c r="BS173" s="15">
        <v>2</v>
      </c>
      <c r="BT173" s="15">
        <v>2</v>
      </c>
      <c r="BU173" s="15">
        <v>2</v>
      </c>
      <c r="BV173" s="15">
        <v>2</v>
      </c>
      <c r="BW173" s="15"/>
      <c r="BX173" s="15">
        <v>2</v>
      </c>
      <c r="BY173" s="15">
        <v>2</v>
      </c>
      <c r="BZ173" s="15">
        <v>2</v>
      </c>
      <c r="CA173" s="15">
        <v>2</v>
      </c>
      <c r="CB173" s="15">
        <v>2</v>
      </c>
      <c r="CC173" s="15">
        <v>2</v>
      </c>
      <c r="CD173" s="184"/>
      <c r="CE173" s="15">
        <v>2</v>
      </c>
      <c r="CF173" s="15">
        <v>2</v>
      </c>
      <c r="CG173" s="15">
        <v>2</v>
      </c>
      <c r="CH173" s="15">
        <v>2</v>
      </c>
      <c r="CI173" s="15">
        <v>2</v>
      </c>
      <c r="CJ173" s="15">
        <v>2</v>
      </c>
      <c r="CK173" s="184"/>
      <c r="CL173" s="15">
        <v>2</v>
      </c>
      <c r="CM173" s="15">
        <v>2</v>
      </c>
      <c r="CN173" s="15">
        <v>2</v>
      </c>
      <c r="CO173" s="15">
        <v>2</v>
      </c>
      <c r="CP173" s="15">
        <v>2</v>
      </c>
      <c r="CQ173" s="15">
        <v>2</v>
      </c>
      <c r="CR173" s="184"/>
      <c r="CS173" s="15">
        <v>2</v>
      </c>
      <c r="CT173" s="15">
        <v>2</v>
      </c>
      <c r="CU173" s="15">
        <v>2</v>
      </c>
      <c r="CV173" s="15">
        <v>2</v>
      </c>
      <c r="CW173" s="15">
        <v>2</v>
      </c>
      <c r="CX173" s="15">
        <v>2</v>
      </c>
      <c r="CY173" s="184"/>
      <c r="CZ173" s="15">
        <v>2</v>
      </c>
      <c r="DA173" s="15">
        <v>2</v>
      </c>
      <c r="DB173" s="15">
        <v>2</v>
      </c>
      <c r="DC173" s="15">
        <v>2</v>
      </c>
      <c r="DD173" s="15">
        <v>2</v>
      </c>
      <c r="DE173" s="15">
        <v>2</v>
      </c>
      <c r="DF173" s="184"/>
      <c r="DG173" s="15">
        <v>2</v>
      </c>
      <c r="DH173" s="15">
        <v>2</v>
      </c>
      <c r="DI173" s="15">
        <v>2</v>
      </c>
      <c r="DJ173" s="15">
        <v>2</v>
      </c>
      <c r="DK173" s="15">
        <v>2</v>
      </c>
      <c r="DL173" s="15">
        <v>2</v>
      </c>
      <c r="DM173" s="184"/>
      <c r="DN173" s="15">
        <v>2</v>
      </c>
      <c r="DO173" s="15">
        <v>2</v>
      </c>
      <c r="DP173" s="15">
        <v>2</v>
      </c>
      <c r="DQ173" s="15">
        <v>2</v>
      </c>
      <c r="DR173" s="15">
        <v>2</v>
      </c>
      <c r="DS173" s="15">
        <v>2</v>
      </c>
      <c r="DT173" s="184"/>
      <c r="DU173" s="15">
        <v>2</v>
      </c>
      <c r="DV173" s="15">
        <v>2</v>
      </c>
      <c r="DW173" s="15">
        <v>2</v>
      </c>
      <c r="DX173" s="15">
        <v>2</v>
      </c>
      <c r="DY173" s="15">
        <v>2</v>
      </c>
      <c r="DZ173" s="15">
        <v>2</v>
      </c>
      <c r="EA173" s="184"/>
      <c r="EB173" s="15">
        <v>2</v>
      </c>
      <c r="EC173" s="15">
        <v>2</v>
      </c>
      <c r="ED173" s="15">
        <v>2</v>
      </c>
      <c r="EE173" s="15">
        <v>2</v>
      </c>
      <c r="EF173" s="15">
        <v>2</v>
      </c>
      <c r="EG173" s="15">
        <v>2</v>
      </c>
      <c r="EH173" s="184"/>
      <c r="EI173" s="15">
        <v>2</v>
      </c>
      <c r="EJ173" s="15">
        <v>2</v>
      </c>
      <c r="EK173" s="15">
        <v>2</v>
      </c>
      <c r="EL173" s="15">
        <v>2</v>
      </c>
      <c r="EM173" s="15">
        <v>2</v>
      </c>
      <c r="EN173" s="15">
        <v>2</v>
      </c>
      <c r="EO173" s="184"/>
      <c r="EP173" s="15">
        <v>2</v>
      </c>
      <c r="EQ173" s="15">
        <v>2</v>
      </c>
      <c r="ER173" s="15">
        <v>2</v>
      </c>
      <c r="ES173" s="15">
        <v>2</v>
      </c>
      <c r="ET173" s="15">
        <v>2</v>
      </c>
      <c r="EU173" s="15">
        <v>2</v>
      </c>
      <c r="EV173" s="184"/>
      <c r="EW173" s="15">
        <v>2</v>
      </c>
      <c r="EX173" s="15">
        <v>2</v>
      </c>
      <c r="EY173" s="15">
        <v>2</v>
      </c>
      <c r="EZ173" s="15">
        <v>2</v>
      </c>
      <c r="FA173" s="15">
        <v>2</v>
      </c>
      <c r="FB173" s="15">
        <v>2</v>
      </c>
      <c r="FC173" s="184"/>
      <c r="FD173" s="15">
        <v>2</v>
      </c>
      <c r="FE173" s="15">
        <v>2</v>
      </c>
      <c r="FF173" s="15">
        <v>2</v>
      </c>
      <c r="FG173" s="15">
        <v>2</v>
      </c>
      <c r="FH173" s="15">
        <v>2</v>
      </c>
      <c r="FI173" s="15">
        <v>2</v>
      </c>
      <c r="FJ173" s="184"/>
      <c r="FK173" s="15">
        <v>2</v>
      </c>
      <c r="FL173" s="15">
        <v>2</v>
      </c>
      <c r="FM173" s="15">
        <v>2</v>
      </c>
      <c r="FN173" s="15">
        <v>2</v>
      </c>
      <c r="FO173" s="15">
        <v>2</v>
      </c>
      <c r="FP173" s="15">
        <v>2</v>
      </c>
      <c r="FQ173" s="184"/>
      <c r="FR173" s="15">
        <v>2</v>
      </c>
      <c r="FS173" s="15">
        <v>2</v>
      </c>
      <c r="FT173" s="15">
        <v>2</v>
      </c>
      <c r="FU173" s="15">
        <v>2</v>
      </c>
      <c r="FV173" s="15">
        <v>2</v>
      </c>
      <c r="FW173" s="178">
        <v>2</v>
      </c>
      <c r="FX173" s="184"/>
      <c r="FY173" s="181">
        <v>2</v>
      </c>
      <c r="FZ173" s="15">
        <v>2</v>
      </c>
      <c r="GA173" s="15">
        <v>2</v>
      </c>
      <c r="GB173" s="15">
        <v>2</v>
      </c>
      <c r="GC173" s="15">
        <v>2</v>
      </c>
      <c r="GD173" s="15">
        <v>2</v>
      </c>
      <c r="GE173" s="184"/>
      <c r="GF173" s="15">
        <v>2</v>
      </c>
      <c r="GG173" s="15">
        <v>2</v>
      </c>
      <c r="GH173" s="15">
        <v>2</v>
      </c>
      <c r="GI173" s="15">
        <v>2</v>
      </c>
      <c r="GJ173" s="15">
        <v>2</v>
      </c>
      <c r="GK173" s="15">
        <v>2</v>
      </c>
      <c r="GL173" s="184"/>
      <c r="GM173" s="15">
        <v>2</v>
      </c>
      <c r="GN173" s="15">
        <v>2</v>
      </c>
      <c r="GO173" s="15">
        <v>2</v>
      </c>
      <c r="GP173" s="15">
        <v>2</v>
      </c>
      <c r="GQ173" s="15">
        <v>2</v>
      </c>
      <c r="GR173" s="15">
        <v>2</v>
      </c>
      <c r="GS173" s="184"/>
      <c r="GT173" s="15">
        <v>2</v>
      </c>
      <c r="GU173" s="15">
        <v>2</v>
      </c>
      <c r="GV173" s="15">
        <v>2</v>
      </c>
      <c r="GW173" s="15">
        <v>2</v>
      </c>
      <c r="GX173" s="15">
        <v>2</v>
      </c>
      <c r="GY173" s="15">
        <v>2</v>
      </c>
      <c r="GZ173" s="184"/>
      <c r="HA173" s="15">
        <v>2</v>
      </c>
      <c r="HB173" s="15">
        <v>2</v>
      </c>
      <c r="HC173" s="15">
        <v>2</v>
      </c>
      <c r="HD173" s="15">
        <v>2</v>
      </c>
      <c r="HE173" s="15">
        <v>2</v>
      </c>
      <c r="HF173" s="15">
        <v>2</v>
      </c>
      <c r="HG173" s="184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  <c r="JT173" s="15"/>
      <c r="JU173" s="15"/>
      <c r="JV173" s="15"/>
      <c r="JW173" s="15"/>
      <c r="JX173" s="15"/>
      <c r="JY173" s="15"/>
      <c r="JZ173" s="15"/>
      <c r="KA173" s="15"/>
      <c r="KB173" s="15"/>
      <c r="KC173" s="15"/>
      <c r="KD173" s="15"/>
      <c r="KE173" s="15"/>
      <c r="KF173" s="15"/>
      <c r="KG173" s="15"/>
      <c r="KH173" s="15"/>
      <c r="KI173" s="15"/>
      <c r="KJ173" s="15"/>
      <c r="KK173" s="15"/>
      <c r="KL173" s="15"/>
      <c r="KM173" s="15"/>
      <c r="KN173" s="15"/>
      <c r="KO173" s="15"/>
      <c r="KP173" s="15"/>
      <c r="KQ173" s="15"/>
      <c r="KR173" s="15"/>
      <c r="KS173" s="15"/>
      <c r="KT173" s="15"/>
      <c r="KU173" s="15"/>
      <c r="KV173" s="15"/>
      <c r="KW173" s="15"/>
      <c r="KX173" s="15"/>
      <c r="KY173" s="15"/>
      <c r="KZ173" s="15"/>
      <c r="LA173" s="15"/>
      <c r="LB173" s="15"/>
      <c r="LC173" s="15"/>
      <c r="LD173" s="15"/>
      <c r="LE173" s="15"/>
      <c r="LF173" s="15"/>
      <c r="LG173" s="15"/>
      <c r="LH173" s="15"/>
      <c r="LI173" s="15"/>
      <c r="LJ173" s="15"/>
      <c r="LK173" s="15"/>
      <c r="LL173" s="15"/>
      <c r="LM173" s="15"/>
      <c r="LN173" s="15"/>
      <c r="LO173" s="15"/>
      <c r="LP173" s="15"/>
      <c r="LQ173" s="15"/>
      <c r="LR173" s="15"/>
      <c r="LS173" s="15"/>
      <c r="LT173" s="15"/>
      <c r="LU173" s="15"/>
      <c r="LV173" s="15"/>
      <c r="LW173" s="15"/>
      <c r="LX173" s="15"/>
      <c r="LY173" s="15"/>
      <c r="LZ173" s="15"/>
      <c r="MA173" s="15"/>
      <c r="MB173" s="15"/>
      <c r="MC173" s="15"/>
      <c r="MD173" s="15"/>
      <c r="ME173" s="15"/>
      <c r="MF173" s="15"/>
      <c r="MG173" s="15"/>
      <c r="MH173" s="15"/>
      <c r="MI173" s="15"/>
      <c r="MJ173" s="15"/>
      <c r="MK173" s="15"/>
      <c r="ML173" s="15"/>
      <c r="MM173" s="15"/>
      <c r="MN173" s="15"/>
      <c r="MO173" s="15"/>
      <c r="MP173" s="15"/>
      <c r="MQ173" s="15"/>
      <c r="MR173" s="15"/>
      <c r="MS173" s="15"/>
      <c r="MT173" s="15"/>
      <c r="MU173" s="15"/>
      <c r="MV173" s="15"/>
      <c r="MW173" s="15"/>
      <c r="MX173" s="15"/>
      <c r="MY173" s="15"/>
      <c r="MZ173" s="15"/>
      <c r="NA173" s="15"/>
      <c r="NB173" s="15"/>
      <c r="NC173" s="15"/>
      <c r="ND173" s="15"/>
      <c r="NE173" s="15"/>
      <c r="NF173" s="15"/>
      <c r="NG173" s="15"/>
      <c r="NH173" s="15"/>
      <c r="NI173" s="15"/>
      <c r="NJ173" s="15"/>
      <c r="NK173" s="15"/>
      <c r="NL173" s="15"/>
      <c r="NM173" s="15"/>
      <c r="NN173" s="15"/>
      <c r="NO173" s="15"/>
      <c r="NP173" s="15"/>
      <c r="NQ173" s="15"/>
      <c r="NR173" s="15"/>
      <c r="NS173" s="15"/>
      <c r="NT173" s="15"/>
      <c r="NU173" s="15"/>
      <c r="NV173" s="15"/>
      <c r="NW173" s="15"/>
      <c r="NX173" s="15"/>
      <c r="NY173" s="15"/>
      <c r="NZ173" s="15"/>
    </row>
    <row r="174" spans="2:390" ht="19.5" customHeight="1" x14ac:dyDescent="0.45">
      <c r="E174" s="59"/>
      <c r="F174" s="23"/>
      <c r="G174" s="23"/>
      <c r="H174" s="52"/>
      <c r="I174" s="52"/>
      <c r="J174" s="23"/>
      <c r="K174" s="23"/>
      <c r="L174" s="23"/>
      <c r="M174" s="23"/>
      <c r="N174" s="23"/>
      <c r="O174" s="23"/>
      <c r="P174" s="23"/>
      <c r="Q174" s="23"/>
      <c r="R174" s="19"/>
      <c r="S174" s="20"/>
      <c r="T174" s="21" t="str">
        <f>IF(S174&lt;&gt;"",IF(#REF!="x",WORKDAY(IF(WEEKDAY(R174,1)=7,R174+2,IF(WEEKDAY(R174,1)=1,R174+1,R174)),S174-1),R174+S174-1),"")</f>
        <v/>
      </c>
      <c r="U174" s="22"/>
      <c r="V174" s="22"/>
      <c r="W174" s="22"/>
      <c r="X174" s="22"/>
      <c r="Y174" s="22"/>
      <c r="Z174" s="36"/>
      <c r="AA174" s="15"/>
      <c r="AB174" s="15"/>
      <c r="AC174" s="15"/>
      <c r="AD174" s="15"/>
      <c r="AE174" s="15"/>
      <c r="AF174" s="15"/>
      <c r="AG174" s="184"/>
      <c r="AH174" s="15"/>
      <c r="AI174" s="15"/>
      <c r="AJ174" s="15"/>
      <c r="AK174" s="15"/>
      <c r="AL174" s="15"/>
      <c r="AM174" s="15"/>
      <c r="AN174" s="184"/>
      <c r="AO174" s="15"/>
      <c r="AP174" s="15"/>
      <c r="AQ174" s="15"/>
      <c r="AR174" s="15"/>
      <c r="AS174" s="15"/>
      <c r="AT174" s="15"/>
      <c r="AU174" s="184"/>
      <c r="AV174" s="15"/>
      <c r="AW174" s="15"/>
      <c r="AX174" s="15"/>
      <c r="AY174" s="15"/>
      <c r="AZ174" s="15"/>
      <c r="BA174" s="15"/>
      <c r="BB174" s="184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84"/>
      <c r="CE174" s="15"/>
      <c r="CF174" s="15"/>
      <c r="CG174" s="15"/>
      <c r="CH174" s="15"/>
      <c r="CI174" s="15"/>
      <c r="CJ174" s="15"/>
      <c r="CK174" s="184"/>
      <c r="CL174" s="15"/>
      <c r="CM174" s="15"/>
      <c r="CN174" s="15"/>
      <c r="CO174" s="15"/>
      <c r="CP174" s="15"/>
      <c r="CQ174" s="15"/>
      <c r="CR174" s="184"/>
      <c r="CS174" s="15"/>
      <c r="CT174" s="15"/>
      <c r="CU174" s="15"/>
      <c r="CV174" s="15"/>
      <c r="CW174" s="15"/>
      <c r="CX174" s="15"/>
      <c r="CY174" s="184"/>
      <c r="CZ174" s="15"/>
      <c r="DA174" s="15"/>
      <c r="DB174" s="15"/>
      <c r="DC174" s="15"/>
      <c r="DD174" s="15"/>
      <c r="DE174" s="15"/>
      <c r="DF174" s="184"/>
      <c r="DG174" s="15"/>
      <c r="DH174" s="15"/>
      <c r="DI174" s="15"/>
      <c r="DJ174" s="15"/>
      <c r="DK174" s="15"/>
      <c r="DL174" s="15"/>
      <c r="DM174" s="184"/>
      <c r="DN174" s="15"/>
      <c r="DO174" s="15"/>
      <c r="DP174" s="15"/>
      <c r="DQ174" s="15"/>
      <c r="DR174" s="15"/>
      <c r="DS174" s="15"/>
      <c r="DT174" s="184"/>
      <c r="DU174" s="15"/>
      <c r="DV174" s="15"/>
      <c r="DW174" s="15"/>
      <c r="DX174" s="15"/>
      <c r="DY174" s="15"/>
      <c r="DZ174" s="15"/>
      <c r="EA174" s="184"/>
      <c r="EB174" s="15"/>
      <c r="EC174" s="15"/>
      <c r="ED174" s="15"/>
      <c r="EE174" s="15"/>
      <c r="EF174" s="15"/>
      <c r="EG174" s="15"/>
      <c r="EH174" s="184"/>
      <c r="EI174" s="15"/>
      <c r="EJ174" s="15"/>
      <c r="EK174" s="15"/>
      <c r="EL174" s="15"/>
      <c r="EM174" s="15"/>
      <c r="EN174" s="15"/>
      <c r="EO174" s="184"/>
      <c r="EP174" s="15"/>
      <c r="EQ174" s="15"/>
      <c r="ER174" s="15"/>
      <c r="ES174" s="15"/>
      <c r="ET174" s="15"/>
      <c r="EU174" s="15"/>
      <c r="EV174" s="184"/>
      <c r="EW174" s="15"/>
      <c r="EX174" s="15"/>
      <c r="EY174" s="15"/>
      <c r="EZ174" s="15"/>
      <c r="FA174" s="15"/>
      <c r="FB174" s="15"/>
      <c r="FC174" s="184"/>
      <c r="FD174" s="15"/>
      <c r="FE174" s="15"/>
      <c r="FF174" s="15"/>
      <c r="FG174" s="15"/>
      <c r="FH174" s="15"/>
      <c r="FI174" s="15"/>
      <c r="FJ174" s="184"/>
      <c r="FK174" s="15"/>
      <c r="FL174" s="15"/>
      <c r="FM174" s="15"/>
      <c r="FN174" s="15"/>
      <c r="FO174" s="15"/>
      <c r="FP174" s="15"/>
      <c r="FQ174" s="184"/>
      <c r="FR174" s="15"/>
      <c r="FS174" s="15"/>
      <c r="FT174" s="15"/>
      <c r="FU174" s="15"/>
      <c r="FV174" s="15"/>
      <c r="FW174" s="178"/>
      <c r="FX174" s="184"/>
      <c r="FY174" s="181"/>
      <c r="FZ174" s="15"/>
      <c r="GA174" s="15"/>
      <c r="GB174" s="15"/>
      <c r="GC174" s="15"/>
      <c r="GD174" s="15"/>
      <c r="GE174" s="184"/>
      <c r="GF174" s="15"/>
      <c r="GG174" s="15"/>
      <c r="GH174" s="15"/>
      <c r="GI174" s="15"/>
      <c r="GJ174" s="15"/>
      <c r="GK174" s="15"/>
      <c r="GL174" s="184"/>
      <c r="GM174" s="15"/>
      <c r="GN174" s="15"/>
      <c r="GO174" s="15"/>
      <c r="GP174" s="15"/>
      <c r="GQ174" s="15"/>
      <c r="GR174" s="15"/>
      <c r="GS174" s="184"/>
      <c r="GT174" s="15"/>
      <c r="GU174" s="15"/>
      <c r="GV174" s="15"/>
      <c r="GW174" s="15"/>
      <c r="GX174" s="15"/>
      <c r="GY174" s="15"/>
      <c r="GZ174" s="184"/>
      <c r="HA174" s="15"/>
      <c r="HB174" s="15"/>
      <c r="HC174" s="15"/>
      <c r="HD174" s="15"/>
      <c r="HE174" s="15"/>
      <c r="HF174" s="15"/>
      <c r="HG174" s="184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  <c r="JU174" s="15"/>
      <c r="JV174" s="15"/>
      <c r="JW174" s="15"/>
      <c r="JX174" s="15"/>
      <c r="JY174" s="15"/>
      <c r="JZ174" s="15"/>
      <c r="KA174" s="15"/>
      <c r="KB174" s="15"/>
      <c r="KC174" s="15"/>
      <c r="KD174" s="15"/>
      <c r="KE174" s="15"/>
      <c r="KF174" s="15"/>
      <c r="KG174" s="15"/>
      <c r="KH174" s="15"/>
      <c r="KI174" s="15"/>
      <c r="KJ174" s="15"/>
      <c r="KK174" s="15"/>
      <c r="KL174" s="15"/>
      <c r="KM174" s="15"/>
      <c r="KN174" s="15"/>
      <c r="KO174" s="15"/>
      <c r="KP174" s="15"/>
      <c r="KQ174" s="15"/>
      <c r="KR174" s="15"/>
      <c r="KS174" s="15"/>
      <c r="KT174" s="15"/>
      <c r="KU174" s="15"/>
      <c r="KV174" s="15"/>
      <c r="KW174" s="15"/>
      <c r="KX174" s="15"/>
      <c r="KY174" s="15"/>
      <c r="KZ174" s="15"/>
      <c r="LA174" s="15"/>
      <c r="LB174" s="15"/>
      <c r="LC174" s="15"/>
      <c r="LD174" s="15"/>
      <c r="LE174" s="15"/>
      <c r="LF174" s="15"/>
      <c r="LG174" s="15"/>
      <c r="LH174" s="15"/>
      <c r="LI174" s="15"/>
      <c r="LJ174" s="15"/>
      <c r="LK174" s="15"/>
      <c r="LL174" s="15"/>
      <c r="LM174" s="15"/>
      <c r="LN174" s="15"/>
      <c r="LO174" s="15"/>
      <c r="LP174" s="15"/>
      <c r="LQ174" s="15"/>
      <c r="LR174" s="15"/>
      <c r="LS174" s="15"/>
      <c r="LT174" s="15"/>
      <c r="LU174" s="15"/>
      <c r="LV174" s="15"/>
      <c r="LW174" s="15"/>
      <c r="LX174" s="15"/>
      <c r="LY174" s="15"/>
      <c r="LZ174" s="15"/>
      <c r="MA174" s="15"/>
      <c r="MB174" s="15"/>
      <c r="MC174" s="15"/>
      <c r="MD174" s="15"/>
      <c r="ME174" s="15"/>
      <c r="MF174" s="15"/>
      <c r="MG174" s="15"/>
      <c r="MH174" s="15"/>
      <c r="MI174" s="15"/>
      <c r="MJ174" s="15"/>
      <c r="MK174" s="15"/>
      <c r="ML174" s="15"/>
      <c r="MM174" s="15"/>
      <c r="MN174" s="15"/>
      <c r="MO174" s="15"/>
      <c r="MP174" s="15"/>
      <c r="MQ174" s="15"/>
      <c r="MR174" s="15"/>
      <c r="MS174" s="15"/>
      <c r="MT174" s="15"/>
      <c r="MU174" s="15"/>
      <c r="MV174" s="15"/>
      <c r="MW174" s="15"/>
      <c r="MX174" s="15"/>
      <c r="MY174" s="15"/>
      <c r="MZ174" s="15"/>
      <c r="NA174" s="15"/>
      <c r="NB174" s="15"/>
      <c r="NC174" s="15"/>
      <c r="ND174" s="15"/>
      <c r="NE174" s="15"/>
      <c r="NF174" s="15"/>
      <c r="NG174" s="15"/>
      <c r="NH174" s="15"/>
      <c r="NI174" s="15"/>
      <c r="NJ174" s="15"/>
      <c r="NK174" s="15"/>
      <c r="NL174" s="15"/>
      <c r="NM174" s="15"/>
      <c r="NN174" s="15"/>
      <c r="NO174" s="15"/>
      <c r="NP174" s="15"/>
      <c r="NQ174" s="15"/>
      <c r="NR174" s="15"/>
      <c r="NS174" s="15"/>
      <c r="NT174" s="15"/>
      <c r="NU174" s="15"/>
      <c r="NV174" s="15"/>
      <c r="NW174" s="15"/>
      <c r="NX174" s="15"/>
      <c r="NY174" s="15"/>
      <c r="NZ174" s="15"/>
    </row>
    <row r="175" spans="2:390" ht="19.5" customHeight="1" x14ac:dyDescent="0.45">
      <c r="E175" s="59"/>
      <c r="F175" s="23"/>
      <c r="G175" s="23"/>
      <c r="H175" s="52"/>
      <c r="I175" s="52"/>
      <c r="J175" s="23"/>
      <c r="K175" s="23"/>
      <c r="L175" s="23"/>
      <c r="M175" s="23"/>
      <c r="N175" s="23"/>
      <c r="O175" s="23"/>
      <c r="P175" s="23"/>
      <c r="Q175" s="23"/>
      <c r="R175" s="19"/>
      <c r="S175" s="20"/>
      <c r="T175" s="21" t="str">
        <f>IF(S175&lt;&gt;"",IF(#REF!="x",WORKDAY(IF(WEEKDAY(R175,1)=7,R175+2,IF(WEEKDAY(R175,1)=1,R175+1,R175)),S175-1),R175+S175-1),"")</f>
        <v/>
      </c>
      <c r="U175" s="22"/>
      <c r="V175" s="22"/>
      <c r="W175" s="22"/>
      <c r="X175" s="22"/>
      <c r="Y175" s="22"/>
      <c r="Z175" s="36"/>
      <c r="AA175" s="15"/>
      <c r="AB175" s="15"/>
      <c r="AC175" s="15"/>
      <c r="AD175" s="15"/>
      <c r="AE175" s="15"/>
      <c r="AF175" s="15"/>
      <c r="AG175" s="184"/>
      <c r="AH175" s="15"/>
      <c r="AI175" s="15"/>
      <c r="AJ175" s="15"/>
      <c r="AK175" s="15"/>
      <c r="AL175" s="15"/>
      <c r="AM175" s="15"/>
      <c r="AN175" s="184"/>
      <c r="AO175" s="15"/>
      <c r="AP175" s="15"/>
      <c r="AQ175" s="15"/>
      <c r="AR175" s="15"/>
      <c r="AS175" s="15"/>
      <c r="AT175" s="15"/>
      <c r="AU175" s="184"/>
      <c r="AV175" s="15"/>
      <c r="AW175" s="15"/>
      <c r="AX175" s="15"/>
      <c r="AY175" s="15"/>
      <c r="AZ175" s="15"/>
      <c r="BA175" s="15"/>
      <c r="BB175" s="184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84"/>
      <c r="CE175" s="15"/>
      <c r="CF175" s="15"/>
      <c r="CG175" s="15"/>
      <c r="CH175" s="15"/>
      <c r="CI175" s="15"/>
      <c r="CJ175" s="15"/>
      <c r="CK175" s="184"/>
      <c r="CL175" s="15"/>
      <c r="CM175" s="15"/>
      <c r="CN175" s="15"/>
      <c r="CO175" s="15"/>
      <c r="CP175" s="15"/>
      <c r="CQ175" s="15"/>
      <c r="CR175" s="184"/>
      <c r="CS175" s="15"/>
      <c r="CT175" s="15"/>
      <c r="CU175" s="15"/>
      <c r="CV175" s="15"/>
      <c r="CW175" s="15"/>
      <c r="CX175" s="15"/>
      <c r="CY175" s="184"/>
      <c r="CZ175" s="15"/>
      <c r="DA175" s="15"/>
      <c r="DB175" s="15"/>
      <c r="DC175" s="15"/>
      <c r="DD175" s="15"/>
      <c r="DE175" s="15"/>
      <c r="DF175" s="184"/>
      <c r="DG175" s="15"/>
      <c r="DH175" s="15"/>
      <c r="DI175" s="15"/>
      <c r="DJ175" s="15"/>
      <c r="DK175" s="15"/>
      <c r="DL175" s="15"/>
      <c r="DM175" s="184"/>
      <c r="DN175" s="15"/>
      <c r="DO175" s="15"/>
      <c r="DP175" s="15"/>
      <c r="DQ175" s="15"/>
      <c r="DR175" s="15"/>
      <c r="DS175" s="15"/>
      <c r="DT175" s="184"/>
      <c r="DU175" s="15"/>
      <c r="DV175" s="15"/>
      <c r="DW175" s="15"/>
      <c r="DX175" s="15"/>
      <c r="DY175" s="15"/>
      <c r="DZ175" s="15"/>
      <c r="EA175" s="184"/>
      <c r="EB175" s="15"/>
      <c r="EC175" s="15"/>
      <c r="ED175" s="15"/>
      <c r="EE175" s="15"/>
      <c r="EF175" s="15"/>
      <c r="EG175" s="15"/>
      <c r="EH175" s="184"/>
      <c r="EI175" s="15"/>
      <c r="EJ175" s="15"/>
      <c r="EK175" s="15"/>
      <c r="EL175" s="15"/>
      <c r="EM175" s="15"/>
      <c r="EN175" s="15"/>
      <c r="EO175" s="184"/>
      <c r="EP175" s="15"/>
      <c r="EQ175" s="15"/>
      <c r="ER175" s="15"/>
      <c r="ES175" s="15"/>
      <c r="ET175" s="15"/>
      <c r="EU175" s="15"/>
      <c r="EV175" s="184"/>
      <c r="EW175" s="15"/>
      <c r="EX175" s="15"/>
      <c r="EY175" s="15"/>
      <c r="EZ175" s="15"/>
      <c r="FA175" s="15"/>
      <c r="FB175" s="15"/>
      <c r="FC175" s="184"/>
      <c r="FD175" s="15"/>
      <c r="FE175" s="15"/>
      <c r="FF175" s="15"/>
      <c r="FG175" s="15"/>
      <c r="FH175" s="15"/>
      <c r="FI175" s="15"/>
      <c r="FJ175" s="184"/>
      <c r="FK175" s="15"/>
      <c r="FL175" s="15"/>
      <c r="FM175" s="15"/>
      <c r="FN175" s="15"/>
      <c r="FO175" s="15"/>
      <c r="FP175" s="15"/>
      <c r="FQ175" s="184"/>
      <c r="FR175" s="15"/>
      <c r="FS175" s="15"/>
      <c r="FT175" s="15"/>
      <c r="FU175" s="15"/>
      <c r="FV175" s="15"/>
      <c r="FW175" s="178"/>
      <c r="FX175" s="184"/>
      <c r="FY175" s="181"/>
      <c r="FZ175" s="15"/>
      <c r="GA175" s="15"/>
      <c r="GB175" s="15"/>
      <c r="GC175" s="15"/>
      <c r="GD175" s="15"/>
      <c r="GE175" s="184"/>
      <c r="GF175" s="15"/>
      <c r="GG175" s="15"/>
      <c r="GH175" s="15"/>
      <c r="GI175" s="15"/>
      <c r="GJ175" s="15"/>
      <c r="GK175" s="15"/>
      <c r="GL175" s="184"/>
      <c r="GM175" s="15"/>
      <c r="GN175" s="15"/>
      <c r="GO175" s="15"/>
      <c r="GP175" s="15"/>
      <c r="GQ175" s="15"/>
      <c r="GR175" s="15"/>
      <c r="GS175" s="184"/>
      <c r="GT175" s="15"/>
      <c r="GU175" s="15"/>
      <c r="GV175" s="15"/>
      <c r="GW175" s="15"/>
      <c r="GX175" s="15"/>
      <c r="GY175" s="15"/>
      <c r="GZ175" s="184"/>
      <c r="HA175" s="15"/>
      <c r="HB175" s="15"/>
      <c r="HC175" s="15"/>
      <c r="HD175" s="15"/>
      <c r="HE175" s="15"/>
      <c r="HF175" s="15"/>
      <c r="HG175" s="184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  <c r="JU175" s="15"/>
      <c r="JV175" s="15"/>
      <c r="JW175" s="15"/>
      <c r="JX175" s="15"/>
      <c r="JY175" s="15"/>
      <c r="JZ175" s="15"/>
      <c r="KA175" s="15"/>
      <c r="KB175" s="15"/>
      <c r="KC175" s="15"/>
      <c r="KD175" s="15"/>
      <c r="KE175" s="15"/>
      <c r="KF175" s="15"/>
      <c r="KG175" s="15"/>
      <c r="KH175" s="15"/>
      <c r="KI175" s="15"/>
      <c r="KJ175" s="15"/>
      <c r="KK175" s="15"/>
      <c r="KL175" s="15"/>
      <c r="KM175" s="15"/>
      <c r="KN175" s="15"/>
      <c r="KO175" s="15"/>
      <c r="KP175" s="15"/>
      <c r="KQ175" s="15"/>
      <c r="KR175" s="15"/>
      <c r="KS175" s="15"/>
      <c r="KT175" s="15"/>
      <c r="KU175" s="15"/>
      <c r="KV175" s="15"/>
      <c r="KW175" s="15"/>
      <c r="KX175" s="15"/>
      <c r="KY175" s="15"/>
      <c r="KZ175" s="15"/>
      <c r="LA175" s="15"/>
      <c r="LB175" s="15"/>
      <c r="LC175" s="15"/>
      <c r="LD175" s="15"/>
      <c r="LE175" s="15"/>
      <c r="LF175" s="15"/>
      <c r="LG175" s="15"/>
      <c r="LH175" s="15"/>
      <c r="LI175" s="15"/>
      <c r="LJ175" s="15"/>
      <c r="LK175" s="15"/>
      <c r="LL175" s="15"/>
      <c r="LM175" s="15"/>
      <c r="LN175" s="15"/>
      <c r="LO175" s="15"/>
      <c r="LP175" s="15"/>
      <c r="LQ175" s="15"/>
      <c r="LR175" s="15"/>
      <c r="LS175" s="15"/>
      <c r="LT175" s="15"/>
      <c r="LU175" s="15"/>
      <c r="LV175" s="15"/>
      <c r="LW175" s="15"/>
      <c r="LX175" s="15"/>
      <c r="LY175" s="15"/>
      <c r="LZ175" s="15"/>
      <c r="MA175" s="15"/>
      <c r="MB175" s="15"/>
      <c r="MC175" s="15"/>
      <c r="MD175" s="15"/>
      <c r="ME175" s="15"/>
      <c r="MF175" s="15"/>
      <c r="MG175" s="15"/>
      <c r="MH175" s="15"/>
      <c r="MI175" s="15"/>
      <c r="MJ175" s="15"/>
      <c r="MK175" s="15"/>
      <c r="ML175" s="15"/>
      <c r="MM175" s="15"/>
      <c r="MN175" s="15"/>
      <c r="MO175" s="15"/>
      <c r="MP175" s="15"/>
      <c r="MQ175" s="15"/>
      <c r="MR175" s="15"/>
      <c r="MS175" s="15"/>
      <c r="MT175" s="15"/>
      <c r="MU175" s="15"/>
      <c r="MV175" s="15"/>
      <c r="MW175" s="15"/>
      <c r="MX175" s="15"/>
      <c r="MY175" s="15"/>
      <c r="MZ175" s="15"/>
      <c r="NA175" s="15"/>
      <c r="NB175" s="15"/>
      <c r="NC175" s="15"/>
      <c r="ND175" s="15"/>
      <c r="NE175" s="15"/>
      <c r="NF175" s="15"/>
      <c r="NG175" s="15"/>
      <c r="NH175" s="15"/>
      <c r="NI175" s="15"/>
      <c r="NJ175" s="15"/>
      <c r="NK175" s="15"/>
      <c r="NL175" s="15"/>
      <c r="NM175" s="15"/>
      <c r="NN175" s="15"/>
      <c r="NO175" s="15"/>
      <c r="NP175" s="15"/>
      <c r="NQ175" s="15"/>
      <c r="NR175" s="15"/>
      <c r="NS175" s="15"/>
      <c r="NT175" s="15"/>
      <c r="NU175" s="15"/>
      <c r="NV175" s="15"/>
      <c r="NW175" s="15"/>
      <c r="NX175" s="15"/>
      <c r="NY175" s="15"/>
      <c r="NZ175" s="15"/>
    </row>
    <row r="176" spans="2:390" ht="19.5" customHeight="1" x14ac:dyDescent="0.45">
      <c r="E176" s="59"/>
      <c r="F176" s="23"/>
      <c r="G176" s="23"/>
      <c r="H176" s="52"/>
      <c r="I176" s="52"/>
      <c r="J176" s="23"/>
      <c r="K176" s="23"/>
      <c r="L176" s="23"/>
      <c r="M176" s="23"/>
      <c r="N176" s="23"/>
      <c r="O176" s="23"/>
      <c r="P176" s="23"/>
      <c r="Q176" s="23"/>
      <c r="R176" s="19"/>
      <c r="S176" s="20"/>
      <c r="T176" s="21" t="str">
        <f>IF(S176&lt;&gt;"",IF(#REF!="x",WORKDAY(IF(WEEKDAY(R176,1)=7,R176+2,IF(WEEKDAY(R176,1)=1,R176+1,R176)),S176-1),R176+S176-1),"")</f>
        <v/>
      </c>
      <c r="U176" s="22"/>
      <c r="V176" s="22"/>
      <c r="W176" s="22"/>
      <c r="X176" s="22"/>
      <c r="Y176" s="22"/>
      <c r="Z176" s="36"/>
      <c r="AA176" s="15"/>
      <c r="AB176" s="15"/>
      <c r="AC176" s="15"/>
      <c r="AD176" s="15"/>
      <c r="AE176" s="15"/>
      <c r="AF176" s="15"/>
      <c r="AG176" s="184"/>
      <c r="AH176" s="15"/>
      <c r="AI176" s="15"/>
      <c r="AJ176" s="15"/>
      <c r="AK176" s="15"/>
      <c r="AL176" s="15"/>
      <c r="AM176" s="15"/>
      <c r="AN176" s="184"/>
      <c r="AO176" s="15"/>
      <c r="AP176" s="15"/>
      <c r="AQ176" s="15"/>
      <c r="AR176" s="15"/>
      <c r="AS176" s="15"/>
      <c r="AT176" s="15"/>
      <c r="AU176" s="184"/>
      <c r="AV176" s="15"/>
      <c r="AW176" s="15"/>
      <c r="AX176" s="15"/>
      <c r="AY176" s="15"/>
      <c r="AZ176" s="15"/>
      <c r="BA176" s="15"/>
      <c r="BB176" s="184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84"/>
      <c r="CE176" s="15"/>
      <c r="CF176" s="15"/>
      <c r="CG176" s="15"/>
      <c r="CH176" s="15"/>
      <c r="CI176" s="15"/>
      <c r="CJ176" s="15"/>
      <c r="CK176" s="184"/>
      <c r="CL176" s="15"/>
      <c r="CM176" s="15"/>
      <c r="CN176" s="15"/>
      <c r="CO176" s="15"/>
      <c r="CP176" s="15"/>
      <c r="CQ176" s="15"/>
      <c r="CR176" s="184"/>
      <c r="CS176" s="15"/>
      <c r="CT176" s="15"/>
      <c r="CU176" s="15"/>
      <c r="CV176" s="15"/>
      <c r="CW176" s="15"/>
      <c r="CX176" s="15"/>
      <c r="CY176" s="184"/>
      <c r="CZ176" s="15"/>
      <c r="DA176" s="15"/>
      <c r="DB176" s="15"/>
      <c r="DC176" s="15"/>
      <c r="DD176" s="15"/>
      <c r="DE176" s="15"/>
      <c r="DF176" s="184"/>
      <c r="DG176" s="15"/>
      <c r="DH176" s="15"/>
      <c r="DI176" s="15"/>
      <c r="DJ176" s="15"/>
      <c r="DK176" s="15"/>
      <c r="DL176" s="15"/>
      <c r="DM176" s="184"/>
      <c r="DN176" s="15"/>
      <c r="DO176" s="15"/>
      <c r="DP176" s="15"/>
      <c r="DQ176" s="15"/>
      <c r="DR176" s="15"/>
      <c r="DS176" s="15"/>
      <c r="DT176" s="184"/>
      <c r="DU176" s="15"/>
      <c r="DV176" s="15"/>
      <c r="DW176" s="15"/>
      <c r="DX176" s="15"/>
      <c r="DY176" s="15"/>
      <c r="DZ176" s="15"/>
      <c r="EA176" s="184"/>
      <c r="EB176" s="15"/>
      <c r="EC176" s="15"/>
      <c r="ED176" s="15"/>
      <c r="EE176" s="15"/>
      <c r="EF176" s="15"/>
      <c r="EG176" s="15"/>
      <c r="EH176" s="184"/>
      <c r="EI176" s="15"/>
      <c r="EJ176" s="15"/>
      <c r="EK176" s="15"/>
      <c r="EL176" s="15"/>
      <c r="EM176" s="15"/>
      <c r="EN176" s="15"/>
      <c r="EO176" s="184"/>
      <c r="EP176" s="15"/>
      <c r="EQ176" s="15"/>
      <c r="ER176" s="15"/>
      <c r="ES176" s="15"/>
      <c r="ET176" s="15"/>
      <c r="EU176" s="15"/>
      <c r="EV176" s="184"/>
      <c r="EW176" s="15"/>
      <c r="EX176" s="15"/>
      <c r="EY176" s="15"/>
      <c r="EZ176" s="15"/>
      <c r="FA176" s="15"/>
      <c r="FB176" s="15"/>
      <c r="FC176" s="184"/>
      <c r="FD176" s="15"/>
      <c r="FE176" s="15"/>
      <c r="FF176" s="15"/>
      <c r="FG176" s="15"/>
      <c r="FH176" s="15"/>
      <c r="FI176" s="15"/>
      <c r="FJ176" s="184"/>
      <c r="FK176" s="15"/>
      <c r="FL176" s="15"/>
      <c r="FM176" s="15"/>
      <c r="FN176" s="15"/>
      <c r="FO176" s="15"/>
      <c r="FP176" s="15"/>
      <c r="FQ176" s="184"/>
      <c r="FR176" s="15"/>
      <c r="FS176" s="15"/>
      <c r="FT176" s="15"/>
      <c r="FU176" s="15"/>
      <c r="FV176" s="15"/>
      <c r="FW176" s="178"/>
      <c r="FX176" s="184"/>
      <c r="FY176" s="181"/>
      <c r="FZ176" s="15"/>
      <c r="GA176" s="15"/>
      <c r="GB176" s="15"/>
      <c r="GC176" s="15"/>
      <c r="GD176" s="15"/>
      <c r="GE176" s="184"/>
      <c r="GF176" s="15"/>
      <c r="GG176" s="15"/>
      <c r="GH176" s="15"/>
      <c r="GI176" s="15"/>
      <c r="GJ176" s="15"/>
      <c r="GK176" s="15"/>
      <c r="GL176" s="184"/>
      <c r="GM176" s="15"/>
      <c r="GN176" s="15"/>
      <c r="GO176" s="15"/>
      <c r="GP176" s="15"/>
      <c r="GQ176" s="15"/>
      <c r="GR176" s="15"/>
      <c r="GS176" s="184"/>
      <c r="GT176" s="15"/>
      <c r="GU176" s="15"/>
      <c r="GV176" s="15"/>
      <c r="GW176" s="15"/>
      <c r="GX176" s="15"/>
      <c r="GY176" s="15"/>
      <c r="GZ176" s="184"/>
      <c r="HA176" s="15"/>
      <c r="HB176" s="15"/>
      <c r="HC176" s="15"/>
      <c r="HD176" s="15"/>
      <c r="HE176" s="15"/>
      <c r="HF176" s="15"/>
      <c r="HG176" s="184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  <c r="JU176" s="15"/>
      <c r="JV176" s="15"/>
      <c r="JW176" s="15"/>
      <c r="JX176" s="15"/>
      <c r="JY176" s="15"/>
      <c r="JZ176" s="15"/>
      <c r="KA176" s="15"/>
      <c r="KB176" s="15"/>
      <c r="KC176" s="15"/>
      <c r="KD176" s="15"/>
      <c r="KE176" s="15"/>
      <c r="KF176" s="15"/>
      <c r="KG176" s="15"/>
      <c r="KH176" s="15"/>
      <c r="KI176" s="15"/>
      <c r="KJ176" s="15"/>
      <c r="KK176" s="15"/>
      <c r="KL176" s="15"/>
      <c r="KM176" s="15"/>
      <c r="KN176" s="15"/>
      <c r="KO176" s="15"/>
      <c r="KP176" s="15"/>
      <c r="KQ176" s="15"/>
      <c r="KR176" s="15"/>
      <c r="KS176" s="15"/>
      <c r="KT176" s="15"/>
      <c r="KU176" s="15"/>
      <c r="KV176" s="15"/>
      <c r="KW176" s="15"/>
      <c r="KX176" s="15"/>
      <c r="KY176" s="15"/>
      <c r="KZ176" s="15"/>
      <c r="LA176" s="15"/>
      <c r="LB176" s="15"/>
      <c r="LC176" s="15"/>
      <c r="LD176" s="15"/>
      <c r="LE176" s="15"/>
      <c r="LF176" s="15"/>
      <c r="LG176" s="15"/>
      <c r="LH176" s="15"/>
      <c r="LI176" s="15"/>
      <c r="LJ176" s="15"/>
      <c r="LK176" s="15"/>
      <c r="LL176" s="15"/>
      <c r="LM176" s="15"/>
      <c r="LN176" s="15"/>
      <c r="LO176" s="15"/>
      <c r="LP176" s="15"/>
      <c r="LQ176" s="15"/>
      <c r="LR176" s="15"/>
      <c r="LS176" s="15"/>
      <c r="LT176" s="15"/>
      <c r="LU176" s="15"/>
      <c r="LV176" s="15"/>
      <c r="LW176" s="15"/>
      <c r="LX176" s="15"/>
      <c r="LY176" s="15"/>
      <c r="LZ176" s="15"/>
      <c r="MA176" s="15"/>
      <c r="MB176" s="15"/>
      <c r="MC176" s="15"/>
      <c r="MD176" s="15"/>
      <c r="ME176" s="15"/>
      <c r="MF176" s="15"/>
      <c r="MG176" s="15"/>
      <c r="MH176" s="15"/>
      <c r="MI176" s="15"/>
      <c r="MJ176" s="15"/>
      <c r="MK176" s="15"/>
      <c r="ML176" s="15"/>
      <c r="MM176" s="15"/>
      <c r="MN176" s="15"/>
      <c r="MO176" s="15"/>
      <c r="MP176" s="15"/>
      <c r="MQ176" s="15"/>
      <c r="MR176" s="15"/>
      <c r="MS176" s="15"/>
      <c r="MT176" s="15"/>
      <c r="MU176" s="15"/>
      <c r="MV176" s="15"/>
      <c r="MW176" s="15"/>
      <c r="MX176" s="15"/>
      <c r="MY176" s="15"/>
      <c r="MZ176" s="15"/>
      <c r="NA176" s="15"/>
      <c r="NB176" s="15"/>
      <c r="NC176" s="15"/>
      <c r="ND176" s="15"/>
      <c r="NE176" s="15"/>
      <c r="NF176" s="15"/>
      <c r="NG176" s="15"/>
      <c r="NH176" s="15"/>
      <c r="NI176" s="15"/>
      <c r="NJ176" s="15"/>
      <c r="NK176" s="15"/>
      <c r="NL176" s="15"/>
      <c r="NM176" s="15"/>
      <c r="NN176" s="15"/>
      <c r="NO176" s="15"/>
      <c r="NP176" s="15"/>
      <c r="NQ176" s="15"/>
      <c r="NR176" s="15"/>
      <c r="NS176" s="15"/>
      <c r="NT176" s="15"/>
      <c r="NU176" s="15"/>
      <c r="NV176" s="15"/>
      <c r="NW176" s="15"/>
      <c r="NX176" s="15"/>
      <c r="NY176" s="15"/>
      <c r="NZ176" s="15"/>
    </row>
    <row r="177" spans="5:390" ht="30" customHeight="1" x14ac:dyDescent="0.45">
      <c r="E177" s="29"/>
      <c r="F177" s="31"/>
      <c r="G177" s="31"/>
      <c r="H177" s="72"/>
      <c r="I177" s="72"/>
      <c r="J177" s="31"/>
      <c r="K177" s="31"/>
      <c r="L177" s="31"/>
      <c r="M177" s="31"/>
      <c r="N177" s="31"/>
      <c r="O177" s="31"/>
      <c r="P177" s="31"/>
      <c r="Q177" s="31"/>
      <c r="R177" s="19"/>
      <c r="S177" s="20"/>
      <c r="T177" s="21"/>
      <c r="U177" s="22"/>
      <c r="V177" s="22"/>
      <c r="W177" s="22"/>
      <c r="X177" s="22"/>
      <c r="Y177" s="22"/>
      <c r="Z177" s="36"/>
      <c r="AA177" s="15"/>
      <c r="AB177" s="15"/>
      <c r="AC177" s="15"/>
      <c r="AD177" s="15"/>
      <c r="AE177" s="15"/>
      <c r="AF177" s="15"/>
      <c r="AG177" s="184"/>
      <c r="AH177" s="15"/>
      <c r="AI177" s="15"/>
      <c r="AJ177" s="15"/>
      <c r="AK177" s="15"/>
      <c r="AL177" s="15"/>
      <c r="AM177" s="15"/>
      <c r="AN177" s="184"/>
      <c r="AO177" s="15"/>
      <c r="AP177" s="15"/>
      <c r="AQ177" s="15"/>
      <c r="AR177" s="15"/>
      <c r="AS177" s="15"/>
      <c r="AT177" s="15"/>
      <c r="AU177" s="184"/>
      <c r="AV177" s="15"/>
      <c r="AW177" s="15"/>
      <c r="AX177" s="15"/>
      <c r="AY177" s="15"/>
      <c r="AZ177" s="15"/>
      <c r="BA177" s="15"/>
      <c r="BB177" s="184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84"/>
      <c r="CE177" s="15"/>
      <c r="CF177" s="15"/>
      <c r="CG177" s="15"/>
      <c r="CH177" s="15"/>
      <c r="CI177" s="15"/>
      <c r="CJ177" s="15"/>
      <c r="CK177" s="184"/>
      <c r="CL177" s="15"/>
      <c r="CM177" s="15"/>
      <c r="CN177" s="15"/>
      <c r="CO177" s="15"/>
      <c r="CP177" s="15"/>
      <c r="CQ177" s="15"/>
      <c r="CR177" s="184"/>
      <c r="CS177" s="15"/>
      <c r="CT177" s="15"/>
      <c r="CU177" s="15"/>
      <c r="CV177" s="15"/>
      <c r="CW177" s="15"/>
      <c r="CX177" s="15"/>
      <c r="CY177" s="184"/>
      <c r="CZ177" s="15"/>
      <c r="DA177" s="15"/>
      <c r="DB177" s="15"/>
      <c r="DC177" s="15"/>
      <c r="DD177" s="15"/>
      <c r="DE177" s="15"/>
      <c r="DF177" s="184"/>
      <c r="DG177" s="15"/>
      <c r="DH177" s="15"/>
      <c r="DI177" s="15"/>
      <c r="DJ177" s="15"/>
      <c r="DK177" s="15"/>
      <c r="DL177" s="15"/>
      <c r="DM177" s="184"/>
      <c r="DN177" s="15"/>
      <c r="DO177" s="15"/>
      <c r="DP177" s="15"/>
      <c r="DQ177" s="15"/>
      <c r="DR177" s="15"/>
      <c r="DS177" s="15"/>
      <c r="DT177" s="184"/>
      <c r="DU177" s="15"/>
      <c r="DV177" s="15"/>
      <c r="DW177" s="15"/>
      <c r="DX177" s="15"/>
      <c r="DY177" s="15"/>
      <c r="DZ177" s="15"/>
      <c r="EA177" s="184"/>
      <c r="EB177" s="15"/>
      <c r="EC177" s="15"/>
      <c r="ED177" s="15"/>
      <c r="EE177" s="15"/>
      <c r="EF177" s="15"/>
      <c r="EG177" s="15"/>
      <c r="EH177" s="184"/>
      <c r="EI177" s="15"/>
      <c r="EJ177" s="15"/>
      <c r="EK177" s="15"/>
      <c r="EL177" s="15"/>
      <c r="EM177" s="15"/>
      <c r="EN177" s="15"/>
      <c r="EO177" s="184"/>
      <c r="EP177" s="15"/>
      <c r="EQ177" s="15"/>
      <c r="ER177" s="15"/>
      <c r="ES177" s="15"/>
      <c r="ET177" s="15"/>
      <c r="EU177" s="15"/>
      <c r="EV177" s="184"/>
      <c r="EW177" s="15"/>
      <c r="EX177" s="15"/>
      <c r="EY177" s="15"/>
      <c r="EZ177" s="15"/>
      <c r="FA177" s="15"/>
      <c r="FB177" s="15"/>
      <c r="FC177" s="184"/>
      <c r="FD177" s="15"/>
      <c r="FE177" s="15"/>
      <c r="FF177" s="15"/>
      <c r="FG177" s="15"/>
      <c r="FH177" s="15"/>
      <c r="FI177" s="15"/>
      <c r="FJ177" s="184"/>
      <c r="FK177" s="15"/>
      <c r="FL177" s="15"/>
      <c r="FM177" s="15"/>
      <c r="FN177" s="15"/>
      <c r="FO177" s="15"/>
      <c r="FP177" s="15"/>
      <c r="FQ177" s="184"/>
      <c r="FR177" s="15"/>
      <c r="FS177" s="15"/>
      <c r="FT177" s="15"/>
      <c r="FU177" s="15"/>
      <c r="FV177" s="15"/>
      <c r="FW177" s="178"/>
      <c r="FX177" s="184"/>
      <c r="FY177" s="181"/>
      <c r="FZ177" s="15"/>
      <c r="GA177" s="15"/>
      <c r="GB177" s="15"/>
      <c r="GC177" s="15"/>
      <c r="GD177" s="15"/>
      <c r="GE177" s="184"/>
      <c r="GF177" s="15"/>
      <c r="GG177" s="15"/>
      <c r="GH177" s="15"/>
      <c r="GI177" s="15"/>
      <c r="GJ177" s="15"/>
      <c r="GK177" s="15"/>
      <c r="GL177" s="184"/>
      <c r="GM177" s="15"/>
      <c r="GN177" s="15"/>
      <c r="GO177" s="15"/>
      <c r="GP177" s="15"/>
      <c r="GQ177" s="15"/>
      <c r="GR177" s="15"/>
      <c r="GS177" s="184"/>
      <c r="GT177" s="15"/>
      <c r="GU177" s="15"/>
      <c r="GV177" s="15"/>
      <c r="GW177" s="15"/>
      <c r="GX177" s="15"/>
      <c r="GY177" s="15"/>
      <c r="GZ177" s="184"/>
      <c r="HA177" s="15"/>
      <c r="HB177" s="15"/>
      <c r="HC177" s="15"/>
      <c r="HD177" s="15"/>
      <c r="HE177" s="15"/>
      <c r="HF177" s="15"/>
      <c r="HG177" s="184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  <c r="JU177" s="15"/>
      <c r="JV177" s="15"/>
      <c r="JW177" s="15"/>
      <c r="JX177" s="15"/>
      <c r="JY177" s="15"/>
      <c r="JZ177" s="15"/>
      <c r="KA177" s="15"/>
      <c r="KB177" s="15"/>
      <c r="KC177" s="15"/>
      <c r="KD177" s="15"/>
      <c r="KE177" s="15"/>
      <c r="KF177" s="15"/>
      <c r="KG177" s="15"/>
      <c r="KH177" s="15"/>
      <c r="KI177" s="15"/>
      <c r="KJ177" s="15"/>
      <c r="KK177" s="15"/>
      <c r="KL177" s="15"/>
      <c r="KM177" s="15"/>
      <c r="KN177" s="15"/>
      <c r="KO177" s="15"/>
      <c r="KP177" s="15"/>
      <c r="KQ177" s="15"/>
      <c r="KR177" s="15"/>
      <c r="KS177" s="15"/>
      <c r="KT177" s="15"/>
      <c r="KU177" s="15"/>
      <c r="KV177" s="15"/>
      <c r="KW177" s="15"/>
      <c r="KX177" s="15"/>
      <c r="KY177" s="15"/>
      <c r="KZ177" s="15"/>
      <c r="LA177" s="15"/>
      <c r="LB177" s="15"/>
      <c r="LC177" s="15"/>
      <c r="LD177" s="15"/>
      <c r="LE177" s="15"/>
      <c r="LF177" s="15"/>
      <c r="LG177" s="15"/>
      <c r="LH177" s="15"/>
      <c r="LI177" s="15"/>
      <c r="LJ177" s="15"/>
      <c r="LK177" s="15"/>
      <c r="LL177" s="15"/>
      <c r="LM177" s="15"/>
      <c r="LN177" s="15"/>
      <c r="LO177" s="15"/>
      <c r="LP177" s="15"/>
      <c r="LQ177" s="15"/>
      <c r="LR177" s="15"/>
      <c r="LS177" s="15"/>
      <c r="LT177" s="15"/>
      <c r="LU177" s="15"/>
      <c r="LV177" s="15"/>
      <c r="LW177" s="15"/>
      <c r="LX177" s="15"/>
      <c r="LY177" s="15"/>
      <c r="LZ177" s="15"/>
      <c r="MA177" s="15"/>
      <c r="MB177" s="15"/>
      <c r="MC177" s="15"/>
      <c r="MD177" s="15"/>
      <c r="ME177" s="15"/>
      <c r="MF177" s="15"/>
      <c r="MG177" s="15"/>
      <c r="MH177" s="15"/>
      <c r="MI177" s="15"/>
      <c r="MJ177" s="15"/>
      <c r="MK177" s="15"/>
      <c r="ML177" s="15"/>
      <c r="MM177" s="15"/>
      <c r="MN177" s="15"/>
      <c r="MO177" s="15"/>
      <c r="MP177" s="15"/>
      <c r="MQ177" s="15"/>
      <c r="MR177" s="15"/>
      <c r="MS177" s="15"/>
      <c r="MT177" s="15"/>
      <c r="MU177" s="15"/>
      <c r="MV177" s="15"/>
      <c r="MW177" s="15"/>
      <c r="MX177" s="15"/>
      <c r="MY177" s="15"/>
      <c r="MZ177" s="15"/>
      <c r="NA177" s="15"/>
      <c r="NB177" s="15"/>
      <c r="NC177" s="15"/>
      <c r="ND177" s="15"/>
      <c r="NE177" s="15"/>
      <c r="NF177" s="15"/>
      <c r="NG177" s="15"/>
      <c r="NH177" s="15"/>
      <c r="NI177" s="15"/>
      <c r="NJ177" s="15"/>
      <c r="NK177" s="15"/>
      <c r="NL177" s="15"/>
      <c r="NM177" s="15"/>
      <c r="NN177" s="15"/>
      <c r="NO177" s="15"/>
      <c r="NP177" s="15"/>
      <c r="NQ177" s="15"/>
      <c r="NR177" s="15"/>
      <c r="NS177" s="15"/>
      <c r="NT177" s="15"/>
      <c r="NU177" s="15"/>
      <c r="NV177" s="15"/>
      <c r="NW177" s="15"/>
      <c r="NX177" s="15"/>
      <c r="NY177" s="15"/>
      <c r="NZ177" s="15"/>
    </row>
    <row r="178" spans="5:390" ht="30" customHeight="1" x14ac:dyDescent="0.45">
      <c r="E178" s="29"/>
      <c r="F178" s="31"/>
      <c r="G178" s="31"/>
      <c r="H178" s="72"/>
      <c r="I178" s="72"/>
      <c r="J178" s="31"/>
      <c r="K178" s="31"/>
      <c r="L178" s="31"/>
      <c r="M178" s="31"/>
      <c r="N178" s="31"/>
      <c r="O178" s="31"/>
      <c r="P178" s="31"/>
      <c r="Q178" s="31"/>
      <c r="R178" s="19"/>
      <c r="S178" s="20"/>
      <c r="T178" s="21"/>
      <c r="U178" s="22"/>
      <c r="V178" s="22"/>
      <c r="W178" s="22"/>
      <c r="X178" s="22"/>
      <c r="Y178" s="22"/>
      <c r="Z178" s="36"/>
      <c r="AA178" s="15"/>
      <c r="AB178" s="15"/>
      <c r="AC178" s="15"/>
      <c r="AD178" s="15"/>
      <c r="AE178" s="15"/>
      <c r="AF178" s="15"/>
      <c r="AG178" s="184"/>
      <c r="AH178" s="15"/>
      <c r="AI178" s="15"/>
      <c r="AJ178" s="15"/>
      <c r="AK178" s="15"/>
      <c r="AL178" s="15"/>
      <c r="AM178" s="15"/>
      <c r="AN178" s="184"/>
      <c r="AO178" s="15"/>
      <c r="AP178" s="15"/>
      <c r="AQ178" s="15"/>
      <c r="AR178" s="15"/>
      <c r="AS178" s="15"/>
      <c r="AT178" s="15"/>
      <c r="AU178" s="184"/>
      <c r="AV178" s="15"/>
      <c r="AW178" s="15"/>
      <c r="AX178" s="15"/>
      <c r="AY178" s="15"/>
      <c r="AZ178" s="15"/>
      <c r="BA178" s="15"/>
      <c r="BB178" s="184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84"/>
      <c r="CE178" s="15"/>
      <c r="CF178" s="15"/>
      <c r="CG178" s="15"/>
      <c r="CH178" s="15"/>
      <c r="CI178" s="15"/>
      <c r="CJ178" s="15"/>
      <c r="CK178" s="184"/>
      <c r="CL178" s="15"/>
      <c r="CM178" s="15"/>
      <c r="CN178" s="15"/>
      <c r="CO178" s="15"/>
      <c r="CP178" s="15"/>
      <c r="CQ178" s="15"/>
      <c r="CR178" s="184"/>
      <c r="CS178" s="15"/>
      <c r="CT178" s="15"/>
      <c r="CU178" s="15"/>
      <c r="CV178" s="15"/>
      <c r="CW178" s="15"/>
      <c r="CX178" s="15"/>
      <c r="CY178" s="184"/>
      <c r="CZ178" s="15"/>
      <c r="DA178" s="15"/>
      <c r="DB178" s="15"/>
      <c r="DC178" s="15"/>
      <c r="DD178" s="15"/>
      <c r="DE178" s="15"/>
      <c r="DF178" s="184"/>
      <c r="DG178" s="15"/>
      <c r="DH178" s="15"/>
      <c r="DI178" s="15"/>
      <c r="DJ178" s="15"/>
      <c r="DK178" s="15"/>
      <c r="DL178" s="15"/>
      <c r="DM178" s="184"/>
      <c r="DN178" s="15"/>
      <c r="DO178" s="15"/>
      <c r="DP178" s="15"/>
      <c r="DQ178" s="15"/>
      <c r="DR178" s="15"/>
      <c r="DS178" s="15"/>
      <c r="DT178" s="184"/>
      <c r="DU178" s="15"/>
      <c r="DV178" s="15"/>
      <c r="DW178" s="15"/>
      <c r="DX178" s="15"/>
      <c r="DY178" s="15"/>
      <c r="DZ178" s="15"/>
      <c r="EA178" s="184"/>
      <c r="EB178" s="15"/>
      <c r="EC178" s="15"/>
      <c r="ED178" s="15"/>
      <c r="EE178" s="15"/>
      <c r="EF178" s="15"/>
      <c r="EG178" s="15"/>
      <c r="EH178" s="184"/>
      <c r="EI178" s="15"/>
      <c r="EJ178" s="15"/>
      <c r="EK178" s="15"/>
      <c r="EL178" s="15"/>
      <c r="EM178" s="15"/>
      <c r="EN178" s="15"/>
      <c r="EO178" s="184"/>
      <c r="EP178" s="15"/>
      <c r="EQ178" s="15"/>
      <c r="ER178" s="15"/>
      <c r="ES178" s="15"/>
      <c r="ET178" s="15"/>
      <c r="EU178" s="15"/>
      <c r="EV178" s="184"/>
      <c r="EW178" s="15"/>
      <c r="EX178" s="15"/>
      <c r="EY178" s="15"/>
      <c r="EZ178" s="15"/>
      <c r="FA178" s="15"/>
      <c r="FB178" s="15"/>
      <c r="FC178" s="184"/>
      <c r="FD178" s="15"/>
      <c r="FE178" s="15"/>
      <c r="FF178" s="15"/>
      <c r="FG178" s="15"/>
      <c r="FH178" s="15"/>
      <c r="FI178" s="15"/>
      <c r="FJ178" s="184"/>
      <c r="FK178" s="15"/>
      <c r="FL178" s="15"/>
      <c r="FM178" s="15"/>
      <c r="FN178" s="15"/>
      <c r="FO178" s="15"/>
      <c r="FP178" s="15"/>
      <c r="FQ178" s="184"/>
      <c r="FR178" s="15"/>
      <c r="FS178" s="15"/>
      <c r="FT178" s="15"/>
      <c r="FU178" s="15"/>
      <c r="FV178" s="15"/>
      <c r="FW178" s="178"/>
      <c r="FX178" s="184"/>
      <c r="FY178" s="181"/>
      <c r="FZ178" s="15"/>
      <c r="GA178" s="15"/>
      <c r="GB178" s="15"/>
      <c r="GC178" s="15"/>
      <c r="GD178" s="15"/>
      <c r="GE178" s="184"/>
      <c r="GF178" s="15"/>
      <c r="GG178" s="15"/>
      <c r="GH178" s="15"/>
      <c r="GI178" s="15"/>
      <c r="GJ178" s="15"/>
      <c r="GK178" s="15"/>
      <c r="GL178" s="184"/>
      <c r="GM178" s="15"/>
      <c r="GN178" s="15"/>
      <c r="GO178" s="15"/>
      <c r="GP178" s="15"/>
      <c r="GQ178" s="15"/>
      <c r="GR178" s="15"/>
      <c r="GS178" s="184"/>
      <c r="GT178" s="15"/>
      <c r="GU178" s="15"/>
      <c r="GV178" s="15"/>
      <c r="GW178" s="15"/>
      <c r="GX178" s="15"/>
      <c r="GY178" s="15"/>
      <c r="GZ178" s="184"/>
      <c r="HA178" s="15"/>
      <c r="HB178" s="15"/>
      <c r="HC178" s="15"/>
      <c r="HD178" s="15"/>
      <c r="HE178" s="15"/>
      <c r="HF178" s="15"/>
      <c r="HG178" s="184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  <c r="JU178" s="15"/>
      <c r="JV178" s="15"/>
      <c r="JW178" s="15"/>
      <c r="JX178" s="15"/>
      <c r="JY178" s="15"/>
      <c r="JZ178" s="15"/>
      <c r="KA178" s="15"/>
      <c r="KB178" s="15"/>
      <c r="KC178" s="15"/>
      <c r="KD178" s="15"/>
      <c r="KE178" s="15"/>
      <c r="KF178" s="15"/>
      <c r="KG178" s="15"/>
      <c r="KH178" s="15"/>
      <c r="KI178" s="15"/>
      <c r="KJ178" s="15"/>
      <c r="KK178" s="15"/>
      <c r="KL178" s="15"/>
      <c r="KM178" s="15"/>
      <c r="KN178" s="15"/>
      <c r="KO178" s="15"/>
      <c r="KP178" s="15"/>
      <c r="KQ178" s="15"/>
      <c r="KR178" s="15"/>
      <c r="KS178" s="15"/>
      <c r="KT178" s="15"/>
      <c r="KU178" s="15"/>
      <c r="KV178" s="15"/>
      <c r="KW178" s="15"/>
      <c r="KX178" s="15"/>
      <c r="KY178" s="15"/>
      <c r="KZ178" s="15"/>
      <c r="LA178" s="15"/>
      <c r="LB178" s="15"/>
      <c r="LC178" s="15"/>
      <c r="LD178" s="15"/>
      <c r="LE178" s="15"/>
      <c r="LF178" s="15"/>
      <c r="LG178" s="15"/>
      <c r="LH178" s="15"/>
      <c r="LI178" s="15"/>
      <c r="LJ178" s="15"/>
      <c r="LK178" s="15"/>
      <c r="LL178" s="15"/>
      <c r="LM178" s="15"/>
      <c r="LN178" s="15"/>
      <c r="LO178" s="15"/>
      <c r="LP178" s="15"/>
      <c r="LQ178" s="15"/>
      <c r="LR178" s="15"/>
      <c r="LS178" s="15"/>
      <c r="LT178" s="15"/>
      <c r="LU178" s="15"/>
      <c r="LV178" s="15"/>
      <c r="LW178" s="15"/>
      <c r="LX178" s="15"/>
      <c r="LY178" s="15"/>
      <c r="LZ178" s="15"/>
      <c r="MA178" s="15"/>
      <c r="MB178" s="15"/>
      <c r="MC178" s="15"/>
      <c r="MD178" s="15"/>
      <c r="ME178" s="15"/>
      <c r="MF178" s="15"/>
      <c r="MG178" s="15"/>
      <c r="MH178" s="15"/>
      <c r="MI178" s="15"/>
      <c r="MJ178" s="15"/>
      <c r="MK178" s="15"/>
      <c r="ML178" s="15"/>
      <c r="MM178" s="15"/>
      <c r="MN178" s="15"/>
      <c r="MO178" s="15"/>
      <c r="MP178" s="15"/>
      <c r="MQ178" s="15"/>
      <c r="MR178" s="15"/>
      <c r="MS178" s="15"/>
      <c r="MT178" s="15"/>
      <c r="MU178" s="15"/>
      <c r="MV178" s="15"/>
      <c r="MW178" s="15"/>
      <c r="MX178" s="15"/>
      <c r="MY178" s="15"/>
      <c r="MZ178" s="15"/>
      <c r="NA178" s="15"/>
      <c r="NB178" s="15"/>
      <c r="NC178" s="15"/>
      <c r="ND178" s="15"/>
      <c r="NE178" s="15"/>
      <c r="NF178" s="15"/>
      <c r="NG178" s="15"/>
      <c r="NH178" s="15"/>
      <c r="NI178" s="15"/>
      <c r="NJ178" s="15"/>
      <c r="NK178" s="15"/>
      <c r="NL178" s="15"/>
      <c r="NM178" s="15"/>
      <c r="NN178" s="15"/>
      <c r="NO178" s="15"/>
      <c r="NP178" s="15"/>
      <c r="NQ178" s="15"/>
      <c r="NR178" s="15"/>
      <c r="NS178" s="15"/>
      <c r="NT178" s="15"/>
      <c r="NU178" s="15"/>
      <c r="NV178" s="15"/>
      <c r="NW178" s="15"/>
      <c r="NX178" s="15"/>
      <c r="NY178" s="15"/>
      <c r="NZ178" s="15"/>
    </row>
    <row r="179" spans="5:390" ht="30" customHeight="1" x14ac:dyDescent="0.45">
      <c r="E179" s="29"/>
      <c r="F179" s="30"/>
      <c r="G179" s="30"/>
      <c r="H179" s="71"/>
      <c r="I179" s="71"/>
      <c r="J179" s="30"/>
      <c r="K179" s="30"/>
      <c r="L179" s="30"/>
      <c r="M179" s="30"/>
      <c r="N179" s="30"/>
      <c r="O179" s="30"/>
      <c r="P179" s="30"/>
      <c r="Q179" s="30"/>
      <c r="R179" s="19"/>
      <c r="S179" s="20"/>
      <c r="T179" s="21"/>
      <c r="U179" s="22"/>
      <c r="V179" s="22"/>
      <c r="W179" s="22"/>
      <c r="X179" s="22"/>
      <c r="Y179" s="22"/>
      <c r="Z179" s="36"/>
      <c r="AA179" s="15"/>
      <c r="AB179" s="15"/>
      <c r="AC179" s="15"/>
      <c r="AD179" s="15"/>
      <c r="AE179" s="15"/>
      <c r="AF179" s="15"/>
      <c r="AG179" s="184"/>
      <c r="AH179" s="15"/>
      <c r="AI179" s="15"/>
      <c r="AJ179" s="15"/>
      <c r="AK179" s="15"/>
      <c r="AL179" s="15"/>
      <c r="AM179" s="15"/>
      <c r="AN179" s="184"/>
      <c r="AO179" s="15"/>
      <c r="AP179" s="15"/>
      <c r="AQ179" s="15"/>
      <c r="AR179" s="15"/>
      <c r="AS179" s="15"/>
      <c r="AT179" s="15"/>
      <c r="AU179" s="184"/>
      <c r="AV179" s="15"/>
      <c r="AW179" s="15"/>
      <c r="AX179" s="15"/>
      <c r="AY179" s="15"/>
      <c r="AZ179" s="15"/>
      <c r="BA179" s="15"/>
      <c r="BB179" s="184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84"/>
      <c r="CE179" s="15"/>
      <c r="CF179" s="15"/>
      <c r="CG179" s="15"/>
      <c r="CH179" s="15"/>
      <c r="CI179" s="15"/>
      <c r="CJ179" s="15"/>
      <c r="CK179" s="184"/>
      <c r="CL179" s="15"/>
      <c r="CM179" s="15"/>
      <c r="CN179" s="15"/>
      <c r="CO179" s="15"/>
      <c r="CP179" s="15"/>
      <c r="CQ179" s="15"/>
      <c r="CR179" s="184"/>
      <c r="CS179" s="15"/>
      <c r="CT179" s="15"/>
      <c r="CU179" s="15"/>
      <c r="CV179" s="15"/>
      <c r="CW179" s="15"/>
      <c r="CX179" s="15"/>
      <c r="CY179" s="184"/>
      <c r="CZ179" s="15"/>
      <c r="DA179" s="15"/>
      <c r="DB179" s="15"/>
      <c r="DC179" s="15"/>
      <c r="DD179" s="15"/>
      <c r="DE179" s="15"/>
      <c r="DF179" s="184"/>
      <c r="DG179" s="15"/>
      <c r="DH179" s="15"/>
      <c r="DI179" s="15"/>
      <c r="DJ179" s="15"/>
      <c r="DK179" s="15"/>
      <c r="DL179" s="15"/>
      <c r="DM179" s="184"/>
      <c r="DN179" s="15"/>
      <c r="DO179" s="15"/>
      <c r="DP179" s="15"/>
      <c r="DQ179" s="15"/>
      <c r="DR179" s="15"/>
      <c r="DS179" s="15"/>
      <c r="DT179" s="184"/>
      <c r="DU179" s="15"/>
      <c r="DV179" s="15"/>
      <c r="DW179" s="15"/>
      <c r="DX179" s="15"/>
      <c r="DY179" s="15"/>
      <c r="DZ179" s="15"/>
      <c r="EA179" s="184"/>
      <c r="EB179" s="15"/>
      <c r="EC179" s="15"/>
      <c r="ED179" s="15"/>
      <c r="EE179" s="15"/>
      <c r="EF179" s="15"/>
      <c r="EG179" s="15"/>
      <c r="EH179" s="184"/>
      <c r="EI179" s="15"/>
      <c r="EJ179" s="15"/>
      <c r="EK179" s="15"/>
      <c r="EL179" s="15"/>
      <c r="EM179" s="15"/>
      <c r="EN179" s="15"/>
      <c r="EO179" s="184"/>
      <c r="EP179" s="15"/>
      <c r="EQ179" s="15"/>
      <c r="ER179" s="15"/>
      <c r="ES179" s="15"/>
      <c r="ET179" s="15"/>
      <c r="EU179" s="15"/>
      <c r="EV179" s="184"/>
      <c r="EW179" s="15"/>
      <c r="EX179" s="15"/>
      <c r="EY179" s="15"/>
      <c r="EZ179" s="15"/>
      <c r="FA179" s="15"/>
      <c r="FB179" s="15"/>
      <c r="FC179" s="184"/>
      <c r="FD179" s="15"/>
      <c r="FE179" s="15"/>
      <c r="FF179" s="15"/>
      <c r="FG179" s="15"/>
      <c r="FH179" s="15"/>
      <c r="FI179" s="15"/>
      <c r="FJ179" s="184"/>
      <c r="FK179" s="15"/>
      <c r="FL179" s="15"/>
      <c r="FM179" s="15"/>
      <c r="FN179" s="15"/>
      <c r="FO179" s="15"/>
      <c r="FP179" s="15"/>
      <c r="FQ179" s="184"/>
      <c r="FR179" s="15"/>
      <c r="FS179" s="15"/>
      <c r="FT179" s="15"/>
      <c r="FU179" s="15"/>
      <c r="FV179" s="15"/>
      <c r="FW179" s="178"/>
      <c r="FX179" s="184"/>
      <c r="FY179" s="181"/>
      <c r="FZ179" s="15"/>
      <c r="GA179" s="15"/>
      <c r="GB179" s="15"/>
      <c r="GC179" s="15"/>
      <c r="GD179" s="15"/>
      <c r="GE179" s="184"/>
      <c r="GF179" s="15"/>
      <c r="GG179" s="15"/>
      <c r="GH179" s="15"/>
      <c r="GI179" s="15"/>
      <c r="GJ179" s="15"/>
      <c r="GK179" s="15"/>
      <c r="GL179" s="184"/>
      <c r="GM179" s="15"/>
      <c r="GN179" s="15"/>
      <c r="GO179" s="15"/>
      <c r="GP179" s="15"/>
      <c r="GQ179" s="15"/>
      <c r="GR179" s="15"/>
      <c r="GS179" s="184"/>
      <c r="GT179" s="15"/>
      <c r="GU179" s="15"/>
      <c r="GV179" s="15"/>
      <c r="GW179" s="15"/>
      <c r="GX179" s="15"/>
      <c r="GY179" s="15"/>
      <c r="GZ179" s="184"/>
      <c r="HA179" s="15"/>
      <c r="HB179" s="15"/>
      <c r="HC179" s="15"/>
      <c r="HD179" s="15"/>
      <c r="HE179" s="15"/>
      <c r="HF179" s="15"/>
      <c r="HG179" s="184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  <c r="JU179" s="15"/>
      <c r="JV179" s="15"/>
      <c r="JW179" s="15"/>
      <c r="JX179" s="15"/>
      <c r="JY179" s="15"/>
      <c r="JZ179" s="15"/>
      <c r="KA179" s="15"/>
      <c r="KB179" s="15"/>
      <c r="KC179" s="15"/>
      <c r="KD179" s="15"/>
      <c r="KE179" s="15"/>
      <c r="KF179" s="15"/>
      <c r="KG179" s="15"/>
      <c r="KH179" s="15"/>
      <c r="KI179" s="15"/>
      <c r="KJ179" s="15"/>
      <c r="KK179" s="15"/>
      <c r="KL179" s="15"/>
      <c r="KM179" s="15"/>
      <c r="KN179" s="15"/>
      <c r="KO179" s="15"/>
      <c r="KP179" s="15"/>
      <c r="KQ179" s="15"/>
      <c r="KR179" s="15"/>
      <c r="KS179" s="15"/>
      <c r="KT179" s="15"/>
      <c r="KU179" s="15"/>
      <c r="KV179" s="15"/>
      <c r="KW179" s="15"/>
      <c r="KX179" s="15"/>
      <c r="KY179" s="15"/>
      <c r="KZ179" s="15"/>
      <c r="LA179" s="15"/>
      <c r="LB179" s="15"/>
      <c r="LC179" s="15"/>
      <c r="LD179" s="15"/>
      <c r="LE179" s="15"/>
      <c r="LF179" s="15"/>
      <c r="LG179" s="15"/>
      <c r="LH179" s="15"/>
      <c r="LI179" s="15"/>
      <c r="LJ179" s="15"/>
      <c r="LK179" s="15"/>
      <c r="LL179" s="15"/>
      <c r="LM179" s="15"/>
      <c r="LN179" s="15"/>
      <c r="LO179" s="15"/>
      <c r="LP179" s="15"/>
      <c r="LQ179" s="15"/>
      <c r="LR179" s="15"/>
      <c r="LS179" s="15"/>
      <c r="LT179" s="15"/>
      <c r="LU179" s="15"/>
      <c r="LV179" s="15"/>
      <c r="LW179" s="15"/>
      <c r="LX179" s="15"/>
      <c r="LY179" s="15"/>
      <c r="LZ179" s="15"/>
      <c r="MA179" s="15"/>
      <c r="MB179" s="15"/>
      <c r="MC179" s="15"/>
      <c r="MD179" s="15"/>
      <c r="ME179" s="15"/>
      <c r="MF179" s="15"/>
      <c r="MG179" s="15"/>
      <c r="MH179" s="15"/>
      <c r="MI179" s="15"/>
      <c r="MJ179" s="15"/>
      <c r="MK179" s="15"/>
      <c r="ML179" s="15"/>
      <c r="MM179" s="15"/>
      <c r="MN179" s="15"/>
      <c r="MO179" s="15"/>
      <c r="MP179" s="15"/>
      <c r="MQ179" s="15"/>
      <c r="MR179" s="15"/>
      <c r="MS179" s="15"/>
      <c r="MT179" s="15"/>
      <c r="MU179" s="15"/>
      <c r="MV179" s="15"/>
      <c r="MW179" s="15"/>
      <c r="MX179" s="15"/>
      <c r="MY179" s="15"/>
      <c r="MZ179" s="15"/>
      <c r="NA179" s="15"/>
      <c r="NB179" s="15"/>
      <c r="NC179" s="15"/>
      <c r="ND179" s="15"/>
      <c r="NE179" s="15"/>
      <c r="NF179" s="15"/>
      <c r="NG179" s="15"/>
      <c r="NH179" s="15"/>
      <c r="NI179" s="15"/>
      <c r="NJ179" s="15"/>
      <c r="NK179" s="15"/>
      <c r="NL179" s="15"/>
      <c r="NM179" s="15"/>
      <c r="NN179" s="15"/>
      <c r="NO179" s="15"/>
      <c r="NP179" s="15"/>
      <c r="NQ179" s="15"/>
      <c r="NR179" s="15"/>
      <c r="NS179" s="15"/>
      <c r="NT179" s="15"/>
      <c r="NU179" s="15"/>
      <c r="NV179" s="15"/>
      <c r="NW179" s="15"/>
      <c r="NX179" s="15"/>
      <c r="NY179" s="15"/>
      <c r="NZ179" s="15"/>
    </row>
    <row r="180" spans="5:390" ht="30" customHeight="1" thickBot="1" x14ac:dyDescent="0.5">
      <c r="E180" s="60"/>
      <c r="F180" s="24"/>
      <c r="G180" s="24"/>
      <c r="H180" s="26"/>
      <c r="I180" s="26"/>
      <c r="J180" s="24"/>
      <c r="K180" s="24"/>
      <c r="L180" s="24"/>
      <c r="M180" s="24"/>
      <c r="N180" s="24"/>
      <c r="O180" s="24"/>
      <c r="P180" s="24"/>
      <c r="Q180" s="24"/>
      <c r="R180" s="25"/>
      <c r="S180" s="26"/>
      <c r="T180" s="27" t="str">
        <f>IF(S180&lt;&gt;"",IF(#REF!="x",WORKDAY(IF(WEEKDAY(R180,1)=7,R180+2,IF(WEEKDAY(R180,1)=1,R180+1,R180)),S180-1),R180+S180-1),"")</f>
        <v/>
      </c>
      <c r="U180" s="28"/>
      <c r="V180" s="28"/>
      <c r="W180" s="28"/>
      <c r="X180" s="28"/>
      <c r="Y180" s="28"/>
      <c r="Z180" s="40"/>
      <c r="AA180" s="16"/>
      <c r="AB180" s="16"/>
      <c r="AC180" s="16"/>
      <c r="AD180" s="16"/>
      <c r="AE180" s="16"/>
      <c r="AF180" s="16"/>
      <c r="AG180" s="184"/>
      <c r="AH180" s="16"/>
      <c r="AI180" s="16"/>
      <c r="AJ180" s="16"/>
      <c r="AK180" s="16"/>
      <c r="AL180" s="16"/>
      <c r="AM180" s="16"/>
      <c r="AN180" s="184"/>
      <c r="AO180" s="16"/>
      <c r="AP180" s="16"/>
      <c r="AQ180" s="16"/>
      <c r="AR180" s="16"/>
      <c r="AS180" s="16"/>
      <c r="AT180" s="16"/>
      <c r="AU180" s="184"/>
      <c r="AV180" s="16"/>
      <c r="AW180" s="16"/>
      <c r="AX180" s="16"/>
      <c r="AY180" s="16"/>
      <c r="AZ180" s="16"/>
      <c r="BA180" s="16"/>
      <c r="BB180" s="184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84"/>
      <c r="CE180" s="16"/>
      <c r="CF180" s="16"/>
      <c r="CG180" s="16"/>
      <c r="CH180" s="16"/>
      <c r="CI180" s="16"/>
      <c r="CJ180" s="16"/>
      <c r="CK180" s="184"/>
      <c r="CL180" s="16"/>
      <c r="CM180" s="16"/>
      <c r="CN180" s="16"/>
      <c r="CO180" s="16"/>
      <c r="CP180" s="16"/>
      <c r="CQ180" s="16"/>
      <c r="CR180" s="184"/>
      <c r="CS180" s="16"/>
      <c r="CT180" s="16"/>
      <c r="CU180" s="16"/>
      <c r="CV180" s="16"/>
      <c r="CW180" s="16"/>
      <c r="CX180" s="16"/>
      <c r="CY180" s="184"/>
      <c r="CZ180" s="16"/>
      <c r="DA180" s="16"/>
      <c r="DB180" s="16"/>
      <c r="DC180" s="16"/>
      <c r="DD180" s="16"/>
      <c r="DE180" s="16"/>
      <c r="DF180" s="184"/>
      <c r="DG180" s="16"/>
      <c r="DH180" s="16"/>
      <c r="DI180" s="16"/>
      <c r="DJ180" s="16"/>
      <c r="DK180" s="16"/>
      <c r="DL180" s="16"/>
      <c r="DM180" s="184"/>
      <c r="DN180" s="16"/>
      <c r="DO180" s="16"/>
      <c r="DP180" s="16"/>
      <c r="DQ180" s="16"/>
      <c r="DR180" s="16"/>
      <c r="DS180" s="16"/>
      <c r="DT180" s="184"/>
      <c r="DU180" s="16"/>
      <c r="DV180" s="16"/>
      <c r="DW180" s="16"/>
      <c r="DX180" s="16"/>
      <c r="DY180" s="16"/>
      <c r="DZ180" s="16"/>
      <c r="EA180" s="184"/>
      <c r="EB180" s="16"/>
      <c r="EC180" s="16"/>
      <c r="ED180" s="16"/>
      <c r="EE180" s="16"/>
      <c r="EF180" s="16"/>
      <c r="EG180" s="16"/>
      <c r="EH180" s="184"/>
      <c r="EI180" s="16"/>
      <c r="EJ180" s="16"/>
      <c r="EK180" s="16"/>
      <c r="EL180" s="16"/>
      <c r="EM180" s="16"/>
      <c r="EN180" s="16"/>
      <c r="EO180" s="184"/>
      <c r="EP180" s="16"/>
      <c r="EQ180" s="16"/>
      <c r="ER180" s="16"/>
      <c r="ES180" s="16"/>
      <c r="ET180" s="16"/>
      <c r="EU180" s="16"/>
      <c r="EV180" s="184"/>
      <c r="EW180" s="16"/>
      <c r="EX180" s="16"/>
      <c r="EY180" s="16"/>
      <c r="EZ180" s="16"/>
      <c r="FA180" s="16"/>
      <c r="FB180" s="16"/>
      <c r="FC180" s="184"/>
      <c r="FD180" s="16"/>
      <c r="FE180" s="16"/>
      <c r="FF180" s="16"/>
      <c r="FG180" s="16"/>
      <c r="FH180" s="16"/>
      <c r="FI180" s="16"/>
      <c r="FJ180" s="184"/>
      <c r="FK180" s="16"/>
      <c r="FL180" s="16"/>
      <c r="FM180" s="16"/>
      <c r="FN180" s="16"/>
      <c r="FO180" s="16"/>
      <c r="FP180" s="16"/>
      <c r="FQ180" s="184"/>
      <c r="FR180" s="16"/>
      <c r="FS180" s="16"/>
      <c r="FT180" s="16"/>
      <c r="FU180" s="16"/>
      <c r="FV180" s="16"/>
      <c r="FW180" s="179"/>
      <c r="FX180" s="184"/>
      <c r="FY180" s="182"/>
      <c r="FZ180" s="16"/>
      <c r="GA180" s="16"/>
      <c r="GB180" s="16"/>
      <c r="GC180" s="16"/>
      <c r="GD180" s="16"/>
      <c r="GE180" s="184"/>
      <c r="GF180" s="16"/>
      <c r="GG180" s="16"/>
      <c r="GH180" s="16"/>
      <c r="GI180" s="16"/>
      <c r="GJ180" s="16"/>
      <c r="GK180" s="16"/>
      <c r="GL180" s="184"/>
      <c r="GM180" s="16"/>
      <c r="GN180" s="16"/>
      <c r="GO180" s="16"/>
      <c r="GP180" s="16"/>
      <c r="GQ180" s="16"/>
      <c r="GR180" s="16"/>
      <c r="GS180" s="184"/>
      <c r="GT180" s="16"/>
      <c r="GU180" s="16"/>
      <c r="GV180" s="16"/>
      <c r="GW180" s="16"/>
      <c r="GX180" s="16"/>
      <c r="GY180" s="16"/>
      <c r="GZ180" s="184"/>
      <c r="HA180" s="16"/>
      <c r="HB180" s="16"/>
      <c r="HC180" s="16"/>
      <c r="HD180" s="16"/>
      <c r="HE180" s="16"/>
      <c r="HF180" s="16"/>
      <c r="HG180" s="184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MA180" s="16"/>
      <c r="MB180" s="16"/>
      <c r="MC180" s="16"/>
      <c r="MD180" s="16"/>
      <c r="ME180" s="16"/>
      <c r="MF180" s="16"/>
      <c r="MG180" s="16"/>
      <c r="MH180" s="16"/>
      <c r="MI180" s="16"/>
      <c r="MJ180" s="16"/>
      <c r="MK180" s="16"/>
      <c r="ML180" s="16"/>
      <c r="MM180" s="16"/>
      <c r="MN180" s="16"/>
      <c r="MO180" s="16"/>
      <c r="MP180" s="16"/>
      <c r="MQ180" s="16"/>
      <c r="MR180" s="16"/>
      <c r="MS180" s="16"/>
      <c r="MT180" s="16"/>
      <c r="MU180" s="16"/>
      <c r="MV180" s="16"/>
      <c r="MW180" s="16"/>
      <c r="MX180" s="16"/>
      <c r="MY180" s="16"/>
      <c r="MZ180" s="16"/>
      <c r="NA180" s="16"/>
      <c r="NB180" s="16"/>
      <c r="NC180" s="16"/>
      <c r="ND180" s="16"/>
      <c r="NE180" s="16"/>
      <c r="NF180" s="16"/>
      <c r="NG180" s="16"/>
      <c r="NH180" s="16"/>
      <c r="NI180" s="16"/>
      <c r="NJ180" s="16"/>
      <c r="NK180" s="16"/>
      <c r="NL180" s="16"/>
      <c r="NM180" s="16"/>
      <c r="NN180" s="16"/>
      <c r="NO180" s="16"/>
      <c r="NP180" s="16"/>
      <c r="NQ180" s="16"/>
      <c r="NR180" s="16"/>
      <c r="NS180" s="16"/>
      <c r="NT180" s="16"/>
      <c r="NU180" s="16"/>
      <c r="NV180" s="16"/>
      <c r="NW180" s="16"/>
      <c r="NX180" s="16"/>
      <c r="NY180" s="16"/>
      <c r="NZ180" s="16"/>
    </row>
    <row r="181" spans="5:390" x14ac:dyDescent="0.45"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</row>
    <row r="182" spans="5:390" x14ac:dyDescent="0.45"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</sheetData>
  <sheetProtection formatCells="0"/>
  <mergeCells count="109">
    <mergeCell ref="NF4:NL4"/>
    <mergeCell ref="LB4:LH4"/>
    <mergeCell ref="LI4:LO4"/>
    <mergeCell ref="LP4:LV4"/>
    <mergeCell ref="LW4:MC4"/>
    <mergeCell ref="MD4:MJ4"/>
    <mergeCell ref="MK5:MQ5"/>
    <mergeCell ref="MR5:MX5"/>
    <mergeCell ref="MY5:NE5"/>
    <mergeCell ref="NF5:NL5"/>
    <mergeCell ref="KU4:LA4"/>
    <mergeCell ref="IQ5:IW5"/>
    <mergeCell ref="IX5:JD5"/>
    <mergeCell ref="JE5:JK5"/>
    <mergeCell ref="JL5:JR5"/>
    <mergeCell ref="JS5:JY5"/>
    <mergeCell ref="MK4:MQ4"/>
    <mergeCell ref="MR4:MX4"/>
    <mergeCell ref="MY4:NE4"/>
    <mergeCell ref="JL4:JR4"/>
    <mergeCell ref="JS4:JY4"/>
    <mergeCell ref="HA5:HG5"/>
    <mergeCell ref="HH5:HN5"/>
    <mergeCell ref="HO5:HU5"/>
    <mergeCell ref="HV5:IB5"/>
    <mergeCell ref="IC5:II5"/>
    <mergeCell ref="IJ5:IP5"/>
    <mergeCell ref="JZ4:KF4"/>
    <mergeCell ref="KG4:KM4"/>
    <mergeCell ref="KN4:KT4"/>
    <mergeCell ref="EI5:EO5"/>
    <mergeCell ref="EP5:EV5"/>
    <mergeCell ref="EW5:FC5"/>
    <mergeCell ref="FD5:FJ5"/>
    <mergeCell ref="FK5:FQ5"/>
    <mergeCell ref="FR5:FX5"/>
    <mergeCell ref="FY5:GE5"/>
    <mergeCell ref="GF5:GL5"/>
    <mergeCell ref="GM5:GS5"/>
    <mergeCell ref="DU4:EA4"/>
    <mergeCell ref="EB4:EH4"/>
    <mergeCell ref="DU5:EA5"/>
    <mergeCell ref="EB5:EH5"/>
    <mergeCell ref="DN5:DT5"/>
    <mergeCell ref="AA4:AG4"/>
    <mergeCell ref="AA5:AG5"/>
    <mergeCell ref="BJ5:BP5"/>
    <mergeCell ref="BQ5:BW5"/>
    <mergeCell ref="BX5:CD5"/>
    <mergeCell ref="BC4:BI4"/>
    <mergeCell ref="AO5:AU5"/>
    <mergeCell ref="AV5:BB5"/>
    <mergeCell ref="BC5:BI5"/>
    <mergeCell ref="AH5:AN5"/>
    <mergeCell ref="AO4:AU4"/>
    <mergeCell ref="AV4:BB4"/>
    <mergeCell ref="EI4:EO4"/>
    <mergeCell ref="EP4:EV4"/>
    <mergeCell ref="EW4:FC4"/>
    <mergeCell ref="FD4:FJ4"/>
    <mergeCell ref="FK4:FQ4"/>
    <mergeCell ref="FR4:FX4"/>
    <mergeCell ref="FY4:GE4"/>
    <mergeCell ref="IX4:JD4"/>
    <mergeCell ref="JE4:JK4"/>
    <mergeCell ref="NM5:NS5"/>
    <mergeCell ref="NT5:NZ5"/>
    <mergeCell ref="JZ5:KF5"/>
    <mergeCell ref="KG5:KM5"/>
    <mergeCell ref="KN5:KT5"/>
    <mergeCell ref="KU5:LA5"/>
    <mergeCell ref="GF4:GL4"/>
    <mergeCell ref="GM4:GS4"/>
    <mergeCell ref="GT4:GZ4"/>
    <mergeCell ref="HA4:HG4"/>
    <mergeCell ref="HH4:HN4"/>
    <mergeCell ref="HO4:HU4"/>
    <mergeCell ref="HV4:IB4"/>
    <mergeCell ref="IC4:II4"/>
    <mergeCell ref="IJ4:IP4"/>
    <mergeCell ref="IQ4:IW4"/>
    <mergeCell ref="LB5:LH5"/>
    <mergeCell ref="LI5:LO5"/>
    <mergeCell ref="LP5:LV5"/>
    <mergeCell ref="LW5:MC5"/>
    <mergeCell ref="MD5:MJ5"/>
    <mergeCell ref="NM4:NS4"/>
    <mergeCell ref="NT4:NZ4"/>
    <mergeCell ref="GT5:GZ5"/>
    <mergeCell ref="W1:X2"/>
    <mergeCell ref="E3:F3"/>
    <mergeCell ref="R3:U4"/>
    <mergeCell ref="DN4:DT4"/>
    <mergeCell ref="E5:F5"/>
    <mergeCell ref="R5:Z6"/>
    <mergeCell ref="CS4:CY4"/>
    <mergeCell ref="CS5:CY5"/>
    <mergeCell ref="CZ4:DF4"/>
    <mergeCell ref="DG4:DM4"/>
    <mergeCell ref="CZ5:DF5"/>
    <mergeCell ref="DG5:DM5"/>
    <mergeCell ref="AH4:AN4"/>
    <mergeCell ref="CE5:CK5"/>
    <mergeCell ref="CL5:CR5"/>
    <mergeCell ref="BJ4:BP4"/>
    <mergeCell ref="BQ4:BW4"/>
    <mergeCell ref="BX4:CD4"/>
    <mergeCell ref="CE4:CK4"/>
    <mergeCell ref="CL4:CR4"/>
  </mergeCells>
  <phoneticPr fontId="20" type="noConversion"/>
  <conditionalFormatting sqref="F115:G118">
    <cfRule type="expression" dxfId="89" priority="24">
      <formula>OR(#REF!="X",#REF!="x")</formula>
    </cfRule>
  </conditionalFormatting>
  <conditionalFormatting sqref="F127:I130">
    <cfRule type="expression" dxfId="88" priority="22">
      <formula>OR(#REF!="X",#REF!="x")</formula>
    </cfRule>
  </conditionalFormatting>
  <conditionalFormatting sqref="F112:J114 K112:N115 H115:J115 H116:N118">
    <cfRule type="expression" dxfId="87" priority="162">
      <formula>OR(#REF!="X",#REF!="x")</formula>
    </cfRule>
  </conditionalFormatting>
  <conditionalFormatting sqref="F131:K164">
    <cfRule type="expression" dxfId="86" priority="1">
      <formula>OR(#REF!="X",#REF!="x")</formula>
    </cfRule>
  </conditionalFormatting>
  <conditionalFormatting sqref="F13:Q43 J127:S128 J129:K130">
    <cfRule type="expression" dxfId="85" priority="330">
      <formula>OR(#REF!="X",#REF!="x")</formula>
    </cfRule>
  </conditionalFormatting>
  <conditionalFormatting sqref="F119:Q119">
    <cfRule type="expression" dxfId="84" priority="161">
      <formula>OR(#REF!="X",#REF!="x")</formula>
    </cfRule>
  </conditionalFormatting>
  <conditionalFormatting sqref="F90:S111">
    <cfRule type="expression" dxfId="83" priority="25">
      <formula>OR(#REF!="X",#REF!="x")</formula>
    </cfRule>
  </conditionalFormatting>
  <conditionalFormatting sqref="F120:S124">
    <cfRule type="expression" dxfId="82" priority="23">
      <formula>OR(#REF!="X",#REF!="x")</formula>
    </cfRule>
  </conditionalFormatting>
  <conditionalFormatting sqref="F126:V126">
    <cfRule type="expression" dxfId="81" priority="65">
      <formula>OR(#REF!="X",#REF!="x")</formula>
    </cfRule>
  </conditionalFormatting>
  <conditionalFormatting sqref="F165:Y180">
    <cfRule type="expression" dxfId="80" priority="127">
      <formula>OR(#REF!="X",#REF!="x")</formula>
    </cfRule>
  </conditionalFormatting>
  <conditionalFormatting sqref="F46:Z88">
    <cfRule type="expression" dxfId="79" priority="34">
      <formula>OR(#REF!="X",#REF!="x")</formula>
    </cfRule>
  </conditionalFormatting>
  <conditionalFormatting sqref="L129:N164">
    <cfRule type="expression" dxfId="78" priority="151">
      <formula>OR(#REF!="X",#REF!="x")</formula>
    </cfRule>
  </conditionalFormatting>
  <conditionalFormatting sqref="O85:Q87">
    <cfRule type="expression" dxfId="77" priority="167">
      <formula>OR(#REF!="X",#REF!="x")</formula>
    </cfRule>
  </conditionalFormatting>
  <conditionalFormatting sqref="O115:Q118">
    <cfRule type="expression" dxfId="76" priority="121">
      <formula>OR(#REF!="X",#REF!="x")</formula>
    </cfRule>
  </conditionalFormatting>
  <conditionalFormatting sqref="O163:Q164">
    <cfRule type="expression" dxfId="75" priority="107">
      <formula>OR(#REF!="X",#REF!="x")</formula>
    </cfRule>
  </conditionalFormatting>
  <conditionalFormatting sqref="O129:S162">
    <cfRule type="expression" dxfId="74" priority="92">
      <formula>OR(#REF!="X",#REF!="x")</formula>
    </cfRule>
  </conditionalFormatting>
  <conditionalFormatting sqref="R23:S43 G36:S36 L37:L43 F40:S40 O112:S114 R115:S119">
    <cfRule type="expression" dxfId="73" priority="335">
      <formula>OR(#REF!="X",#REF!="x")</formula>
    </cfRule>
  </conditionalFormatting>
  <conditionalFormatting sqref="R163:S173">
    <cfRule type="expression" dxfId="72" priority="106">
      <formula>OR(#REF!="X",#REF!="x")</formula>
    </cfRule>
  </conditionalFormatting>
  <conditionalFormatting sqref="R19:V21 R22:T22">
    <cfRule type="expression" dxfId="71" priority="126">
      <formula>OR(#REF!="X",#REF!="x")</formula>
    </cfRule>
  </conditionalFormatting>
  <conditionalFormatting sqref="R13:Y18 Z13:Z44 U40:Y43 F44:Y44 Z126:Z180">
    <cfRule type="expression" dxfId="70" priority="290">
      <formula>OR(#REF!="X",#REF!="x")</formula>
    </cfRule>
  </conditionalFormatting>
  <conditionalFormatting sqref="T13:T44">
    <cfRule type="expression" dxfId="69" priority="49">
      <formula>OR(#REF!="X",#REF!="x")</formula>
    </cfRule>
  </conditionalFormatting>
  <conditionalFormatting sqref="T127:V164">
    <cfRule type="expression" dxfId="68" priority="56">
      <formula>OR(#REF!="X",#REF!="x")</formula>
    </cfRule>
  </conditionalFormatting>
  <conditionalFormatting sqref="T90:Z124">
    <cfRule type="expression" dxfId="67" priority="51">
      <formula>OR(#REF!="X",#REF!="x")</formula>
    </cfRule>
  </conditionalFormatting>
  <conditionalFormatting sqref="U22:V39">
    <cfRule type="expression" dxfId="66" priority="55">
      <formula>OR(#REF!="X",#REF!="x")</formula>
    </cfRule>
  </conditionalFormatting>
  <conditionalFormatting sqref="W19:Y39">
    <cfRule type="expression" dxfId="65" priority="53">
      <formula>OR(#REF!="X",#REF!="x")</formula>
    </cfRule>
  </conditionalFormatting>
  <conditionalFormatting sqref="W126:Y164">
    <cfRule type="expression" dxfId="64" priority="50">
      <formula>OR(#REF!="X",#REF!="x")</formula>
    </cfRule>
  </conditionalFormatting>
  <conditionalFormatting sqref="AA11:HG11 AA13:NZ44 AA46:NZ88 AA90:NZ124 AA126:NZ180">
    <cfRule type="expression" dxfId="63" priority="515">
      <formula>OR(#REF!="X",#REF!="x")</formula>
    </cfRule>
    <cfRule type="expression" dxfId="62" priority="516">
      <formula>AND(#REF!&gt;0,AND(AA$9&gt;=$R11,AA$9&lt;=$R11+($T11-$R11)*#REF!))</formula>
    </cfRule>
    <cfRule type="expression" dxfId="61" priority="517">
      <formula>AND(OR(AA$7="Sa",AA$7="So"))</formula>
    </cfRule>
    <cfRule type="expression" dxfId="60" priority="518">
      <formula>AND(#REF!=AA$9,#REF!&lt;&gt;"F",#REF!&lt;TODAY())</formula>
    </cfRule>
    <cfRule type="expression" dxfId="59" priority="519">
      <formula>AND(#REF!=AA$9)</formula>
    </cfRule>
    <cfRule type="expression" dxfId="58" priority="520">
      <formula>IF(#REF!="x",AND(OR(AA$7="Sa",AA$7="So")))</formula>
    </cfRule>
    <cfRule type="expression" dxfId="57" priority="521">
      <formula>AND($T11&lt;&gt;"",AND(AA$9&gt;=$R11,AA$9&lt;=$T11))</formula>
    </cfRule>
  </conditionalFormatting>
  <conditionalFormatting sqref="AA4:NZ4">
    <cfRule type="expression" dxfId="56" priority="407">
      <formula>OR(TEXT(AA4,"MMMM")="Februar",TEXT(AA4,"MMMM")="April",TEXT(AA4,"MMMM")="Juni",TEXT(AA4,"MMMM")="August",TEXT(AA4,"MMMM")="Oktober",TEXT(AA4,"MMMM")="Dezember")</formula>
    </cfRule>
  </conditionalFormatting>
  <conditionalFormatting sqref="AA7:NZ9 AA11:HG11 AA13:NZ44 AA46:NZ88 AA90:NZ124 AA126:NZ180">
    <cfRule type="expression" dxfId="55" priority="400">
      <formula>AND(AA$9=TODAY())</formula>
    </cfRule>
  </conditionalFormatting>
  <conditionalFormatting sqref="AA9:NZ9">
    <cfRule type="expression" dxfId="54" priority="404">
      <formula>AND(AA$7="Sa")</formula>
    </cfRule>
  </conditionalFormatting>
  <conditionalFormatting sqref="AA7:OG9">
    <cfRule type="expression" dxfId="53" priority="401">
      <formula>AND(AA$7="So")</formula>
    </cfRule>
    <cfRule type="expression" dxfId="52" priority="402">
      <formula>AND(AA$7="Sa")</formula>
    </cfRule>
  </conditionalFormatting>
  <hyperlinks>
    <hyperlink ref="G14" location="Prerequisites!A1" display="Prerequisites!A1" xr:uid="{AD6E7963-B3CE-4DA3-A6F3-C9496C59D68F}"/>
    <hyperlink ref="G15" location="Prerequisites!A1" display="Prerequisites!A1" xr:uid="{7671D0A4-7BF9-4468-8228-0648571FD201}"/>
    <hyperlink ref="G16" location="Prerequisites!A1" display="Prerequisites!A1" xr:uid="{C5E384F4-6E20-4F83-AC2B-D54068D0FDAC}"/>
    <hyperlink ref="G17" location="Prerequisites!A1" display="Prerequisites!A1" xr:uid="{007C7003-7B15-43B4-9C6F-194B139403EA}"/>
    <hyperlink ref="G19:G21" location="Prerequisites!A1" display="Prerequisites!A1" xr:uid="{9F9B2FDC-E9D2-4BC0-B499-1F6C6DA3F03F}"/>
    <hyperlink ref="G24" location="Prerequisites!A1" display="Prerequisites!A1" xr:uid="{2D73F1A7-55E9-4848-BCB7-CD57C9F6F8BB}"/>
    <hyperlink ref="G25" location="Prerequisites!A1" display="Prerequisites!A1" xr:uid="{0B2DAC5D-EB36-44B7-A866-44627A29B166}"/>
    <hyperlink ref="G34" location="Prerequisites!A1" display="Prerequisites!A1" xr:uid="{A53FA201-9AE8-4154-875D-B1C685F5A5E8}"/>
    <hyperlink ref="G35" location="Prerequisites!A1" display="Prerequisites!A1" xr:uid="{8A628AB9-B577-4FBA-BF4C-1CEA807E10E2}"/>
    <hyperlink ref="G37" location="Prerequisites!A1" display="Prerequisites!A1" xr:uid="{E86915F0-59B5-4A47-9720-6378F4BA7671}"/>
    <hyperlink ref="G38" location="Prerequisites!A1" display="Prerequisites!A1" xr:uid="{5724A511-0A80-4C37-9D70-D7A845A7D1F7}"/>
    <hyperlink ref="G39" location="Prerequisites!A1" display="Prerequisites!A1" xr:uid="{F4216889-1DC9-444A-B610-1E17D2268EA3}"/>
    <hyperlink ref="G47" location="Prerequisites!A1" display="Prerequisites!A1" xr:uid="{30E3E753-7E4F-48E3-A3A2-E2030BCB87A8}"/>
    <hyperlink ref="G48" location="Prerequisites!A1" display="Prerequisites!A1" xr:uid="{2A7657A6-F36C-4D64-8EAA-E0868D175674}"/>
    <hyperlink ref="G49" location="Prerequisites!A1" display="Prerequisites!A1" xr:uid="{054455C7-BFE5-46CB-BF43-094BFE37EC8B}"/>
    <hyperlink ref="G51" location="Prerequisites!A1" display="Prerequisites!A1" xr:uid="{1F6C9F2B-010D-42A4-A38C-55E4B1BC5D1F}"/>
    <hyperlink ref="G54" location="Prerequisites!A1" display="Prerequisites!A1" xr:uid="{329D68F5-7F01-48DD-AD83-76B25DB4F186}"/>
    <hyperlink ref="G55" location="Prerequisites!A1" display="Prerequisites!A1" xr:uid="{2C3134DA-CADF-493C-A5F8-B6BBDD0CEC0B}"/>
    <hyperlink ref="G53" location="Prerequisites!A1" display="Prerequisites!A1" xr:uid="{FA4A8A25-A044-472C-9378-4A74C5AC15E9}"/>
    <hyperlink ref="G57" location="Prerequisites!A1" display="Prerequisites!A1" xr:uid="{C46088FB-EBBF-4C8A-8668-E8414B9570AF}"/>
    <hyperlink ref="G58" location="Prerequisites!A1" display="Prerequisites!A1" xr:uid="{85F16E84-1D74-48B2-8F2E-169577FDFF18}"/>
    <hyperlink ref="G61" location="Prerequisites!A1" display="Prerequisites!A1" xr:uid="{7B7DD0D5-6B9C-41A1-94C8-28F8B9392F8D}"/>
    <hyperlink ref="G62" location="Prerequisites!A1" display="Prerequisites!A1" xr:uid="{F4EDFD43-8801-4AE4-A93A-2A34C96DE2C5}"/>
    <hyperlink ref="G65" location="Prerequisites!A1" display="Prerequisites!A1" xr:uid="{D966AA14-33ED-480E-A0A9-6F538FDA1C05}"/>
    <hyperlink ref="G66" location="Prerequisites!A1" display="Prerequisites!A1" xr:uid="{9A20C2F8-6F12-4B98-BBB3-B4D01DCA0F4B}"/>
    <hyperlink ref="G67" location="Prerequisites!A1" display="Prerequisites!A1" xr:uid="{48B335FB-6ECF-44DA-BDC2-E5E90C2C1B17}"/>
    <hyperlink ref="G73" location="Prerequisites!A1" display="Prerequisites!A1" xr:uid="{08E3B04D-2251-4497-9913-E3B4529638FC}"/>
    <hyperlink ref="G78" location="Prerequisites!A1" display="Prerequisites!A1" xr:uid="{26BF5B2A-40FA-4F88-A01E-ABC3BABD4C69}"/>
    <hyperlink ref="G82" location="Prerequisites!A1" display="Prerequisites!A1" xr:uid="{BCF5A41C-5C97-4BDE-9915-213832C35D5F}"/>
    <hyperlink ref="G83" location="Prerequisites!A1" display="Prerequisites!A1" xr:uid="{4D492003-918D-474A-B102-7207B8D419F5}"/>
    <hyperlink ref="G84" location="Prerequisites!A1" display="Prerequisites!A1" xr:uid="{C695EE00-CEAC-498B-9622-885BADF12406}"/>
    <hyperlink ref="G86" location="Prerequisites!A1" display="Prerequisites!A1" xr:uid="{3E1D4872-5649-4989-9885-1DDA20A59AF2}"/>
    <hyperlink ref="G87" location="Prerequisites!A1" display="Prerequisites!A1" xr:uid="{F065FE5C-A7EC-4D83-BB85-B4569344EAA2}"/>
    <hyperlink ref="G91" location="Prerequisites!A1" display="Prerequisites!A1" xr:uid="{2D8F96A8-333F-47EB-A598-12C9124063E6}"/>
    <hyperlink ref="G92" location="Prerequisites!A1" display="Prerequisites!A1" xr:uid="{C8F27D07-0A55-40D7-9732-D803209A5A9F}"/>
    <hyperlink ref="G93" location="Prerequisites!A1" display="Prerequisites!A1" xr:uid="{AE5AB805-0928-40F8-8683-3F34465C2EAD}"/>
    <hyperlink ref="G94" location="Prerequisites!A1" display="Prerequisites!A1" xr:uid="{76108868-B18F-47BB-AA06-2C505061DD53}"/>
    <hyperlink ref="G96" location="Prerequisites!A1" display="Prerequisites!A1" xr:uid="{D337F3FB-697D-4B2C-AAD1-F5AE727D298C}"/>
    <hyperlink ref="G97" location="Prerequisites!A1" display="Prerequisites!A1" xr:uid="{95A63231-20CE-4097-B5E9-4A0D3C151BC6}"/>
    <hyperlink ref="G99" location="Prerequisites!A1" display="Prerequisites!A1" xr:uid="{D6E8659E-E029-438D-AEEC-F6DD9E8D53CA}"/>
    <hyperlink ref="G100" location="Prerequisites!A1" display="Prerequisites!A1" xr:uid="{AE37B74D-5051-4B08-AFD3-77F41C3D3A65}"/>
    <hyperlink ref="G101" location="Prerequisites!A1" display="Prerequisites!A1" xr:uid="{B4861D15-A7E0-49E5-8A53-EA9720CEE092}"/>
    <hyperlink ref="G102" location="Prerequisites!A1" display="Prerequisites!A1" xr:uid="{0100C63A-A412-422B-9918-C9CE39AEB8F8}"/>
    <hyperlink ref="G103" location="Prerequisites!A1" display="Prerequisites!A1" xr:uid="{C4C48BD1-AFC1-41F1-AD9A-A5A3BF37C932}"/>
    <hyperlink ref="G105" location="Prerequisites!A1" display="Prerequisites!A1" xr:uid="{F4574B39-898E-4294-9DB0-F4A614DDF8AE}"/>
    <hyperlink ref="G107" location="Prerequisites!A1" display="Prerequisites!A1" xr:uid="{055FB43A-CBB1-4B38-81EC-112D1D900F72}"/>
    <hyperlink ref="G108" location="Prerequisites!A1" display="Prerequisites!A1" xr:uid="{562807D0-92E7-4D83-A2A5-F16C50DDB320}"/>
    <hyperlink ref="G109" location="Prerequisites!A1" display="Prerequisites!A1" xr:uid="{CF512FA7-41E3-419A-8EEC-150FE887CDAC}"/>
    <hyperlink ref="G110" location="Prerequisites!A1" display="Prerequisites!A1" xr:uid="{C4C7711E-66BB-4841-9A57-CC09C23F737B}"/>
    <hyperlink ref="G115" location="Prerequisites!A1" display="Prerequisites!A1" xr:uid="{888F0181-26EF-4777-B742-16273FE9BD6E}"/>
    <hyperlink ref="G116" location="Prerequisites!A1" display="Prerequisites!A1" xr:uid="{CEB6B232-549A-483E-8C06-886BBD9A85DF}"/>
    <hyperlink ref="G117" location="Prerequisites!A1" display="Prerequisites!A1" xr:uid="{5B9CD5CB-9BB1-41CE-B25B-EC64F2E64CD2}"/>
    <hyperlink ref="G118" location="Prerequisites!A1" display="Prerequisites!A1" xr:uid="{D793F037-9C15-4BDE-8FDE-A0A9A8D95D5E}"/>
    <hyperlink ref="G121" location="Prerequisites!A1" display="Prerequisites!A1" xr:uid="{BB283C29-EA12-4397-A437-B8CC7557FEF8}"/>
    <hyperlink ref="G122:G123" location="Prerequisites!A1" display="Prerequisites!A1" xr:uid="{A6CD23A6-F22E-445D-9475-611FA403486E}"/>
    <hyperlink ref="G130" location="Prerequisites!A1" display="Prerequisites!A1" xr:uid="{C82101DD-3414-46DB-92EB-B2B9120980E6}"/>
    <hyperlink ref="G132" location="Prerequisites!A1" display="Prerequisites!A1" xr:uid="{6B33B222-BD9C-40EA-A20F-B08628648E55}"/>
    <hyperlink ref="G133" location="Prerequisites!A1" display="Prerequisites!A1" xr:uid="{5EA4535F-49DF-4B2F-B8A3-4E4D343200A1}"/>
    <hyperlink ref="G134" location="Prerequisites!A1" display="Prerequisites!A1" xr:uid="{EBD6F4DE-CCA7-4E1A-86E0-6CECEFC6F143}"/>
    <hyperlink ref="G136" location="Prerequisites!A1" display="Prerequisites!A1" xr:uid="{4B09CC00-D555-4F93-9EBE-5C970BE2A6D4}"/>
    <hyperlink ref="G137" location="Prerequisites!A1" display="Prerequisites!A1" xr:uid="{6965214A-E194-4659-8182-1DF78A40443A}"/>
    <hyperlink ref="G138" location="Prerequisites!A1" display="Prerequisites!A1" xr:uid="{8EE01AB9-1579-426A-8094-25AD21D248CE}"/>
    <hyperlink ref="G140" location="Prerequisites!A1" display="Prerequisites!A1" xr:uid="{AA3F9FAB-7310-434D-BF8A-8C460FF96953}"/>
    <hyperlink ref="G141" location="Prerequisites!A1" display="Prerequisites!A1" xr:uid="{3FCBA443-9D00-4E5F-B1E1-C4C90BA7C2BD}"/>
    <hyperlink ref="G142" location="Prerequisites!A1" display="Prerequisites!A1" xr:uid="{E2322E55-8333-4ABF-951F-D9AE943E6FB9}"/>
    <hyperlink ref="G144" location="Prerequisites!A1" display="Prerequisites!A1" xr:uid="{8C519566-5669-456F-9783-76B906F1E609}"/>
    <hyperlink ref="G145" location="Prerequisites!A1" display="Prerequisites!A1" xr:uid="{33A21D5D-6670-4C5C-AA3E-7AE0F537FA7A}"/>
    <hyperlink ref="G147" location="Prerequisites!A1" display="Prerequisites!A1" xr:uid="{38E7DFBE-C789-4E4F-8E6F-23A59749933C}"/>
    <hyperlink ref="G149" location="Prerequisites!A1" display="Prerequisites!A1" xr:uid="{A2764C93-05B6-42FA-9748-C750D4B327EC}"/>
    <hyperlink ref="G150" location="Prerequisites!A1" display="Prerequisites!A1" xr:uid="{2287506E-3FD6-4034-BE39-2836D343CBDA}"/>
    <hyperlink ref="G151" location="Prerequisites!A1" display="Prerequisites!A1" xr:uid="{26C59A41-519A-4434-8CAE-EDF00ABCE7D3}"/>
    <hyperlink ref="G153" location="Prerequisites!A1" display="Prerequisites!A1" xr:uid="{C9B22AD1-04CA-4B19-A376-1590D6E20EE9}"/>
    <hyperlink ref="G155" location="Prerequisites!A1" display="Prerequisites!A1" xr:uid="{8237111F-66AB-4080-AE90-B3DA9C2A10A9}"/>
    <hyperlink ref="G158" location="Prerequisites!A1" display="Prerequisites!A1" xr:uid="{2B5BAD5F-DE03-44B2-BFF0-3ABAAFE0C43E}"/>
    <hyperlink ref="G160" location="Prerequisites!A1" display="Prerequisites!A1" xr:uid="{946A1B41-34D4-4650-9749-E3EBC26F8026}"/>
    <hyperlink ref="G164" location="Prerequisites!A1" display="Prerequisites!A1" xr:uid="{F8EE77A8-985A-45F2-8B4F-FE5EA96C428B}"/>
  </hyperlinks>
  <pageMargins left="0" right="0" top="0" bottom="0" header="0" footer="0"/>
  <pageSetup paperSize="9" scale="10" fitToHeight="0" orientation="portrait" r:id="rId1"/>
  <headerFooter alignWithMargins="0"/>
  <colBreaks count="2" manualBreakCount="2">
    <brk id="17" max="1048575" man="1"/>
    <brk id="40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A24D-71CE-46ED-BD4A-D8A1881AFB1C}">
  <sheetPr>
    <tabColor theme="9"/>
    <outlinePr summaryBelow="0"/>
    <pageSetUpPr fitToPage="1"/>
  </sheetPr>
  <dimension ref="A1:NZ183"/>
  <sheetViews>
    <sheetView zoomScaleNormal="100" workbookViewId="0">
      <selection activeCell="V12" sqref="V12"/>
    </sheetView>
    <sheetView tabSelected="1" zoomScale="70" zoomScaleNormal="70" workbookViewId="1">
      <pane xSplit="20" ySplit="12" topLeftCell="ER23" activePane="bottomRight" state="frozen"/>
      <selection pane="topRight" activeCell="U1" sqref="U1"/>
      <selection pane="bottomLeft" activeCell="A13" sqref="A13"/>
      <selection pane="bottomRight" activeCell="O21" sqref="O21"/>
    </sheetView>
  </sheetViews>
  <sheetFormatPr defaultColWidth="6.265625" defaultRowHeight="14.25" x14ac:dyDescent="0.45"/>
  <cols>
    <col min="1" max="1" width="2" style="67" customWidth="1"/>
    <col min="2" max="2" width="2" style="1" hidden="1" customWidth="1"/>
    <col min="3" max="3" width="2.73046875" style="1" hidden="1" customWidth="1"/>
    <col min="4" max="4" width="2" style="1" hidden="1" customWidth="1"/>
    <col min="5" max="5" width="7.73046875" style="56" bestFit="1" customWidth="1"/>
    <col min="6" max="6" width="72.265625" customWidth="1"/>
    <col min="7" max="7" width="10.86328125" customWidth="1"/>
    <col min="8" max="9" width="9.86328125" style="10" customWidth="1"/>
    <col min="10" max="12" width="6.265625" customWidth="1"/>
    <col min="13" max="17" width="9" customWidth="1"/>
    <col min="18" max="18" width="10.73046875" style="14" bestFit="1" customWidth="1"/>
    <col min="19" max="19" width="10.73046875" bestFit="1" customWidth="1"/>
    <col min="20" max="20" width="10.1328125" bestFit="1" customWidth="1"/>
    <col min="21" max="22" width="9.1328125" customWidth="1"/>
    <col min="23" max="23" width="9.59765625" customWidth="1"/>
    <col min="24" max="25" width="9.265625" customWidth="1"/>
    <col min="26" max="26" width="12.265625" customWidth="1"/>
    <col min="27" max="27" width="6.265625" customWidth="1"/>
    <col min="28" max="28" width="5.1328125" customWidth="1"/>
    <col min="29" max="390" width="6.265625" customWidth="1"/>
  </cols>
  <sheetData>
    <row r="1" spans="2:390" ht="10.5" customHeight="1" x14ac:dyDescent="0.45">
      <c r="W1" s="224"/>
      <c r="X1" s="224"/>
      <c r="Y1" s="11"/>
      <c r="Z1" s="11"/>
      <c r="DU1" s="152"/>
      <c r="DV1" s="152"/>
      <c r="DW1" s="152"/>
      <c r="DX1" s="152"/>
      <c r="DY1" s="152"/>
      <c r="DZ1" s="152"/>
      <c r="EA1" s="152"/>
      <c r="EB1" s="152"/>
      <c r="EC1" s="152"/>
      <c r="ED1" s="152"/>
      <c r="EE1" s="152"/>
      <c r="EF1" s="152"/>
      <c r="EG1" s="152"/>
      <c r="EH1" s="152"/>
      <c r="EI1" s="152"/>
      <c r="EJ1" s="152"/>
      <c r="EK1" s="152"/>
      <c r="EL1" s="152"/>
      <c r="EM1" s="152"/>
      <c r="EN1" s="152"/>
      <c r="EO1" s="152"/>
      <c r="EP1" s="152"/>
      <c r="EQ1" s="152"/>
      <c r="ER1" s="152"/>
      <c r="ES1" s="152"/>
      <c r="ET1" s="152"/>
      <c r="EU1" s="152"/>
      <c r="EV1" s="152"/>
    </row>
    <row r="2" spans="2:390" ht="18" customHeight="1" x14ac:dyDescent="0.45">
      <c r="W2" s="224"/>
      <c r="X2" s="224"/>
      <c r="Y2" s="11"/>
      <c r="Z2" s="11"/>
      <c r="DU2" s="152"/>
      <c r="DV2" s="152"/>
      <c r="DW2" s="152"/>
      <c r="DX2" s="152"/>
      <c r="DY2" s="152"/>
      <c r="DZ2" s="152"/>
      <c r="EA2" s="152"/>
      <c r="EB2" s="152"/>
      <c r="EC2" s="152"/>
      <c r="ED2" s="152"/>
      <c r="EE2" s="152"/>
      <c r="EF2" s="152"/>
      <c r="EG2" s="152"/>
      <c r="EH2" s="152"/>
      <c r="EI2" s="152"/>
      <c r="EJ2" s="152"/>
      <c r="EK2" s="152"/>
      <c r="EL2" s="152"/>
      <c r="EM2" s="152"/>
      <c r="EN2" s="152"/>
      <c r="EO2" s="152"/>
      <c r="EP2" s="152"/>
      <c r="EQ2" s="152"/>
      <c r="ER2" s="152"/>
      <c r="ES2" s="152"/>
      <c r="ET2" s="152"/>
      <c r="EU2" s="152"/>
      <c r="EV2" s="152"/>
    </row>
    <row r="3" spans="2:390" ht="15" customHeight="1" x14ac:dyDescent="0.45">
      <c r="E3" s="225"/>
      <c r="F3" s="225"/>
      <c r="G3" s="48"/>
      <c r="H3" s="68"/>
      <c r="I3" s="68"/>
      <c r="J3" s="48"/>
      <c r="K3" s="48"/>
      <c r="L3" s="48"/>
      <c r="M3" s="48"/>
      <c r="N3" s="48"/>
      <c r="O3" s="48"/>
      <c r="P3" s="48"/>
      <c r="Q3" s="48"/>
      <c r="R3" s="226"/>
      <c r="S3" s="226"/>
      <c r="T3" s="226"/>
      <c r="U3" s="226"/>
      <c r="V3" s="156"/>
      <c r="W3" s="156"/>
      <c r="X3" s="156"/>
      <c r="Y3" s="156"/>
      <c r="Z3" s="8"/>
      <c r="DU3" s="152"/>
      <c r="DV3" s="152"/>
      <c r="DW3" s="152"/>
      <c r="DX3" s="152"/>
      <c r="DY3" s="152"/>
      <c r="DZ3" s="152"/>
      <c r="EA3" s="152"/>
      <c r="EB3" s="152"/>
      <c r="EC3" s="152"/>
      <c r="ED3" s="152"/>
      <c r="EE3" s="152"/>
      <c r="EF3" s="152"/>
      <c r="EG3" s="152"/>
      <c r="EH3" s="152"/>
      <c r="EI3" s="152"/>
      <c r="EJ3" s="152"/>
      <c r="EK3" s="152"/>
      <c r="EL3" s="152"/>
      <c r="EM3" s="152"/>
      <c r="EN3" s="152"/>
      <c r="EO3" s="152"/>
      <c r="EP3" s="152"/>
      <c r="EQ3" s="152"/>
      <c r="ER3" s="152"/>
      <c r="ES3" s="152"/>
      <c r="ET3" s="152"/>
      <c r="EU3" s="152"/>
      <c r="EV3" s="152"/>
    </row>
    <row r="4" spans="2:390" ht="15.75" customHeight="1" x14ac:dyDescent="0.5">
      <c r="F4" s="12"/>
      <c r="G4" s="12"/>
      <c r="H4" s="69"/>
      <c r="I4" s="69"/>
      <c r="J4" s="12"/>
      <c r="K4" s="12"/>
      <c r="L4" s="12"/>
      <c r="M4" s="12"/>
      <c r="N4" s="12"/>
      <c r="O4" s="12"/>
      <c r="P4" s="12"/>
      <c r="Q4" s="12"/>
      <c r="R4" s="226"/>
      <c r="S4" s="226"/>
      <c r="T4" s="226"/>
      <c r="U4" s="226"/>
      <c r="V4" s="156"/>
      <c r="W4" s="156"/>
      <c r="X4" s="156"/>
      <c r="Y4" s="156"/>
      <c r="Z4" s="33">
        <v>45931</v>
      </c>
      <c r="AA4" s="227" t="str">
        <f>TEXT(AD9,"MMMM JJ")</f>
        <v>November 25</v>
      </c>
      <c r="AB4" s="228"/>
      <c r="AC4" s="228"/>
      <c r="AD4" s="228"/>
      <c r="AE4" s="228"/>
      <c r="AF4" s="228"/>
      <c r="AG4" s="229"/>
      <c r="AH4" s="227" t="str">
        <f>TEXT(AM9,"MMMM JJ")</f>
        <v>December 25</v>
      </c>
      <c r="AI4" s="228"/>
      <c r="AJ4" s="228"/>
      <c r="AK4" s="228"/>
      <c r="AL4" s="228"/>
      <c r="AM4" s="228"/>
      <c r="AN4" s="229"/>
      <c r="AO4" s="227" t="str">
        <f>TEXT(AT9,"MMMM JJ")</f>
        <v>December 25</v>
      </c>
      <c r="AP4" s="228"/>
      <c r="AQ4" s="228"/>
      <c r="AR4" s="228"/>
      <c r="AS4" s="228"/>
      <c r="AT4" s="228"/>
      <c r="AU4" s="229"/>
      <c r="AV4" s="227" t="str">
        <f>TEXT(BA9,"MMMM JJ")</f>
        <v>December 25</v>
      </c>
      <c r="AW4" s="228"/>
      <c r="AX4" s="228"/>
      <c r="AY4" s="228"/>
      <c r="AZ4" s="228"/>
      <c r="BA4" s="228"/>
      <c r="BB4" s="229"/>
      <c r="BC4" s="227" t="str">
        <f>TEXT(BH9,"MMMM JJ")</f>
        <v>December 25</v>
      </c>
      <c r="BD4" s="228"/>
      <c r="BE4" s="228"/>
      <c r="BF4" s="228"/>
      <c r="BG4" s="228"/>
      <c r="BH4" s="228"/>
      <c r="BI4" s="229"/>
      <c r="BJ4" s="227" t="str">
        <f>TEXT(BO9,"MMMM JJ")</f>
        <v>January 26</v>
      </c>
      <c r="BK4" s="228"/>
      <c r="BL4" s="228"/>
      <c r="BM4" s="228"/>
      <c r="BN4" s="228"/>
      <c r="BO4" s="228"/>
      <c r="BP4" s="229"/>
      <c r="BQ4" s="227" t="str">
        <f>TEXT(BV9,"MMMM JJ")</f>
        <v>January 26</v>
      </c>
      <c r="BR4" s="228"/>
      <c r="BS4" s="228"/>
      <c r="BT4" s="228"/>
      <c r="BU4" s="228"/>
      <c r="BV4" s="228"/>
      <c r="BW4" s="229"/>
      <c r="BX4" s="235" t="str">
        <f>TEXT(CC9,"MMMM JJ")</f>
        <v>January 26</v>
      </c>
      <c r="BY4" s="236"/>
      <c r="BZ4" s="236"/>
      <c r="CA4" s="236"/>
      <c r="CB4" s="236"/>
      <c r="CC4" s="236"/>
      <c r="CD4" s="237"/>
      <c r="CE4" s="235" t="str">
        <f>TEXT(CJ9,"MMMM JJ")</f>
        <v>January 26</v>
      </c>
      <c r="CF4" s="236"/>
      <c r="CG4" s="236"/>
      <c r="CH4" s="236"/>
      <c r="CI4" s="236"/>
      <c r="CJ4" s="236"/>
      <c r="CK4" s="237"/>
      <c r="CL4" s="235" t="str">
        <f>TEXT(CQ9,"MMMM JJ")</f>
        <v>January 26</v>
      </c>
      <c r="CM4" s="236"/>
      <c r="CN4" s="236"/>
      <c r="CO4" s="236"/>
      <c r="CP4" s="236"/>
      <c r="CQ4" s="236"/>
      <c r="CR4" s="237"/>
      <c r="CS4" s="227" t="str">
        <f>TEXT(CX9,"MMMM JJ")</f>
        <v>February 26</v>
      </c>
      <c r="CT4" s="228"/>
      <c r="CU4" s="228"/>
      <c r="CV4" s="228"/>
      <c r="CW4" s="228"/>
      <c r="CX4" s="228"/>
      <c r="CY4" s="229"/>
      <c r="CZ4" s="227" t="str">
        <f>TEXT(DE9,"MMMM JJ")</f>
        <v>February 26</v>
      </c>
      <c r="DA4" s="228"/>
      <c r="DB4" s="228"/>
      <c r="DC4" s="228"/>
      <c r="DD4" s="228"/>
      <c r="DE4" s="228"/>
      <c r="DF4" s="229"/>
      <c r="DG4" s="227" t="str">
        <f>TEXT(DL9,"MMMM JJ")</f>
        <v>February 26</v>
      </c>
      <c r="DH4" s="228"/>
      <c r="DI4" s="228"/>
      <c r="DJ4" s="228"/>
      <c r="DK4" s="228"/>
      <c r="DL4" s="228"/>
      <c r="DM4" s="229"/>
      <c r="DN4" s="227" t="str">
        <f>TEXT(DS9,"MMMM JJ")</f>
        <v>February 26</v>
      </c>
      <c r="DO4" s="228"/>
      <c r="DP4" s="228"/>
      <c r="DQ4" s="228"/>
      <c r="DR4" s="228"/>
      <c r="DS4" s="228"/>
      <c r="DT4" s="229"/>
      <c r="DU4" s="235" t="str">
        <f>TEXT(DZ9,"MMMM JJ")</f>
        <v>March 26</v>
      </c>
      <c r="DV4" s="236"/>
      <c r="DW4" s="236"/>
      <c r="DX4" s="236"/>
      <c r="DY4" s="236"/>
      <c r="DZ4" s="236"/>
      <c r="EA4" s="237"/>
      <c r="EB4" s="235" t="str">
        <f>TEXT(EG9,"MMMM JJ")</f>
        <v>March 26</v>
      </c>
      <c r="EC4" s="236"/>
      <c r="ED4" s="236"/>
      <c r="EE4" s="236"/>
      <c r="EF4" s="236"/>
      <c r="EG4" s="236"/>
      <c r="EH4" s="237"/>
      <c r="EI4" s="235" t="str">
        <f>TEXT(EN9,"MMMM JJ")</f>
        <v>March 26</v>
      </c>
      <c r="EJ4" s="236"/>
      <c r="EK4" s="236"/>
      <c r="EL4" s="236"/>
      <c r="EM4" s="236"/>
      <c r="EN4" s="236"/>
      <c r="EO4" s="237"/>
      <c r="EP4" s="235" t="str">
        <f>TEXT(EU9,"MMMM JJ")</f>
        <v>March 26</v>
      </c>
      <c r="EQ4" s="236"/>
      <c r="ER4" s="236"/>
      <c r="ES4" s="236"/>
      <c r="ET4" s="236"/>
      <c r="EU4" s="236"/>
      <c r="EV4" s="237"/>
      <c r="EW4" s="238" t="str">
        <f>TEXT(FB9,"MMMM JJ")</f>
        <v>April 26</v>
      </c>
      <c r="EX4" s="239"/>
      <c r="EY4" s="239"/>
      <c r="EZ4" s="239"/>
      <c r="FA4" s="239"/>
      <c r="FB4" s="239"/>
      <c r="FC4" s="240"/>
      <c r="FD4" s="238" t="str">
        <f>TEXT(FI9,"MMMM JJ")</f>
        <v>April 26</v>
      </c>
      <c r="FE4" s="239"/>
      <c r="FF4" s="239"/>
      <c r="FG4" s="239"/>
      <c r="FH4" s="239"/>
      <c r="FI4" s="239"/>
      <c r="FJ4" s="240"/>
      <c r="FK4" s="238" t="str">
        <f>TEXT(FP9,"MMMM JJ")</f>
        <v>April 26</v>
      </c>
      <c r="FL4" s="239"/>
      <c r="FM4" s="239"/>
      <c r="FN4" s="239"/>
      <c r="FO4" s="239"/>
      <c r="FP4" s="239"/>
      <c r="FQ4" s="240"/>
      <c r="FR4" s="238" t="str">
        <f>TEXT(FW9,"MMMM JJ")</f>
        <v>April 26</v>
      </c>
      <c r="FS4" s="239"/>
      <c r="FT4" s="239"/>
      <c r="FU4" s="239"/>
      <c r="FV4" s="239"/>
      <c r="FW4" s="239"/>
      <c r="FX4" s="240"/>
      <c r="FY4" s="227" t="str">
        <f>TEXT(GD9,"MMMM JJ")</f>
        <v>May 26</v>
      </c>
      <c r="FZ4" s="228"/>
      <c r="GA4" s="228"/>
      <c r="GB4" s="228"/>
      <c r="GC4" s="228"/>
      <c r="GD4" s="228"/>
      <c r="GE4" s="229"/>
      <c r="GF4" s="227" t="str">
        <f>TEXT(GK9,"MMMM JJ")</f>
        <v>May 26</v>
      </c>
      <c r="GG4" s="228"/>
      <c r="GH4" s="228"/>
      <c r="GI4" s="228"/>
      <c r="GJ4" s="228"/>
      <c r="GK4" s="228"/>
      <c r="GL4" s="229"/>
      <c r="GM4" s="227" t="str">
        <f>TEXT(GR9,"MMMM JJ")</f>
        <v>May 26</v>
      </c>
      <c r="GN4" s="228"/>
      <c r="GO4" s="228"/>
      <c r="GP4" s="228"/>
      <c r="GQ4" s="228"/>
      <c r="GR4" s="228"/>
      <c r="GS4" s="229"/>
      <c r="GT4" s="227" t="str">
        <f>TEXT(GY9,"MMMM JJ")</f>
        <v>May 26</v>
      </c>
      <c r="GU4" s="228"/>
      <c r="GV4" s="228"/>
      <c r="GW4" s="228"/>
      <c r="GX4" s="228"/>
      <c r="GY4" s="228"/>
      <c r="GZ4" s="229"/>
      <c r="HA4" s="227" t="str">
        <f>TEXT(HF9,"MMMM JJ")</f>
        <v>May 26</v>
      </c>
      <c r="HB4" s="228"/>
      <c r="HC4" s="228"/>
      <c r="HD4" s="228"/>
      <c r="HE4" s="228"/>
      <c r="HF4" s="228"/>
      <c r="HG4" s="229"/>
      <c r="HH4" s="227" t="str">
        <f>TEXT(HM9,"MMMM JJ")</f>
        <v>June 26</v>
      </c>
      <c r="HI4" s="228"/>
      <c r="HJ4" s="228"/>
      <c r="HK4" s="228"/>
      <c r="HL4" s="228"/>
      <c r="HM4" s="228"/>
      <c r="HN4" s="229"/>
      <c r="HO4" s="227" t="str">
        <f>TEXT(HT9,"MMMM JJ")</f>
        <v>June 26</v>
      </c>
      <c r="HP4" s="228"/>
      <c r="HQ4" s="228"/>
      <c r="HR4" s="228"/>
      <c r="HS4" s="228"/>
      <c r="HT4" s="228"/>
      <c r="HU4" s="229"/>
      <c r="HV4" s="227" t="str">
        <f>TEXT(IA9,"MMMM JJ")</f>
        <v>June 26</v>
      </c>
      <c r="HW4" s="228"/>
      <c r="HX4" s="228"/>
      <c r="HY4" s="228"/>
      <c r="HZ4" s="228"/>
      <c r="IA4" s="228"/>
      <c r="IB4" s="229"/>
      <c r="IC4" s="227" t="str">
        <f>TEXT(IH9,"MMMM JJ")</f>
        <v>June 26</v>
      </c>
      <c r="ID4" s="228"/>
      <c r="IE4" s="228"/>
      <c r="IF4" s="228"/>
      <c r="IG4" s="228"/>
      <c r="IH4" s="228"/>
      <c r="II4" s="229"/>
      <c r="IJ4" s="227" t="str">
        <f>TEXT(IO9,"MMMM JJ")</f>
        <v>July 26</v>
      </c>
      <c r="IK4" s="228"/>
      <c r="IL4" s="228"/>
      <c r="IM4" s="228"/>
      <c r="IN4" s="228"/>
      <c r="IO4" s="228"/>
      <c r="IP4" s="229"/>
      <c r="IQ4" s="227" t="str">
        <f>TEXT(IV9,"MMMM JJ")</f>
        <v>July 26</v>
      </c>
      <c r="IR4" s="228"/>
      <c r="IS4" s="228"/>
      <c r="IT4" s="228"/>
      <c r="IU4" s="228"/>
      <c r="IV4" s="228"/>
      <c r="IW4" s="229"/>
      <c r="IX4" s="227" t="str">
        <f>TEXT(JC9,"MMMM JJ")</f>
        <v>July 26</v>
      </c>
      <c r="IY4" s="228"/>
      <c r="IZ4" s="228"/>
      <c r="JA4" s="228"/>
      <c r="JB4" s="228"/>
      <c r="JC4" s="228"/>
      <c r="JD4" s="229"/>
      <c r="JE4" s="227" t="str">
        <f>TEXT(JJ9,"MMMM JJ")</f>
        <v>July 26</v>
      </c>
      <c r="JF4" s="228"/>
      <c r="JG4" s="228"/>
      <c r="JH4" s="228"/>
      <c r="JI4" s="228"/>
      <c r="JJ4" s="228"/>
      <c r="JK4" s="229"/>
      <c r="JL4" s="227" t="str">
        <f>TEXT(JQ9,"MMMM JJ")</f>
        <v>August 26</v>
      </c>
      <c r="JM4" s="228"/>
      <c r="JN4" s="228"/>
      <c r="JO4" s="228"/>
      <c r="JP4" s="228"/>
      <c r="JQ4" s="228"/>
      <c r="JR4" s="229"/>
      <c r="JS4" s="227" t="str">
        <f>TEXT(JX9,"MMMM JJ")</f>
        <v>August 26</v>
      </c>
      <c r="JT4" s="228"/>
      <c r="JU4" s="228"/>
      <c r="JV4" s="228"/>
      <c r="JW4" s="228"/>
      <c r="JX4" s="228"/>
      <c r="JY4" s="229"/>
      <c r="JZ4" s="227" t="str">
        <f>TEXT(KE9,"MMMM JJ")</f>
        <v>August 26</v>
      </c>
      <c r="KA4" s="228"/>
      <c r="KB4" s="228"/>
      <c r="KC4" s="228"/>
      <c r="KD4" s="228"/>
      <c r="KE4" s="228"/>
      <c r="KF4" s="229"/>
      <c r="KG4" s="227" t="str">
        <f>TEXT(KL9,"MMMM JJ")</f>
        <v>August 26</v>
      </c>
      <c r="KH4" s="228"/>
      <c r="KI4" s="228"/>
      <c r="KJ4" s="228"/>
      <c r="KK4" s="228"/>
      <c r="KL4" s="228"/>
      <c r="KM4" s="229"/>
      <c r="KN4" s="227" t="str">
        <f>TEXT(KS9,"MMMM JJ")</f>
        <v>August 26</v>
      </c>
      <c r="KO4" s="228"/>
      <c r="KP4" s="228"/>
      <c r="KQ4" s="228"/>
      <c r="KR4" s="228"/>
      <c r="KS4" s="228"/>
      <c r="KT4" s="229"/>
      <c r="KU4" s="227" t="str">
        <f>TEXT(KZ9,"MMMM JJ")</f>
        <v>September 26</v>
      </c>
      <c r="KV4" s="228"/>
      <c r="KW4" s="228"/>
      <c r="KX4" s="228"/>
      <c r="KY4" s="228"/>
      <c r="KZ4" s="228"/>
      <c r="LA4" s="229"/>
      <c r="LB4" s="227" t="str">
        <f>TEXT(LG9,"MMMM JJ")</f>
        <v>September 26</v>
      </c>
      <c r="LC4" s="228"/>
      <c r="LD4" s="228"/>
      <c r="LE4" s="228"/>
      <c r="LF4" s="228"/>
      <c r="LG4" s="228"/>
      <c r="LH4" s="229"/>
      <c r="LI4" s="227" t="str">
        <f>TEXT(LN9,"MMMM JJ")</f>
        <v>September 26</v>
      </c>
      <c r="LJ4" s="228"/>
      <c r="LK4" s="228"/>
      <c r="LL4" s="228"/>
      <c r="LM4" s="228"/>
      <c r="LN4" s="228"/>
      <c r="LO4" s="229"/>
      <c r="LP4" s="227" t="str">
        <f>TEXT(LU9,"MMMM JJ")</f>
        <v>September 26</v>
      </c>
      <c r="LQ4" s="228"/>
      <c r="LR4" s="228"/>
      <c r="LS4" s="228"/>
      <c r="LT4" s="228"/>
      <c r="LU4" s="228"/>
      <c r="LV4" s="229"/>
      <c r="LW4" s="227" t="str">
        <f>TEXT(MB9,"MMMM JJ")</f>
        <v>October 26</v>
      </c>
      <c r="LX4" s="228"/>
      <c r="LY4" s="228"/>
      <c r="LZ4" s="228"/>
      <c r="MA4" s="228"/>
      <c r="MB4" s="228"/>
      <c r="MC4" s="229"/>
      <c r="MD4" s="227" t="str">
        <f>TEXT(MI9,"MMMM JJ")</f>
        <v>October 26</v>
      </c>
      <c r="ME4" s="228"/>
      <c r="MF4" s="228"/>
      <c r="MG4" s="228"/>
      <c r="MH4" s="228"/>
      <c r="MI4" s="228"/>
      <c r="MJ4" s="229"/>
      <c r="MK4" s="227" t="str">
        <f>TEXT(MP9,"MMMM JJ")</f>
        <v>October 26</v>
      </c>
      <c r="ML4" s="228"/>
      <c r="MM4" s="228"/>
      <c r="MN4" s="228"/>
      <c r="MO4" s="228"/>
      <c r="MP4" s="228"/>
      <c r="MQ4" s="229"/>
      <c r="MR4" s="227" t="str">
        <f>TEXT(MW9,"MMMM JJ")</f>
        <v>October 26</v>
      </c>
      <c r="MS4" s="228"/>
      <c r="MT4" s="228"/>
      <c r="MU4" s="228"/>
      <c r="MV4" s="228"/>
      <c r="MW4" s="228"/>
      <c r="MX4" s="229"/>
      <c r="MY4" s="227" t="str">
        <f>TEXT(ND9,"MMMM JJ")</f>
        <v>October 26</v>
      </c>
      <c r="MZ4" s="228"/>
      <c r="NA4" s="228"/>
      <c r="NB4" s="228"/>
      <c r="NC4" s="228"/>
      <c r="ND4" s="228"/>
      <c r="NE4" s="229"/>
      <c r="NF4" s="227" t="str">
        <f>TEXT(NK9,"MMMM JJ")</f>
        <v>November 26</v>
      </c>
      <c r="NG4" s="228"/>
      <c r="NH4" s="228"/>
      <c r="NI4" s="228"/>
      <c r="NJ4" s="228"/>
      <c r="NK4" s="228"/>
      <c r="NL4" s="229"/>
      <c r="NM4" s="227" t="str">
        <f>TEXT(NR9,"MMMM JJ")</f>
        <v>November 26</v>
      </c>
      <c r="NN4" s="228"/>
      <c r="NO4" s="228"/>
      <c r="NP4" s="228"/>
      <c r="NQ4" s="228"/>
      <c r="NR4" s="228"/>
      <c r="NS4" s="229"/>
      <c r="NT4" s="227" t="str">
        <f>TEXT(NY9,"MMMM JJ")</f>
        <v>November 26</v>
      </c>
      <c r="NU4" s="228"/>
      <c r="NV4" s="228"/>
      <c r="NW4" s="228"/>
      <c r="NX4" s="228"/>
      <c r="NY4" s="228"/>
      <c r="NZ4" s="229"/>
    </row>
    <row r="5" spans="2:390" ht="15" customHeight="1" x14ac:dyDescent="0.45">
      <c r="E5" s="230"/>
      <c r="F5" s="230"/>
      <c r="G5" s="47"/>
      <c r="H5" s="70"/>
      <c r="I5" s="70"/>
      <c r="J5" s="47"/>
      <c r="K5" s="47"/>
      <c r="L5" s="47"/>
      <c r="M5" s="47"/>
      <c r="N5" s="47"/>
      <c r="O5" s="47"/>
      <c r="P5" s="47"/>
      <c r="Q5" s="47"/>
      <c r="R5" s="231" t="s">
        <v>6</v>
      </c>
      <c r="S5" s="231"/>
      <c r="T5" s="231"/>
      <c r="U5" s="231"/>
      <c r="V5" s="231"/>
      <c r="W5" s="231"/>
      <c r="X5" s="231"/>
      <c r="Y5" s="231"/>
      <c r="Z5" s="231"/>
      <c r="AA5" s="232">
        <f>WEEKNUM(AF9,21)</f>
        <v>48</v>
      </c>
      <c r="AB5" s="233"/>
      <c r="AC5" s="233"/>
      <c r="AD5" s="233"/>
      <c r="AE5" s="233"/>
      <c r="AF5" s="233"/>
      <c r="AG5" s="234"/>
      <c r="AH5" s="232">
        <f>WEEKNUM(AM9,21)</f>
        <v>49</v>
      </c>
      <c r="AI5" s="233"/>
      <c r="AJ5" s="233"/>
      <c r="AK5" s="233"/>
      <c r="AL5" s="233"/>
      <c r="AM5" s="233"/>
      <c r="AN5" s="234"/>
      <c r="AO5" s="232">
        <f>WEEKNUM(AT9,21)</f>
        <v>50</v>
      </c>
      <c r="AP5" s="233"/>
      <c r="AQ5" s="233"/>
      <c r="AR5" s="233"/>
      <c r="AS5" s="233"/>
      <c r="AT5" s="233"/>
      <c r="AU5" s="234"/>
      <c r="AV5" s="232">
        <f>WEEKNUM(BA9,21)</f>
        <v>51</v>
      </c>
      <c r="AW5" s="233"/>
      <c r="AX5" s="233"/>
      <c r="AY5" s="233"/>
      <c r="AZ5" s="233"/>
      <c r="BA5" s="233"/>
      <c r="BB5" s="234"/>
      <c r="BC5" s="232">
        <f>WEEKNUM(BH9,21)</f>
        <v>52</v>
      </c>
      <c r="BD5" s="233"/>
      <c r="BE5" s="233"/>
      <c r="BF5" s="233"/>
      <c r="BG5" s="233"/>
      <c r="BH5" s="233"/>
      <c r="BI5" s="234"/>
      <c r="BJ5" s="232">
        <f>WEEKNUM(BO9,21)</f>
        <v>1</v>
      </c>
      <c r="BK5" s="233"/>
      <c r="BL5" s="233"/>
      <c r="BM5" s="233"/>
      <c r="BN5" s="233"/>
      <c r="BO5" s="233"/>
      <c r="BP5" s="234"/>
      <c r="BQ5" s="232">
        <f>WEEKNUM(BV9,21)</f>
        <v>2</v>
      </c>
      <c r="BR5" s="233"/>
      <c r="BS5" s="233"/>
      <c r="BT5" s="233"/>
      <c r="BU5" s="233"/>
      <c r="BV5" s="233"/>
      <c r="BW5" s="234"/>
      <c r="BX5" s="232">
        <f>WEEKNUM(CC9,21)</f>
        <v>3</v>
      </c>
      <c r="BY5" s="233"/>
      <c r="BZ5" s="233"/>
      <c r="CA5" s="233"/>
      <c r="CB5" s="233"/>
      <c r="CC5" s="233"/>
      <c r="CD5" s="234"/>
      <c r="CE5" s="232">
        <f>WEEKNUM(CJ9,21)</f>
        <v>4</v>
      </c>
      <c r="CF5" s="233"/>
      <c r="CG5" s="233"/>
      <c r="CH5" s="233"/>
      <c r="CI5" s="233"/>
      <c r="CJ5" s="233"/>
      <c r="CK5" s="234"/>
      <c r="CL5" s="232">
        <f>WEEKNUM(CQ9,21)</f>
        <v>5</v>
      </c>
      <c r="CM5" s="233"/>
      <c r="CN5" s="233"/>
      <c r="CO5" s="233"/>
      <c r="CP5" s="233"/>
      <c r="CQ5" s="233"/>
      <c r="CR5" s="234"/>
      <c r="CS5" s="232">
        <f>WEEKNUM(CX9,21)</f>
        <v>6</v>
      </c>
      <c r="CT5" s="233"/>
      <c r="CU5" s="233"/>
      <c r="CV5" s="233"/>
      <c r="CW5" s="233"/>
      <c r="CX5" s="233"/>
      <c r="CY5" s="234"/>
      <c r="CZ5" s="232">
        <f>WEEKNUM(DE9,21)</f>
        <v>7</v>
      </c>
      <c r="DA5" s="233"/>
      <c r="DB5" s="233"/>
      <c r="DC5" s="233"/>
      <c r="DD5" s="233"/>
      <c r="DE5" s="233"/>
      <c r="DF5" s="234"/>
      <c r="DG5" s="232">
        <f>WEEKNUM(DL9,21)</f>
        <v>8</v>
      </c>
      <c r="DH5" s="233"/>
      <c r="DI5" s="233"/>
      <c r="DJ5" s="233"/>
      <c r="DK5" s="233"/>
      <c r="DL5" s="233"/>
      <c r="DM5" s="234"/>
      <c r="DN5" s="232">
        <f>WEEKNUM(DS9,21)</f>
        <v>9</v>
      </c>
      <c r="DO5" s="233"/>
      <c r="DP5" s="233"/>
      <c r="DQ5" s="233"/>
      <c r="DR5" s="233"/>
      <c r="DS5" s="233"/>
      <c r="DT5" s="234"/>
      <c r="DU5" s="232">
        <f>WEEKNUM(DZ9,21)</f>
        <v>10</v>
      </c>
      <c r="DV5" s="233"/>
      <c r="DW5" s="233"/>
      <c r="DX5" s="233"/>
      <c r="DY5" s="233"/>
      <c r="DZ5" s="233"/>
      <c r="EA5" s="234"/>
      <c r="EB5" s="232">
        <f>WEEKNUM(EG9,21)</f>
        <v>11</v>
      </c>
      <c r="EC5" s="233"/>
      <c r="ED5" s="233"/>
      <c r="EE5" s="233"/>
      <c r="EF5" s="233"/>
      <c r="EG5" s="233"/>
      <c r="EH5" s="234"/>
      <c r="EI5" s="232">
        <f>WEEKNUM(EN9,21)</f>
        <v>12</v>
      </c>
      <c r="EJ5" s="233"/>
      <c r="EK5" s="233"/>
      <c r="EL5" s="233"/>
      <c r="EM5" s="233"/>
      <c r="EN5" s="233"/>
      <c r="EO5" s="234"/>
      <c r="EP5" s="232">
        <f>WEEKNUM(EU9,21)</f>
        <v>13</v>
      </c>
      <c r="EQ5" s="233"/>
      <c r="ER5" s="233"/>
      <c r="ES5" s="233"/>
      <c r="ET5" s="233"/>
      <c r="EU5" s="233"/>
      <c r="EV5" s="234"/>
      <c r="EW5" s="232">
        <f>WEEKNUM(FB9,21)</f>
        <v>14</v>
      </c>
      <c r="EX5" s="233"/>
      <c r="EY5" s="233"/>
      <c r="EZ5" s="233"/>
      <c r="FA5" s="233"/>
      <c r="FB5" s="233"/>
      <c r="FC5" s="234"/>
      <c r="FD5" s="232">
        <f>WEEKNUM(FI9,21)</f>
        <v>15</v>
      </c>
      <c r="FE5" s="233"/>
      <c r="FF5" s="233"/>
      <c r="FG5" s="233"/>
      <c r="FH5" s="233"/>
      <c r="FI5" s="233"/>
      <c r="FJ5" s="234"/>
      <c r="FK5" s="232">
        <f>WEEKNUM(FP9,21)</f>
        <v>16</v>
      </c>
      <c r="FL5" s="233"/>
      <c r="FM5" s="233"/>
      <c r="FN5" s="233"/>
      <c r="FO5" s="233"/>
      <c r="FP5" s="233"/>
      <c r="FQ5" s="234"/>
      <c r="FR5" s="232">
        <f>WEEKNUM(FW9,21)</f>
        <v>17</v>
      </c>
      <c r="FS5" s="233"/>
      <c r="FT5" s="233"/>
      <c r="FU5" s="233"/>
      <c r="FV5" s="233"/>
      <c r="FW5" s="233"/>
      <c r="FX5" s="234"/>
      <c r="FY5" s="232">
        <f>WEEKNUM(GD9,21)</f>
        <v>18</v>
      </c>
      <c r="FZ5" s="233"/>
      <c r="GA5" s="233"/>
      <c r="GB5" s="233"/>
      <c r="GC5" s="233"/>
      <c r="GD5" s="233"/>
      <c r="GE5" s="234"/>
      <c r="GF5" s="232">
        <f>WEEKNUM(GK9,21)</f>
        <v>19</v>
      </c>
      <c r="GG5" s="233"/>
      <c r="GH5" s="233"/>
      <c r="GI5" s="233"/>
      <c r="GJ5" s="233"/>
      <c r="GK5" s="233"/>
      <c r="GL5" s="234"/>
      <c r="GM5" s="232">
        <f>WEEKNUM(GR9,21)</f>
        <v>20</v>
      </c>
      <c r="GN5" s="233"/>
      <c r="GO5" s="233"/>
      <c r="GP5" s="233"/>
      <c r="GQ5" s="233"/>
      <c r="GR5" s="233"/>
      <c r="GS5" s="234"/>
      <c r="GT5" s="232">
        <f>WEEKNUM(GY9,21)</f>
        <v>21</v>
      </c>
      <c r="GU5" s="233"/>
      <c r="GV5" s="233"/>
      <c r="GW5" s="233"/>
      <c r="GX5" s="233"/>
      <c r="GY5" s="233"/>
      <c r="GZ5" s="234"/>
      <c r="HA5" s="232">
        <f>WEEKNUM(HF9,21)</f>
        <v>22</v>
      </c>
      <c r="HB5" s="233"/>
      <c r="HC5" s="233"/>
      <c r="HD5" s="233"/>
      <c r="HE5" s="233"/>
      <c r="HF5" s="233"/>
      <c r="HG5" s="234"/>
      <c r="HH5" s="232">
        <f>WEEKNUM(HM9,21)</f>
        <v>23</v>
      </c>
      <c r="HI5" s="233"/>
      <c r="HJ5" s="233"/>
      <c r="HK5" s="233"/>
      <c r="HL5" s="233"/>
      <c r="HM5" s="233"/>
      <c r="HN5" s="234"/>
      <c r="HO5" s="232">
        <f>WEEKNUM(HT9,21)</f>
        <v>24</v>
      </c>
      <c r="HP5" s="233"/>
      <c r="HQ5" s="233"/>
      <c r="HR5" s="233"/>
      <c r="HS5" s="233"/>
      <c r="HT5" s="233"/>
      <c r="HU5" s="234"/>
      <c r="HV5" s="232">
        <f>WEEKNUM(IA9,21)</f>
        <v>25</v>
      </c>
      <c r="HW5" s="233"/>
      <c r="HX5" s="233"/>
      <c r="HY5" s="233"/>
      <c r="HZ5" s="233"/>
      <c r="IA5" s="233"/>
      <c r="IB5" s="234"/>
      <c r="IC5" s="232">
        <f>WEEKNUM(IH9,21)</f>
        <v>26</v>
      </c>
      <c r="ID5" s="233"/>
      <c r="IE5" s="233"/>
      <c r="IF5" s="233"/>
      <c r="IG5" s="233"/>
      <c r="IH5" s="233"/>
      <c r="II5" s="234"/>
      <c r="IJ5" s="232">
        <f>WEEKNUM(IO9,21)</f>
        <v>27</v>
      </c>
      <c r="IK5" s="233"/>
      <c r="IL5" s="233"/>
      <c r="IM5" s="233"/>
      <c r="IN5" s="233"/>
      <c r="IO5" s="233"/>
      <c r="IP5" s="234"/>
      <c r="IQ5" s="232">
        <f>WEEKNUM(IV9,21)</f>
        <v>28</v>
      </c>
      <c r="IR5" s="233"/>
      <c r="IS5" s="233"/>
      <c r="IT5" s="233"/>
      <c r="IU5" s="233"/>
      <c r="IV5" s="233"/>
      <c r="IW5" s="234"/>
      <c r="IX5" s="232">
        <f>WEEKNUM(JC9,21)</f>
        <v>29</v>
      </c>
      <c r="IY5" s="233"/>
      <c r="IZ5" s="233"/>
      <c r="JA5" s="233"/>
      <c r="JB5" s="233"/>
      <c r="JC5" s="233"/>
      <c r="JD5" s="234"/>
      <c r="JE5" s="232">
        <f>WEEKNUM(JJ9,21)</f>
        <v>30</v>
      </c>
      <c r="JF5" s="233"/>
      <c r="JG5" s="233"/>
      <c r="JH5" s="233"/>
      <c r="JI5" s="233"/>
      <c r="JJ5" s="233"/>
      <c r="JK5" s="234"/>
      <c r="JL5" s="232">
        <f>WEEKNUM(JQ9,21)</f>
        <v>31</v>
      </c>
      <c r="JM5" s="233"/>
      <c r="JN5" s="233"/>
      <c r="JO5" s="233"/>
      <c r="JP5" s="233"/>
      <c r="JQ5" s="233"/>
      <c r="JR5" s="234"/>
      <c r="JS5" s="232">
        <f>WEEKNUM(JX9,21)</f>
        <v>32</v>
      </c>
      <c r="JT5" s="233"/>
      <c r="JU5" s="233"/>
      <c r="JV5" s="233"/>
      <c r="JW5" s="233"/>
      <c r="JX5" s="233"/>
      <c r="JY5" s="234"/>
      <c r="JZ5" s="232">
        <f>WEEKNUM(KE9,21)</f>
        <v>33</v>
      </c>
      <c r="KA5" s="233"/>
      <c r="KB5" s="233"/>
      <c r="KC5" s="233"/>
      <c r="KD5" s="233"/>
      <c r="KE5" s="233"/>
      <c r="KF5" s="234"/>
      <c r="KG5" s="232">
        <f>WEEKNUM(KL9,21)</f>
        <v>34</v>
      </c>
      <c r="KH5" s="233"/>
      <c r="KI5" s="233"/>
      <c r="KJ5" s="233"/>
      <c r="KK5" s="233"/>
      <c r="KL5" s="233"/>
      <c r="KM5" s="234"/>
      <c r="KN5" s="232">
        <f>WEEKNUM(KS9,21)</f>
        <v>35</v>
      </c>
      <c r="KO5" s="233"/>
      <c r="KP5" s="233"/>
      <c r="KQ5" s="233"/>
      <c r="KR5" s="233"/>
      <c r="KS5" s="233"/>
      <c r="KT5" s="234"/>
      <c r="KU5" s="232">
        <f>WEEKNUM(KZ9,21)</f>
        <v>36</v>
      </c>
      <c r="KV5" s="233"/>
      <c r="KW5" s="233"/>
      <c r="KX5" s="233"/>
      <c r="KY5" s="233"/>
      <c r="KZ5" s="233"/>
      <c r="LA5" s="234"/>
      <c r="LB5" s="232">
        <f>WEEKNUM(LG9,21)</f>
        <v>37</v>
      </c>
      <c r="LC5" s="233"/>
      <c r="LD5" s="233"/>
      <c r="LE5" s="233"/>
      <c r="LF5" s="233"/>
      <c r="LG5" s="233"/>
      <c r="LH5" s="234"/>
      <c r="LI5" s="232">
        <f>WEEKNUM(LN9,21)</f>
        <v>38</v>
      </c>
      <c r="LJ5" s="233"/>
      <c r="LK5" s="233"/>
      <c r="LL5" s="233"/>
      <c r="LM5" s="233"/>
      <c r="LN5" s="233"/>
      <c r="LO5" s="234"/>
      <c r="LP5" s="232">
        <f>WEEKNUM(LU9,21)</f>
        <v>39</v>
      </c>
      <c r="LQ5" s="233"/>
      <c r="LR5" s="233"/>
      <c r="LS5" s="233"/>
      <c r="LT5" s="233"/>
      <c r="LU5" s="233"/>
      <c r="LV5" s="234"/>
      <c r="LW5" s="232">
        <f>WEEKNUM(MB9,21)</f>
        <v>40</v>
      </c>
      <c r="LX5" s="233"/>
      <c r="LY5" s="233"/>
      <c r="LZ5" s="233"/>
      <c r="MA5" s="233"/>
      <c r="MB5" s="233"/>
      <c r="MC5" s="234"/>
      <c r="MD5" s="232">
        <f>WEEKNUM(MI9,21)</f>
        <v>41</v>
      </c>
      <c r="ME5" s="233"/>
      <c r="MF5" s="233"/>
      <c r="MG5" s="233"/>
      <c r="MH5" s="233"/>
      <c r="MI5" s="233"/>
      <c r="MJ5" s="234"/>
      <c r="MK5" s="232">
        <f>WEEKNUM(MP9,21)</f>
        <v>42</v>
      </c>
      <c r="ML5" s="233"/>
      <c r="MM5" s="233"/>
      <c r="MN5" s="233"/>
      <c r="MO5" s="233"/>
      <c r="MP5" s="233"/>
      <c r="MQ5" s="234"/>
      <c r="MR5" s="232">
        <f>WEEKNUM(MW9,21)</f>
        <v>43</v>
      </c>
      <c r="MS5" s="233"/>
      <c r="MT5" s="233"/>
      <c r="MU5" s="233"/>
      <c r="MV5" s="233"/>
      <c r="MW5" s="233"/>
      <c r="MX5" s="234"/>
      <c r="MY5" s="232">
        <f>WEEKNUM(ND9,21)</f>
        <v>44</v>
      </c>
      <c r="MZ5" s="233"/>
      <c r="NA5" s="233"/>
      <c r="NB5" s="233"/>
      <c r="NC5" s="233"/>
      <c r="ND5" s="233"/>
      <c r="NE5" s="234"/>
      <c r="NF5" s="232">
        <f>WEEKNUM(NK9,21)</f>
        <v>45</v>
      </c>
      <c r="NG5" s="233"/>
      <c r="NH5" s="233"/>
      <c r="NI5" s="233"/>
      <c r="NJ5" s="233"/>
      <c r="NK5" s="233"/>
      <c r="NL5" s="234"/>
      <c r="NM5" s="232">
        <f>WEEKNUM(NR9,21)</f>
        <v>46</v>
      </c>
      <c r="NN5" s="233"/>
      <c r="NO5" s="233"/>
      <c r="NP5" s="233"/>
      <c r="NQ5" s="233"/>
      <c r="NR5" s="233"/>
      <c r="NS5" s="234"/>
      <c r="NT5" s="232">
        <f>WEEKNUM(NY9,21)</f>
        <v>47</v>
      </c>
      <c r="NU5" s="233"/>
      <c r="NV5" s="233"/>
      <c r="NW5" s="233"/>
      <c r="NX5" s="233"/>
      <c r="NY5" s="233"/>
      <c r="NZ5" s="234"/>
    </row>
    <row r="6" spans="2:390" ht="15" customHeight="1" x14ac:dyDescent="0.45">
      <c r="E6" s="57"/>
      <c r="R6" s="231"/>
      <c r="S6" s="231"/>
      <c r="T6" s="231"/>
      <c r="U6" s="231"/>
      <c r="V6" s="231"/>
      <c r="W6" s="231"/>
      <c r="X6" s="231"/>
      <c r="Y6" s="231"/>
      <c r="Z6" s="231"/>
      <c r="AA6" s="4">
        <v>41</v>
      </c>
      <c r="AB6" s="4">
        <v>42</v>
      </c>
      <c r="AC6" s="4">
        <v>43</v>
      </c>
      <c r="AD6" s="4">
        <v>44</v>
      </c>
      <c r="AE6" s="4">
        <v>45</v>
      </c>
      <c r="AF6" s="4">
        <v>46</v>
      </c>
      <c r="AG6" s="4">
        <v>47</v>
      </c>
      <c r="AH6" s="4">
        <v>48</v>
      </c>
      <c r="AI6" s="4">
        <v>49</v>
      </c>
      <c r="AJ6" s="4">
        <v>50</v>
      </c>
      <c r="AK6" s="4">
        <v>51</v>
      </c>
      <c r="AL6" s="4">
        <v>52</v>
      </c>
      <c r="AM6" s="4">
        <v>53</v>
      </c>
      <c r="AN6" s="4">
        <v>54</v>
      </c>
      <c r="AO6" s="4">
        <v>55</v>
      </c>
      <c r="AP6" s="4">
        <v>56</v>
      </c>
      <c r="AQ6" s="4">
        <v>57</v>
      </c>
      <c r="AR6" s="4">
        <v>58</v>
      </c>
      <c r="AS6" s="4">
        <v>59</v>
      </c>
      <c r="AT6" s="4">
        <v>60</v>
      </c>
      <c r="AU6" s="4">
        <v>61</v>
      </c>
      <c r="AV6" s="4">
        <v>62</v>
      </c>
      <c r="AW6" s="4">
        <v>63</v>
      </c>
      <c r="AX6" s="4">
        <v>64</v>
      </c>
      <c r="AY6" s="4">
        <v>65</v>
      </c>
      <c r="AZ6" s="4">
        <v>66</v>
      </c>
      <c r="BA6" s="4">
        <v>67</v>
      </c>
      <c r="BB6" s="4">
        <v>68</v>
      </c>
      <c r="BC6" s="4">
        <v>69</v>
      </c>
      <c r="BD6" s="4">
        <v>70</v>
      </c>
      <c r="BE6" s="4">
        <v>71</v>
      </c>
      <c r="BF6" s="4">
        <v>72</v>
      </c>
      <c r="BG6" s="4">
        <v>73</v>
      </c>
      <c r="BH6" s="4">
        <v>74</v>
      </c>
      <c r="BI6" s="4">
        <v>75</v>
      </c>
      <c r="BJ6" s="4">
        <v>76</v>
      </c>
      <c r="BK6" s="4">
        <v>77</v>
      </c>
      <c r="BL6" s="4">
        <v>78</v>
      </c>
      <c r="BM6" s="4">
        <v>79</v>
      </c>
      <c r="BN6" s="4">
        <v>80</v>
      </c>
      <c r="BO6" s="4">
        <v>81</v>
      </c>
      <c r="BP6" s="4">
        <v>82</v>
      </c>
      <c r="BQ6" s="4">
        <v>83</v>
      </c>
      <c r="BR6" s="4">
        <v>84</v>
      </c>
      <c r="BS6" s="4">
        <v>85</v>
      </c>
      <c r="BT6" s="4">
        <v>86</v>
      </c>
      <c r="BU6" s="4">
        <v>87</v>
      </c>
      <c r="BV6" s="4">
        <v>88</v>
      </c>
      <c r="BW6" s="4">
        <v>89</v>
      </c>
      <c r="BX6" s="4">
        <v>90</v>
      </c>
      <c r="BY6" s="4">
        <v>91</v>
      </c>
      <c r="BZ6" s="4">
        <v>92</v>
      </c>
      <c r="CA6" s="4">
        <v>93</v>
      </c>
      <c r="CB6" s="4">
        <v>94</v>
      </c>
      <c r="CC6" s="4">
        <v>95</v>
      </c>
      <c r="CD6" s="4">
        <v>96</v>
      </c>
      <c r="CE6" s="4">
        <v>97</v>
      </c>
      <c r="CF6" s="4">
        <v>98</v>
      </c>
      <c r="CG6" s="4">
        <v>99</v>
      </c>
      <c r="CH6" s="4">
        <v>100</v>
      </c>
      <c r="CI6" s="4">
        <v>101</v>
      </c>
      <c r="CJ6" s="4">
        <v>102</v>
      </c>
      <c r="CK6" s="4">
        <v>103</v>
      </c>
      <c r="CL6" s="4">
        <v>104</v>
      </c>
      <c r="CM6" s="4">
        <v>105</v>
      </c>
      <c r="CN6" s="4">
        <v>106</v>
      </c>
      <c r="CO6" s="4">
        <v>107</v>
      </c>
      <c r="CP6" s="4">
        <v>108</v>
      </c>
      <c r="CQ6" s="4">
        <v>109</v>
      </c>
      <c r="CR6" s="4">
        <v>110</v>
      </c>
      <c r="CS6" s="4">
        <v>111</v>
      </c>
      <c r="CT6" s="4">
        <v>112</v>
      </c>
      <c r="CU6" s="4">
        <v>113</v>
      </c>
      <c r="CV6" s="4">
        <v>114</v>
      </c>
      <c r="CW6" s="4">
        <v>115</v>
      </c>
      <c r="CX6" s="4">
        <v>116</v>
      </c>
      <c r="CY6" s="4">
        <v>117</v>
      </c>
      <c r="CZ6" s="4">
        <v>118</v>
      </c>
      <c r="DA6" s="4">
        <v>119</v>
      </c>
      <c r="DB6" s="4">
        <v>120</v>
      </c>
      <c r="DC6" s="4">
        <v>121</v>
      </c>
      <c r="DD6" s="4">
        <v>122</v>
      </c>
      <c r="DE6" s="4">
        <v>123</v>
      </c>
      <c r="DF6" s="4">
        <v>124</v>
      </c>
      <c r="DG6" s="4">
        <v>125</v>
      </c>
      <c r="DH6" s="4">
        <v>126</v>
      </c>
      <c r="DI6" s="4">
        <v>127</v>
      </c>
      <c r="DJ6" s="4">
        <v>128</v>
      </c>
      <c r="DK6" s="4">
        <v>129</v>
      </c>
      <c r="DL6" s="4">
        <v>130</v>
      </c>
      <c r="DM6" s="4">
        <v>131</v>
      </c>
      <c r="DN6" s="4">
        <v>132</v>
      </c>
      <c r="DO6" s="4">
        <v>133</v>
      </c>
      <c r="DP6" s="4">
        <v>134</v>
      </c>
      <c r="DQ6" s="4">
        <v>135</v>
      </c>
      <c r="DR6" s="4">
        <v>136</v>
      </c>
      <c r="DS6" s="4">
        <v>137</v>
      </c>
      <c r="DT6" s="4">
        <v>138</v>
      </c>
      <c r="DU6" s="4">
        <v>139</v>
      </c>
      <c r="DV6" s="4">
        <v>140</v>
      </c>
      <c r="DW6" s="4">
        <v>141</v>
      </c>
      <c r="DX6" s="4">
        <v>142</v>
      </c>
      <c r="DY6" s="4">
        <v>143</v>
      </c>
      <c r="DZ6" s="4">
        <v>144</v>
      </c>
      <c r="EA6" s="4">
        <v>145</v>
      </c>
      <c r="EB6" s="4">
        <v>146</v>
      </c>
      <c r="EC6" s="4">
        <v>147</v>
      </c>
      <c r="ED6" s="4">
        <v>148</v>
      </c>
      <c r="EE6" s="4">
        <v>149</v>
      </c>
      <c r="EF6" s="4"/>
      <c r="EG6" s="4">
        <v>151</v>
      </c>
      <c r="EH6" s="4">
        <v>152</v>
      </c>
      <c r="EI6" s="4">
        <v>153</v>
      </c>
      <c r="EJ6" s="4">
        <v>154</v>
      </c>
      <c r="EK6" s="4">
        <v>155</v>
      </c>
      <c r="EL6" s="4">
        <v>156</v>
      </c>
      <c r="EM6" s="4">
        <v>157</v>
      </c>
      <c r="EN6" s="4">
        <v>158</v>
      </c>
      <c r="EO6" s="4">
        <v>159</v>
      </c>
      <c r="EP6" s="4">
        <v>160</v>
      </c>
      <c r="EQ6" s="4">
        <v>161</v>
      </c>
      <c r="ER6" s="4">
        <v>162</v>
      </c>
      <c r="ES6" s="4">
        <v>163</v>
      </c>
      <c r="ET6" s="4">
        <v>164</v>
      </c>
      <c r="EU6" s="4">
        <v>165</v>
      </c>
      <c r="EV6" s="4">
        <v>166</v>
      </c>
      <c r="EW6" s="4">
        <v>167</v>
      </c>
      <c r="EX6" s="4">
        <v>168</v>
      </c>
      <c r="EY6" s="4">
        <v>169</v>
      </c>
      <c r="EZ6" s="4">
        <v>170</v>
      </c>
      <c r="FA6" s="4">
        <v>171</v>
      </c>
      <c r="FB6" s="4">
        <v>172</v>
      </c>
      <c r="FC6" s="4">
        <v>173</v>
      </c>
      <c r="FD6" s="4">
        <v>174</v>
      </c>
      <c r="FE6" s="4">
        <v>175</v>
      </c>
      <c r="FF6" s="4">
        <v>176</v>
      </c>
      <c r="FG6" s="4">
        <v>177</v>
      </c>
      <c r="FH6" s="4">
        <v>178</v>
      </c>
      <c r="FI6" s="4">
        <v>179</v>
      </c>
      <c r="FJ6" s="4">
        <v>180</v>
      </c>
      <c r="FK6" s="4">
        <v>181</v>
      </c>
      <c r="FL6" s="4">
        <v>182</v>
      </c>
      <c r="FM6" s="4">
        <v>183</v>
      </c>
      <c r="FN6" s="4">
        <v>184</v>
      </c>
      <c r="FO6" s="4">
        <v>185</v>
      </c>
      <c r="FP6" s="4">
        <v>186</v>
      </c>
      <c r="FQ6" s="4">
        <v>187</v>
      </c>
      <c r="FR6" s="4">
        <v>188</v>
      </c>
      <c r="FS6" s="4">
        <v>189</v>
      </c>
      <c r="FT6" s="4">
        <v>190</v>
      </c>
      <c r="FU6" s="4">
        <v>191</v>
      </c>
      <c r="FV6" s="4">
        <v>192</v>
      </c>
      <c r="FW6" s="4">
        <v>193</v>
      </c>
      <c r="FX6" s="4">
        <v>194</v>
      </c>
      <c r="FY6" s="4">
        <v>195</v>
      </c>
      <c r="FZ6" s="4">
        <v>196</v>
      </c>
      <c r="GA6" s="4">
        <v>197</v>
      </c>
      <c r="GB6" s="4">
        <v>198</v>
      </c>
      <c r="GC6" s="4">
        <v>199</v>
      </c>
      <c r="GD6" s="4">
        <v>200</v>
      </c>
      <c r="GE6" s="4">
        <v>201</v>
      </c>
      <c r="GF6" s="4">
        <v>202</v>
      </c>
      <c r="GG6" s="4">
        <v>203</v>
      </c>
      <c r="GH6" s="4">
        <v>204</v>
      </c>
      <c r="GI6" s="4">
        <v>205</v>
      </c>
      <c r="GJ6" s="4">
        <v>206</v>
      </c>
      <c r="GK6" s="4">
        <v>207</v>
      </c>
      <c r="GL6" s="4">
        <v>208</v>
      </c>
      <c r="GM6" s="4">
        <v>209</v>
      </c>
      <c r="GN6" s="4">
        <v>210</v>
      </c>
      <c r="GO6" s="4">
        <v>211</v>
      </c>
      <c r="GP6" s="4">
        <v>212</v>
      </c>
      <c r="GQ6" s="4">
        <v>213</v>
      </c>
      <c r="GR6" s="4">
        <v>214</v>
      </c>
      <c r="GS6" s="4">
        <v>215</v>
      </c>
      <c r="GT6" s="4">
        <v>216</v>
      </c>
      <c r="GU6" s="4">
        <v>217</v>
      </c>
      <c r="GV6" s="4">
        <v>218</v>
      </c>
      <c r="GW6" s="4">
        <v>219</v>
      </c>
      <c r="GX6" s="4">
        <v>220</v>
      </c>
      <c r="GY6" s="4">
        <v>221</v>
      </c>
      <c r="GZ6" s="4">
        <v>222</v>
      </c>
      <c r="HA6" s="4">
        <v>223</v>
      </c>
      <c r="HB6" s="4">
        <v>224</v>
      </c>
      <c r="HC6" s="4">
        <v>225</v>
      </c>
      <c r="HD6" s="4">
        <v>226</v>
      </c>
      <c r="HE6" s="4">
        <v>227</v>
      </c>
      <c r="HF6" s="4">
        <v>228</v>
      </c>
      <c r="HG6" s="4">
        <v>229</v>
      </c>
      <c r="HH6" s="4">
        <v>230</v>
      </c>
      <c r="HI6" s="4">
        <v>231</v>
      </c>
      <c r="HJ6" s="4">
        <v>232</v>
      </c>
      <c r="HK6" s="4">
        <v>233</v>
      </c>
      <c r="HL6" s="4">
        <v>234</v>
      </c>
      <c r="HM6" s="4">
        <v>235</v>
      </c>
      <c r="HN6" s="4">
        <v>236</v>
      </c>
      <c r="HO6" s="4">
        <v>237</v>
      </c>
      <c r="HP6" s="4">
        <v>238</v>
      </c>
      <c r="HQ6" s="4">
        <v>239</v>
      </c>
      <c r="HR6" s="4">
        <v>240</v>
      </c>
      <c r="HS6" s="4">
        <v>241</v>
      </c>
      <c r="HT6" s="4">
        <v>242</v>
      </c>
      <c r="HU6" s="4">
        <v>243</v>
      </c>
      <c r="HV6" s="4">
        <v>244</v>
      </c>
      <c r="HW6" s="4">
        <v>245</v>
      </c>
      <c r="HX6" s="4">
        <v>246</v>
      </c>
      <c r="HY6" s="4">
        <v>247</v>
      </c>
      <c r="HZ6" s="4">
        <v>248</v>
      </c>
      <c r="IA6" s="4">
        <v>249</v>
      </c>
      <c r="IB6" s="4">
        <v>250</v>
      </c>
      <c r="IC6" s="4">
        <v>251</v>
      </c>
      <c r="ID6" s="4">
        <v>252</v>
      </c>
      <c r="IE6" s="4">
        <v>253</v>
      </c>
      <c r="IF6" s="4">
        <v>254</v>
      </c>
      <c r="IG6" s="4">
        <v>255</v>
      </c>
      <c r="IH6" s="4">
        <v>256</v>
      </c>
      <c r="II6" s="4">
        <v>257</v>
      </c>
      <c r="IJ6" s="4">
        <v>258</v>
      </c>
      <c r="IK6" s="4">
        <v>259</v>
      </c>
      <c r="IL6" s="4">
        <v>260</v>
      </c>
      <c r="IM6" s="4">
        <v>261</v>
      </c>
      <c r="IN6" s="4">
        <v>262</v>
      </c>
      <c r="IO6" s="4">
        <v>263</v>
      </c>
      <c r="IP6" s="4">
        <v>264</v>
      </c>
      <c r="IQ6" s="4">
        <v>265</v>
      </c>
      <c r="IR6" s="4">
        <v>266</v>
      </c>
      <c r="IS6" s="4">
        <v>267</v>
      </c>
      <c r="IT6" s="4">
        <v>268</v>
      </c>
      <c r="IU6" s="4">
        <v>269</v>
      </c>
      <c r="IV6" s="4">
        <v>270</v>
      </c>
      <c r="IW6" s="4">
        <v>271</v>
      </c>
      <c r="IX6" s="4">
        <v>272</v>
      </c>
      <c r="IY6" s="4">
        <v>273</v>
      </c>
      <c r="IZ6" s="4">
        <v>274</v>
      </c>
      <c r="JA6" s="4">
        <v>275</v>
      </c>
      <c r="JB6" s="4">
        <v>276</v>
      </c>
      <c r="JC6" s="4">
        <v>277</v>
      </c>
      <c r="JD6" s="4">
        <v>278</v>
      </c>
      <c r="JE6" s="4">
        <v>279</v>
      </c>
      <c r="JF6" s="4">
        <v>280</v>
      </c>
      <c r="JG6" s="4">
        <v>281</v>
      </c>
      <c r="JH6" s="4">
        <v>282</v>
      </c>
      <c r="JI6" s="4">
        <v>283</v>
      </c>
      <c r="JJ6" s="4">
        <v>284</v>
      </c>
      <c r="JK6" s="4">
        <v>285</v>
      </c>
      <c r="JL6" s="4">
        <v>286</v>
      </c>
      <c r="JM6" s="4">
        <v>287</v>
      </c>
      <c r="JN6" s="4">
        <v>288</v>
      </c>
      <c r="JO6" s="4">
        <v>289</v>
      </c>
      <c r="JP6" s="4">
        <v>290</v>
      </c>
      <c r="JQ6" s="4">
        <v>291</v>
      </c>
      <c r="JR6" s="4">
        <v>292</v>
      </c>
      <c r="JS6" s="4">
        <v>293</v>
      </c>
      <c r="JT6" s="4">
        <v>294</v>
      </c>
      <c r="JU6" s="4">
        <v>295</v>
      </c>
      <c r="JV6" s="4">
        <v>296</v>
      </c>
      <c r="JW6" s="4">
        <v>297</v>
      </c>
      <c r="JX6" s="4">
        <v>298</v>
      </c>
      <c r="JY6" s="4">
        <v>299</v>
      </c>
      <c r="JZ6" s="4">
        <v>300</v>
      </c>
      <c r="KA6" s="4">
        <v>301</v>
      </c>
      <c r="KB6" s="4">
        <v>302</v>
      </c>
      <c r="KC6" s="4">
        <v>303</v>
      </c>
      <c r="KD6" s="4">
        <v>304</v>
      </c>
      <c r="KE6" s="4">
        <v>305</v>
      </c>
      <c r="KF6" s="4">
        <v>306</v>
      </c>
      <c r="KG6" s="4">
        <v>307</v>
      </c>
      <c r="KH6" s="4">
        <v>308</v>
      </c>
      <c r="KI6" s="4">
        <v>309</v>
      </c>
      <c r="KJ6" s="4">
        <v>310</v>
      </c>
      <c r="KK6" s="4">
        <v>311</v>
      </c>
      <c r="KL6" s="4">
        <v>312</v>
      </c>
      <c r="KM6" s="4">
        <v>313</v>
      </c>
      <c r="KN6" s="4">
        <v>314</v>
      </c>
      <c r="KO6" s="4">
        <v>315</v>
      </c>
      <c r="KP6" s="4">
        <v>316</v>
      </c>
      <c r="KQ6" s="4">
        <v>317</v>
      </c>
      <c r="KR6" s="4">
        <v>318</v>
      </c>
      <c r="KS6" s="4">
        <v>319</v>
      </c>
      <c r="KT6" s="4">
        <v>320</v>
      </c>
      <c r="KU6" s="4">
        <v>321</v>
      </c>
      <c r="KV6" s="4">
        <v>322</v>
      </c>
      <c r="KW6" s="4">
        <v>323</v>
      </c>
      <c r="KX6" s="4">
        <v>324</v>
      </c>
      <c r="KY6" s="4">
        <v>325</v>
      </c>
      <c r="KZ6" s="4">
        <v>326</v>
      </c>
      <c r="LA6" s="4">
        <v>327</v>
      </c>
      <c r="LB6" s="4">
        <v>328</v>
      </c>
      <c r="LC6" s="4">
        <v>329</v>
      </c>
      <c r="LD6" s="4">
        <v>330</v>
      </c>
      <c r="LE6" s="4">
        <v>331</v>
      </c>
      <c r="LF6" s="4">
        <v>332</v>
      </c>
      <c r="LG6" s="4">
        <v>333</v>
      </c>
      <c r="LH6" s="4">
        <v>334</v>
      </c>
      <c r="LI6" s="4">
        <v>335</v>
      </c>
      <c r="LJ6" s="4">
        <v>336</v>
      </c>
      <c r="LK6" s="4">
        <v>337</v>
      </c>
      <c r="LL6" s="4">
        <v>338</v>
      </c>
      <c r="LM6" s="4">
        <v>339</v>
      </c>
      <c r="LN6" s="4">
        <v>340</v>
      </c>
      <c r="LO6" s="4">
        <v>341</v>
      </c>
      <c r="LP6" s="4">
        <v>342</v>
      </c>
      <c r="LQ6" s="4">
        <v>343</v>
      </c>
      <c r="LR6" s="4">
        <v>344</v>
      </c>
      <c r="LS6" s="4">
        <v>345</v>
      </c>
      <c r="LT6" s="4">
        <v>346</v>
      </c>
      <c r="LU6" s="4">
        <v>347</v>
      </c>
      <c r="LV6" s="4">
        <v>348</v>
      </c>
      <c r="LW6" s="4">
        <v>349</v>
      </c>
      <c r="LX6" s="4">
        <v>350</v>
      </c>
      <c r="LY6" s="4">
        <v>351</v>
      </c>
      <c r="LZ6" s="4">
        <v>352</v>
      </c>
      <c r="MA6" s="4">
        <v>353</v>
      </c>
      <c r="MB6" s="4">
        <v>354</v>
      </c>
      <c r="MC6" s="4">
        <v>355</v>
      </c>
      <c r="MD6" s="4">
        <v>356</v>
      </c>
      <c r="ME6" s="4">
        <v>357</v>
      </c>
      <c r="MF6" s="4">
        <v>358</v>
      </c>
      <c r="MG6" s="4">
        <v>359</v>
      </c>
      <c r="MH6" s="4">
        <v>360</v>
      </c>
      <c r="MI6" s="4">
        <v>361</v>
      </c>
      <c r="MJ6" s="4">
        <v>362</v>
      </c>
      <c r="MK6" s="4">
        <v>363</v>
      </c>
      <c r="ML6" s="4">
        <v>364</v>
      </c>
      <c r="MM6" s="4">
        <v>365</v>
      </c>
      <c r="MN6" s="4">
        <v>366</v>
      </c>
      <c r="MO6" s="4">
        <v>367</v>
      </c>
      <c r="MP6" s="4">
        <v>368</v>
      </c>
      <c r="MQ6" s="4">
        <v>369</v>
      </c>
      <c r="MR6" s="4">
        <v>370</v>
      </c>
      <c r="MS6" s="4">
        <v>371</v>
      </c>
      <c r="MT6" s="4">
        <v>372</v>
      </c>
      <c r="MU6" s="4">
        <v>373</v>
      </c>
      <c r="MV6" s="4">
        <v>374</v>
      </c>
      <c r="MW6" s="4">
        <v>375</v>
      </c>
      <c r="MX6" s="4">
        <v>376</v>
      </c>
      <c r="MY6" s="4">
        <v>377</v>
      </c>
      <c r="MZ6" s="4">
        <v>378</v>
      </c>
      <c r="NA6" s="4">
        <v>379</v>
      </c>
      <c r="NB6" s="4">
        <v>380</v>
      </c>
      <c r="NC6" s="4">
        <v>381</v>
      </c>
      <c r="ND6" s="4">
        <v>382</v>
      </c>
      <c r="NE6" s="4">
        <v>383</v>
      </c>
      <c r="NF6" s="4">
        <v>384</v>
      </c>
      <c r="NG6" s="4">
        <v>385</v>
      </c>
      <c r="NH6" s="4">
        <v>386</v>
      </c>
      <c r="NI6" s="4">
        <v>387</v>
      </c>
      <c r="NJ6" s="4">
        <v>388</v>
      </c>
      <c r="NK6" s="4">
        <v>389</v>
      </c>
      <c r="NL6" s="4">
        <v>390</v>
      </c>
      <c r="NM6" s="4">
        <v>391</v>
      </c>
      <c r="NN6" s="4">
        <v>392</v>
      </c>
      <c r="NO6" s="4">
        <v>393</v>
      </c>
      <c r="NP6" s="4">
        <v>394</v>
      </c>
      <c r="NQ6" s="4">
        <v>395</v>
      </c>
      <c r="NR6" s="4">
        <v>396</v>
      </c>
      <c r="NS6" s="4">
        <v>397</v>
      </c>
      <c r="NT6" s="4">
        <v>398</v>
      </c>
      <c r="NU6" s="4">
        <v>399</v>
      </c>
      <c r="NV6" s="4">
        <v>400</v>
      </c>
      <c r="NW6" s="4">
        <v>401</v>
      </c>
      <c r="NX6" s="4">
        <v>402</v>
      </c>
      <c r="NY6" s="4">
        <v>403</v>
      </c>
      <c r="NZ6" s="4">
        <v>404</v>
      </c>
    </row>
    <row r="7" spans="2:390" ht="15" customHeight="1" x14ac:dyDescent="0.45">
      <c r="E7" s="17"/>
      <c r="U7" s="10"/>
      <c r="V7" s="10"/>
      <c r="W7" s="10"/>
      <c r="X7" s="10"/>
      <c r="Y7" s="10"/>
      <c r="AA7" s="5" t="str">
        <f t="shared" ref="AA7:CL7" si="0">TEXT(AA9,"TTT")</f>
        <v>Mon</v>
      </c>
      <c r="AB7" s="5" t="str">
        <f t="shared" si="0"/>
        <v>Tue</v>
      </c>
      <c r="AC7" s="5" t="str">
        <f t="shared" si="0"/>
        <v>Wed</v>
      </c>
      <c r="AD7" s="5" t="str">
        <f t="shared" si="0"/>
        <v>Thu</v>
      </c>
      <c r="AE7" s="5" t="str">
        <f t="shared" si="0"/>
        <v>Fri</v>
      </c>
      <c r="AF7" s="5" t="str">
        <f t="shared" si="0"/>
        <v>Sat</v>
      </c>
      <c r="AG7" s="5" t="str">
        <f t="shared" si="0"/>
        <v>Sun</v>
      </c>
      <c r="AH7" s="5" t="str">
        <f t="shared" si="0"/>
        <v>Mon</v>
      </c>
      <c r="AI7" s="5" t="str">
        <f t="shared" si="0"/>
        <v>Tue</v>
      </c>
      <c r="AJ7" s="5" t="str">
        <f t="shared" si="0"/>
        <v>Wed</v>
      </c>
      <c r="AK7" s="5" t="str">
        <f t="shared" si="0"/>
        <v>Thu</v>
      </c>
      <c r="AL7" s="5" t="str">
        <f t="shared" si="0"/>
        <v>Fri</v>
      </c>
      <c r="AM7" s="5" t="str">
        <f t="shared" si="0"/>
        <v>Sat</v>
      </c>
      <c r="AN7" s="5" t="str">
        <f t="shared" si="0"/>
        <v>Sun</v>
      </c>
      <c r="AO7" s="5" t="str">
        <f t="shared" si="0"/>
        <v>Mon</v>
      </c>
      <c r="AP7" s="5" t="str">
        <f t="shared" si="0"/>
        <v>Tue</v>
      </c>
      <c r="AQ7" s="5" t="str">
        <f t="shared" si="0"/>
        <v>Wed</v>
      </c>
      <c r="AR7" s="5" t="str">
        <f t="shared" si="0"/>
        <v>Thu</v>
      </c>
      <c r="AS7" s="5" t="str">
        <f t="shared" si="0"/>
        <v>Fri</v>
      </c>
      <c r="AT7" s="5" t="str">
        <f t="shared" si="0"/>
        <v>Sat</v>
      </c>
      <c r="AU7" s="5" t="str">
        <f t="shared" si="0"/>
        <v>Sun</v>
      </c>
      <c r="AV7" s="5" t="str">
        <f t="shared" si="0"/>
        <v>Mon</v>
      </c>
      <c r="AW7" s="5" t="str">
        <f t="shared" si="0"/>
        <v>Tue</v>
      </c>
      <c r="AX7" s="5" t="str">
        <f t="shared" si="0"/>
        <v>Wed</v>
      </c>
      <c r="AY7" s="5" t="str">
        <f t="shared" si="0"/>
        <v>Thu</v>
      </c>
      <c r="AZ7" s="5" t="str">
        <f t="shared" si="0"/>
        <v>Fri</v>
      </c>
      <c r="BA7" s="5" t="str">
        <f t="shared" si="0"/>
        <v>Sat</v>
      </c>
      <c r="BB7" s="5" t="str">
        <f t="shared" si="0"/>
        <v>Sun</v>
      </c>
      <c r="BC7" s="5" t="str">
        <f t="shared" si="0"/>
        <v>Mon</v>
      </c>
      <c r="BD7" s="5" t="str">
        <f t="shared" si="0"/>
        <v>Tue</v>
      </c>
      <c r="BE7" s="5" t="str">
        <f t="shared" si="0"/>
        <v>Wed</v>
      </c>
      <c r="BF7" s="5" t="str">
        <f t="shared" si="0"/>
        <v>Thu</v>
      </c>
      <c r="BG7" s="5" t="str">
        <f t="shared" si="0"/>
        <v>Fri</v>
      </c>
      <c r="BH7" s="5" t="str">
        <f t="shared" si="0"/>
        <v>Sat</v>
      </c>
      <c r="BI7" s="5" t="str">
        <f t="shared" si="0"/>
        <v>Sun</v>
      </c>
      <c r="BJ7" s="5" t="str">
        <f t="shared" si="0"/>
        <v>Mon</v>
      </c>
      <c r="BK7" s="5" t="str">
        <f t="shared" si="0"/>
        <v>Tue</v>
      </c>
      <c r="BL7" s="5" t="str">
        <f t="shared" si="0"/>
        <v>Wed</v>
      </c>
      <c r="BM7" s="5" t="str">
        <f t="shared" si="0"/>
        <v>Thu</v>
      </c>
      <c r="BN7" s="5" t="str">
        <f t="shared" si="0"/>
        <v>Fri</v>
      </c>
      <c r="BO7" s="5" t="str">
        <f t="shared" si="0"/>
        <v>Sat</v>
      </c>
      <c r="BP7" s="5" t="str">
        <f t="shared" si="0"/>
        <v>Sun</v>
      </c>
      <c r="BQ7" s="5" t="str">
        <f t="shared" si="0"/>
        <v>Mon</v>
      </c>
      <c r="BR7" s="5" t="str">
        <f t="shared" si="0"/>
        <v>Tue</v>
      </c>
      <c r="BS7" s="5" t="str">
        <f t="shared" si="0"/>
        <v>Wed</v>
      </c>
      <c r="BT7" s="5" t="str">
        <f t="shared" si="0"/>
        <v>Thu</v>
      </c>
      <c r="BU7" s="5" t="str">
        <f t="shared" si="0"/>
        <v>Fri</v>
      </c>
      <c r="BV7" s="5" t="str">
        <f t="shared" si="0"/>
        <v>Sat</v>
      </c>
      <c r="BW7" s="5" t="str">
        <f t="shared" si="0"/>
        <v>Sun</v>
      </c>
      <c r="BX7" s="5" t="str">
        <f t="shared" si="0"/>
        <v>Mon</v>
      </c>
      <c r="BY7" s="5" t="str">
        <f t="shared" si="0"/>
        <v>Tue</v>
      </c>
      <c r="BZ7" s="5" t="str">
        <f t="shared" si="0"/>
        <v>Wed</v>
      </c>
      <c r="CA7" s="5" t="str">
        <f t="shared" si="0"/>
        <v>Thu</v>
      </c>
      <c r="CB7" s="5" t="str">
        <f t="shared" si="0"/>
        <v>Fri</v>
      </c>
      <c r="CC7" s="5" t="str">
        <f t="shared" si="0"/>
        <v>Sat</v>
      </c>
      <c r="CD7" s="5" t="str">
        <f t="shared" si="0"/>
        <v>Sun</v>
      </c>
      <c r="CE7" s="5" t="str">
        <f t="shared" si="0"/>
        <v>Mon</v>
      </c>
      <c r="CF7" s="5" t="str">
        <f t="shared" si="0"/>
        <v>Tue</v>
      </c>
      <c r="CG7" s="5" t="str">
        <f t="shared" si="0"/>
        <v>Wed</v>
      </c>
      <c r="CH7" s="5" t="str">
        <f t="shared" si="0"/>
        <v>Thu</v>
      </c>
      <c r="CI7" s="5" t="str">
        <f t="shared" si="0"/>
        <v>Fri</v>
      </c>
      <c r="CJ7" s="5" t="str">
        <f t="shared" si="0"/>
        <v>Sat</v>
      </c>
      <c r="CK7" s="5" t="str">
        <f t="shared" si="0"/>
        <v>Sun</v>
      </c>
      <c r="CL7" s="5" t="str">
        <f t="shared" si="0"/>
        <v>Mon</v>
      </c>
      <c r="CM7" s="5" t="str">
        <f t="shared" ref="CM7:EX7" si="1">TEXT(CM9,"TTT")</f>
        <v>Tue</v>
      </c>
      <c r="CN7" s="5" t="str">
        <f t="shared" si="1"/>
        <v>Wed</v>
      </c>
      <c r="CO7" s="5" t="str">
        <f t="shared" si="1"/>
        <v>Thu</v>
      </c>
      <c r="CP7" s="5" t="str">
        <f t="shared" si="1"/>
        <v>Fri</v>
      </c>
      <c r="CQ7" s="5" t="str">
        <f t="shared" si="1"/>
        <v>Sat</v>
      </c>
      <c r="CR7" s="5" t="str">
        <f t="shared" si="1"/>
        <v>Sun</v>
      </c>
      <c r="CS7" s="5" t="str">
        <f t="shared" si="1"/>
        <v>Mon</v>
      </c>
      <c r="CT7" s="5" t="str">
        <f t="shared" si="1"/>
        <v>Tue</v>
      </c>
      <c r="CU7" s="5" t="str">
        <f t="shared" si="1"/>
        <v>Wed</v>
      </c>
      <c r="CV7" s="5" t="str">
        <f t="shared" si="1"/>
        <v>Thu</v>
      </c>
      <c r="CW7" s="5" t="str">
        <f t="shared" si="1"/>
        <v>Fri</v>
      </c>
      <c r="CX7" s="5" t="str">
        <f t="shared" si="1"/>
        <v>Sat</v>
      </c>
      <c r="CY7" s="5" t="str">
        <f t="shared" si="1"/>
        <v>Sun</v>
      </c>
      <c r="CZ7" s="5" t="str">
        <f t="shared" si="1"/>
        <v>Mon</v>
      </c>
      <c r="DA7" s="5" t="str">
        <f t="shared" si="1"/>
        <v>Tue</v>
      </c>
      <c r="DB7" s="5" t="str">
        <f t="shared" si="1"/>
        <v>Wed</v>
      </c>
      <c r="DC7" s="5" t="str">
        <f t="shared" si="1"/>
        <v>Thu</v>
      </c>
      <c r="DD7" s="5" t="str">
        <f t="shared" si="1"/>
        <v>Fri</v>
      </c>
      <c r="DE7" s="5" t="str">
        <f t="shared" si="1"/>
        <v>Sat</v>
      </c>
      <c r="DF7" s="5" t="str">
        <f t="shared" si="1"/>
        <v>Sun</v>
      </c>
      <c r="DG7" s="5" t="str">
        <f t="shared" si="1"/>
        <v>Mon</v>
      </c>
      <c r="DH7" s="5" t="str">
        <f t="shared" si="1"/>
        <v>Tue</v>
      </c>
      <c r="DI7" s="5" t="str">
        <f t="shared" si="1"/>
        <v>Wed</v>
      </c>
      <c r="DJ7" s="5" t="str">
        <f t="shared" si="1"/>
        <v>Thu</v>
      </c>
      <c r="DK7" s="5" t="str">
        <f t="shared" si="1"/>
        <v>Fri</v>
      </c>
      <c r="DL7" s="5" t="str">
        <f t="shared" si="1"/>
        <v>Sat</v>
      </c>
      <c r="DM7" s="5" t="str">
        <f t="shared" si="1"/>
        <v>Sun</v>
      </c>
      <c r="DN7" s="5" t="str">
        <f t="shared" si="1"/>
        <v>Mon</v>
      </c>
      <c r="DO7" s="5" t="str">
        <f t="shared" si="1"/>
        <v>Tue</v>
      </c>
      <c r="DP7" s="5" t="str">
        <f t="shared" si="1"/>
        <v>Wed</v>
      </c>
      <c r="DQ7" s="5" t="str">
        <f t="shared" si="1"/>
        <v>Thu</v>
      </c>
      <c r="DR7" s="5" t="str">
        <f t="shared" si="1"/>
        <v>Fri</v>
      </c>
      <c r="DS7" s="5" t="str">
        <f t="shared" si="1"/>
        <v>Sat</v>
      </c>
      <c r="DT7" s="5" t="str">
        <f t="shared" si="1"/>
        <v>Sun</v>
      </c>
      <c r="DU7" s="5" t="str">
        <f t="shared" si="1"/>
        <v>Mon</v>
      </c>
      <c r="DV7" s="5" t="str">
        <f t="shared" si="1"/>
        <v>Tue</v>
      </c>
      <c r="DW7" s="5" t="str">
        <f t="shared" si="1"/>
        <v>Wed</v>
      </c>
      <c r="DX7" s="5" t="str">
        <f t="shared" si="1"/>
        <v>Thu</v>
      </c>
      <c r="DY7" s="5" t="str">
        <f t="shared" si="1"/>
        <v>Fri</v>
      </c>
      <c r="DZ7" s="5" t="str">
        <f t="shared" si="1"/>
        <v>Sat</v>
      </c>
      <c r="EA7" s="5" t="str">
        <f t="shared" si="1"/>
        <v>Sun</v>
      </c>
      <c r="EB7" s="5" t="str">
        <f t="shared" si="1"/>
        <v>Mon</v>
      </c>
      <c r="EC7" s="5" t="str">
        <f t="shared" si="1"/>
        <v>Tue</v>
      </c>
      <c r="ED7" s="5" t="str">
        <f t="shared" si="1"/>
        <v>Wed</v>
      </c>
      <c r="EE7" s="5" t="str">
        <f t="shared" si="1"/>
        <v>Thu</v>
      </c>
      <c r="EF7" s="5" t="str">
        <f t="shared" si="1"/>
        <v>Fri</v>
      </c>
      <c r="EG7" s="5" t="str">
        <f t="shared" si="1"/>
        <v>Sat</v>
      </c>
      <c r="EH7" s="5" t="str">
        <f t="shared" si="1"/>
        <v>Sun</v>
      </c>
      <c r="EI7" s="5" t="str">
        <f t="shared" si="1"/>
        <v>Mon</v>
      </c>
      <c r="EJ7" s="5" t="str">
        <f t="shared" si="1"/>
        <v>Tue</v>
      </c>
      <c r="EK7" s="5" t="str">
        <f t="shared" si="1"/>
        <v>Wed</v>
      </c>
      <c r="EL7" s="5" t="str">
        <f t="shared" si="1"/>
        <v>Thu</v>
      </c>
      <c r="EM7" s="5" t="str">
        <f t="shared" si="1"/>
        <v>Fri</v>
      </c>
      <c r="EN7" s="5" t="str">
        <f t="shared" si="1"/>
        <v>Sat</v>
      </c>
      <c r="EO7" s="5" t="str">
        <f t="shared" si="1"/>
        <v>Sun</v>
      </c>
      <c r="EP7" s="5" t="str">
        <f t="shared" si="1"/>
        <v>Mon</v>
      </c>
      <c r="EQ7" s="5" t="str">
        <f t="shared" si="1"/>
        <v>Tue</v>
      </c>
      <c r="ER7" s="5" t="str">
        <f t="shared" si="1"/>
        <v>Wed</v>
      </c>
      <c r="ES7" s="5" t="str">
        <f t="shared" si="1"/>
        <v>Thu</v>
      </c>
      <c r="ET7" s="5" t="str">
        <f t="shared" si="1"/>
        <v>Fri</v>
      </c>
      <c r="EU7" s="5" t="str">
        <f t="shared" si="1"/>
        <v>Sat</v>
      </c>
      <c r="EV7" s="5" t="str">
        <f t="shared" si="1"/>
        <v>Sun</v>
      </c>
      <c r="EW7" s="5" t="str">
        <f t="shared" si="1"/>
        <v>Mon</v>
      </c>
      <c r="EX7" s="5" t="str">
        <f t="shared" si="1"/>
        <v>Tue</v>
      </c>
      <c r="EY7" s="5" t="str">
        <f t="shared" ref="EY7:HJ7" si="2">TEXT(EY9,"TTT")</f>
        <v>Wed</v>
      </c>
      <c r="EZ7" s="5" t="str">
        <f t="shared" si="2"/>
        <v>Thu</v>
      </c>
      <c r="FA7" s="5" t="str">
        <f t="shared" si="2"/>
        <v>Fri</v>
      </c>
      <c r="FB7" s="5" t="str">
        <f t="shared" si="2"/>
        <v>Sat</v>
      </c>
      <c r="FC7" s="5" t="str">
        <f t="shared" si="2"/>
        <v>Sun</v>
      </c>
      <c r="FD7" s="5" t="str">
        <f t="shared" si="2"/>
        <v>Mon</v>
      </c>
      <c r="FE7" s="5" t="str">
        <f t="shared" si="2"/>
        <v>Tue</v>
      </c>
      <c r="FF7" s="5" t="str">
        <f t="shared" si="2"/>
        <v>Wed</v>
      </c>
      <c r="FG7" s="5" t="str">
        <f t="shared" si="2"/>
        <v>Thu</v>
      </c>
      <c r="FH7" s="5" t="str">
        <f t="shared" si="2"/>
        <v>Fri</v>
      </c>
      <c r="FI7" s="5" t="str">
        <f t="shared" si="2"/>
        <v>Sat</v>
      </c>
      <c r="FJ7" s="5" t="str">
        <f t="shared" si="2"/>
        <v>Sun</v>
      </c>
      <c r="FK7" s="5" t="str">
        <f t="shared" si="2"/>
        <v>Mon</v>
      </c>
      <c r="FL7" s="5" t="str">
        <f t="shared" si="2"/>
        <v>Tue</v>
      </c>
      <c r="FM7" s="5" t="str">
        <f t="shared" si="2"/>
        <v>Wed</v>
      </c>
      <c r="FN7" s="5" t="str">
        <f t="shared" si="2"/>
        <v>Thu</v>
      </c>
      <c r="FO7" s="5" t="str">
        <f t="shared" si="2"/>
        <v>Fri</v>
      </c>
      <c r="FP7" s="5" t="str">
        <f t="shared" si="2"/>
        <v>Sat</v>
      </c>
      <c r="FQ7" s="5" t="str">
        <f t="shared" si="2"/>
        <v>Sun</v>
      </c>
      <c r="FR7" s="5" t="str">
        <f t="shared" si="2"/>
        <v>Mon</v>
      </c>
      <c r="FS7" s="5" t="str">
        <f t="shared" si="2"/>
        <v>Tue</v>
      </c>
      <c r="FT7" s="5" t="str">
        <f t="shared" si="2"/>
        <v>Wed</v>
      </c>
      <c r="FU7" s="5" t="str">
        <f t="shared" si="2"/>
        <v>Thu</v>
      </c>
      <c r="FV7" s="5" t="str">
        <f t="shared" si="2"/>
        <v>Fri</v>
      </c>
      <c r="FW7" s="5" t="str">
        <f t="shared" si="2"/>
        <v>Sat</v>
      </c>
      <c r="FX7" s="5" t="str">
        <f t="shared" si="2"/>
        <v>Sun</v>
      </c>
      <c r="FY7" s="5" t="str">
        <f t="shared" si="2"/>
        <v>Mon</v>
      </c>
      <c r="FZ7" s="5" t="str">
        <f t="shared" si="2"/>
        <v>Tue</v>
      </c>
      <c r="GA7" s="5" t="str">
        <f t="shared" si="2"/>
        <v>Wed</v>
      </c>
      <c r="GB7" s="5" t="str">
        <f t="shared" si="2"/>
        <v>Thu</v>
      </c>
      <c r="GC7" s="5" t="str">
        <f t="shared" si="2"/>
        <v>Fri</v>
      </c>
      <c r="GD7" s="5" t="str">
        <f t="shared" si="2"/>
        <v>Sat</v>
      </c>
      <c r="GE7" s="5" t="str">
        <f t="shared" si="2"/>
        <v>Sun</v>
      </c>
      <c r="GF7" s="5" t="str">
        <f t="shared" si="2"/>
        <v>Mon</v>
      </c>
      <c r="GG7" s="5" t="str">
        <f t="shared" si="2"/>
        <v>Tue</v>
      </c>
      <c r="GH7" s="5" t="str">
        <f t="shared" si="2"/>
        <v>Wed</v>
      </c>
      <c r="GI7" s="5" t="str">
        <f t="shared" si="2"/>
        <v>Thu</v>
      </c>
      <c r="GJ7" s="5" t="str">
        <f t="shared" si="2"/>
        <v>Fri</v>
      </c>
      <c r="GK7" s="5" t="str">
        <f t="shared" si="2"/>
        <v>Sat</v>
      </c>
      <c r="GL7" s="5" t="str">
        <f t="shared" si="2"/>
        <v>Sun</v>
      </c>
      <c r="GM7" s="5" t="str">
        <f t="shared" si="2"/>
        <v>Mon</v>
      </c>
      <c r="GN7" s="5" t="str">
        <f t="shared" si="2"/>
        <v>Tue</v>
      </c>
      <c r="GO7" s="5" t="str">
        <f t="shared" si="2"/>
        <v>Wed</v>
      </c>
      <c r="GP7" s="5" t="str">
        <f t="shared" si="2"/>
        <v>Thu</v>
      </c>
      <c r="GQ7" s="5" t="str">
        <f t="shared" si="2"/>
        <v>Fri</v>
      </c>
      <c r="GR7" s="5" t="str">
        <f t="shared" si="2"/>
        <v>Sat</v>
      </c>
      <c r="GS7" s="5" t="str">
        <f t="shared" si="2"/>
        <v>Sun</v>
      </c>
      <c r="GT7" s="5" t="str">
        <f t="shared" si="2"/>
        <v>Mon</v>
      </c>
      <c r="GU7" s="5" t="str">
        <f t="shared" si="2"/>
        <v>Tue</v>
      </c>
      <c r="GV7" s="5" t="str">
        <f t="shared" si="2"/>
        <v>Wed</v>
      </c>
      <c r="GW7" s="5" t="str">
        <f t="shared" si="2"/>
        <v>Thu</v>
      </c>
      <c r="GX7" s="5" t="str">
        <f t="shared" si="2"/>
        <v>Fri</v>
      </c>
      <c r="GY7" s="5" t="str">
        <f t="shared" si="2"/>
        <v>Sat</v>
      </c>
      <c r="GZ7" s="5" t="str">
        <f t="shared" si="2"/>
        <v>Sun</v>
      </c>
      <c r="HA7" s="5" t="str">
        <f t="shared" si="2"/>
        <v>Mon</v>
      </c>
      <c r="HB7" s="5" t="str">
        <f t="shared" si="2"/>
        <v>Tue</v>
      </c>
      <c r="HC7" s="5" t="str">
        <f t="shared" si="2"/>
        <v>Wed</v>
      </c>
      <c r="HD7" s="5" t="str">
        <f t="shared" si="2"/>
        <v>Thu</v>
      </c>
      <c r="HE7" s="5" t="str">
        <f t="shared" si="2"/>
        <v>Fri</v>
      </c>
      <c r="HF7" s="5" t="str">
        <f t="shared" si="2"/>
        <v>Sat</v>
      </c>
      <c r="HG7" s="5" t="str">
        <f t="shared" si="2"/>
        <v>Sun</v>
      </c>
      <c r="HH7" s="5" t="str">
        <f t="shared" si="2"/>
        <v>Mon</v>
      </c>
      <c r="HI7" s="5" t="str">
        <f t="shared" si="2"/>
        <v>Tue</v>
      </c>
      <c r="HJ7" s="5" t="str">
        <f t="shared" si="2"/>
        <v>Wed</v>
      </c>
      <c r="HK7" s="5" t="str">
        <f t="shared" ref="HK7:JV7" si="3">TEXT(HK9,"TTT")</f>
        <v>Thu</v>
      </c>
      <c r="HL7" s="5" t="str">
        <f t="shared" si="3"/>
        <v>Fri</v>
      </c>
      <c r="HM7" s="5" t="str">
        <f t="shared" si="3"/>
        <v>Sat</v>
      </c>
      <c r="HN7" s="5" t="str">
        <f t="shared" si="3"/>
        <v>Sun</v>
      </c>
      <c r="HO7" s="5" t="str">
        <f t="shared" si="3"/>
        <v>Mon</v>
      </c>
      <c r="HP7" s="5" t="str">
        <f t="shared" si="3"/>
        <v>Tue</v>
      </c>
      <c r="HQ7" s="5" t="str">
        <f t="shared" si="3"/>
        <v>Wed</v>
      </c>
      <c r="HR7" s="5" t="str">
        <f t="shared" si="3"/>
        <v>Thu</v>
      </c>
      <c r="HS7" s="5" t="str">
        <f t="shared" si="3"/>
        <v>Fri</v>
      </c>
      <c r="HT7" s="5" t="str">
        <f t="shared" si="3"/>
        <v>Sat</v>
      </c>
      <c r="HU7" s="5" t="str">
        <f t="shared" si="3"/>
        <v>Sun</v>
      </c>
      <c r="HV7" s="5" t="str">
        <f t="shared" si="3"/>
        <v>Mon</v>
      </c>
      <c r="HW7" s="5" t="str">
        <f t="shared" si="3"/>
        <v>Tue</v>
      </c>
      <c r="HX7" s="5" t="str">
        <f t="shared" si="3"/>
        <v>Wed</v>
      </c>
      <c r="HY7" s="5" t="str">
        <f t="shared" si="3"/>
        <v>Thu</v>
      </c>
      <c r="HZ7" s="5" t="str">
        <f t="shared" si="3"/>
        <v>Fri</v>
      </c>
      <c r="IA7" s="5" t="str">
        <f t="shared" si="3"/>
        <v>Sat</v>
      </c>
      <c r="IB7" s="5" t="str">
        <f t="shared" si="3"/>
        <v>Sun</v>
      </c>
      <c r="IC7" s="5" t="str">
        <f t="shared" si="3"/>
        <v>Mon</v>
      </c>
      <c r="ID7" s="5" t="str">
        <f t="shared" si="3"/>
        <v>Tue</v>
      </c>
      <c r="IE7" s="5" t="str">
        <f t="shared" si="3"/>
        <v>Wed</v>
      </c>
      <c r="IF7" s="5" t="str">
        <f t="shared" si="3"/>
        <v>Thu</v>
      </c>
      <c r="IG7" s="5" t="str">
        <f t="shared" si="3"/>
        <v>Fri</v>
      </c>
      <c r="IH7" s="5" t="str">
        <f t="shared" si="3"/>
        <v>Sat</v>
      </c>
      <c r="II7" s="5" t="str">
        <f t="shared" si="3"/>
        <v>Sun</v>
      </c>
      <c r="IJ7" s="5" t="str">
        <f t="shared" si="3"/>
        <v>Mon</v>
      </c>
      <c r="IK7" s="5" t="str">
        <f t="shared" si="3"/>
        <v>Tue</v>
      </c>
      <c r="IL7" s="5" t="str">
        <f t="shared" si="3"/>
        <v>Wed</v>
      </c>
      <c r="IM7" s="5" t="str">
        <f t="shared" si="3"/>
        <v>Thu</v>
      </c>
      <c r="IN7" s="5" t="str">
        <f t="shared" si="3"/>
        <v>Fri</v>
      </c>
      <c r="IO7" s="5" t="str">
        <f t="shared" si="3"/>
        <v>Sat</v>
      </c>
      <c r="IP7" s="5" t="str">
        <f t="shared" si="3"/>
        <v>Sun</v>
      </c>
      <c r="IQ7" s="5" t="str">
        <f t="shared" si="3"/>
        <v>Mon</v>
      </c>
      <c r="IR7" s="5" t="str">
        <f t="shared" si="3"/>
        <v>Tue</v>
      </c>
      <c r="IS7" s="5" t="str">
        <f t="shared" si="3"/>
        <v>Wed</v>
      </c>
      <c r="IT7" s="5" t="str">
        <f t="shared" si="3"/>
        <v>Thu</v>
      </c>
      <c r="IU7" s="5" t="str">
        <f t="shared" si="3"/>
        <v>Fri</v>
      </c>
      <c r="IV7" s="5" t="str">
        <f t="shared" si="3"/>
        <v>Sat</v>
      </c>
      <c r="IW7" s="5" t="str">
        <f t="shared" si="3"/>
        <v>Sun</v>
      </c>
      <c r="IX7" s="5" t="str">
        <f t="shared" si="3"/>
        <v>Mon</v>
      </c>
      <c r="IY7" s="5" t="str">
        <f t="shared" si="3"/>
        <v>Tue</v>
      </c>
      <c r="IZ7" s="5" t="str">
        <f t="shared" si="3"/>
        <v>Wed</v>
      </c>
      <c r="JA7" s="5" t="str">
        <f t="shared" si="3"/>
        <v>Thu</v>
      </c>
      <c r="JB7" s="5" t="str">
        <f t="shared" si="3"/>
        <v>Fri</v>
      </c>
      <c r="JC7" s="5" t="str">
        <f t="shared" si="3"/>
        <v>Sat</v>
      </c>
      <c r="JD7" s="5" t="str">
        <f t="shared" si="3"/>
        <v>Sun</v>
      </c>
      <c r="JE7" s="5" t="str">
        <f t="shared" si="3"/>
        <v>Mon</v>
      </c>
      <c r="JF7" s="5" t="str">
        <f t="shared" si="3"/>
        <v>Tue</v>
      </c>
      <c r="JG7" s="5" t="str">
        <f t="shared" si="3"/>
        <v>Wed</v>
      </c>
      <c r="JH7" s="5" t="str">
        <f t="shared" si="3"/>
        <v>Thu</v>
      </c>
      <c r="JI7" s="5" t="str">
        <f t="shared" si="3"/>
        <v>Fri</v>
      </c>
      <c r="JJ7" s="5" t="str">
        <f t="shared" si="3"/>
        <v>Sat</v>
      </c>
      <c r="JK7" s="5" t="str">
        <f t="shared" si="3"/>
        <v>Sun</v>
      </c>
      <c r="JL7" s="5" t="str">
        <f t="shared" si="3"/>
        <v>Mon</v>
      </c>
      <c r="JM7" s="5" t="str">
        <f t="shared" si="3"/>
        <v>Tue</v>
      </c>
      <c r="JN7" s="5" t="str">
        <f t="shared" si="3"/>
        <v>Wed</v>
      </c>
      <c r="JO7" s="5" t="str">
        <f t="shared" si="3"/>
        <v>Thu</v>
      </c>
      <c r="JP7" s="5" t="str">
        <f t="shared" si="3"/>
        <v>Fri</v>
      </c>
      <c r="JQ7" s="5" t="str">
        <f t="shared" si="3"/>
        <v>Sat</v>
      </c>
      <c r="JR7" s="5" t="str">
        <f t="shared" si="3"/>
        <v>Sun</v>
      </c>
      <c r="JS7" s="5" t="str">
        <f t="shared" si="3"/>
        <v>Mon</v>
      </c>
      <c r="JT7" s="5" t="str">
        <f t="shared" si="3"/>
        <v>Tue</v>
      </c>
      <c r="JU7" s="5" t="str">
        <f t="shared" si="3"/>
        <v>Wed</v>
      </c>
      <c r="JV7" s="5" t="str">
        <f t="shared" si="3"/>
        <v>Thu</v>
      </c>
      <c r="JW7" s="5" t="str">
        <f t="shared" ref="JW7:MH7" si="4">TEXT(JW9,"TTT")</f>
        <v>Fri</v>
      </c>
      <c r="JX7" s="5" t="str">
        <f t="shared" si="4"/>
        <v>Sat</v>
      </c>
      <c r="JY7" s="5" t="str">
        <f t="shared" si="4"/>
        <v>Sun</v>
      </c>
      <c r="JZ7" s="5" t="str">
        <f t="shared" si="4"/>
        <v>Mon</v>
      </c>
      <c r="KA7" s="5" t="str">
        <f t="shared" si="4"/>
        <v>Tue</v>
      </c>
      <c r="KB7" s="5" t="str">
        <f t="shared" si="4"/>
        <v>Wed</v>
      </c>
      <c r="KC7" s="5" t="str">
        <f t="shared" si="4"/>
        <v>Thu</v>
      </c>
      <c r="KD7" s="5" t="str">
        <f t="shared" si="4"/>
        <v>Fri</v>
      </c>
      <c r="KE7" s="5" t="str">
        <f t="shared" si="4"/>
        <v>Sat</v>
      </c>
      <c r="KF7" s="5" t="str">
        <f t="shared" si="4"/>
        <v>Sun</v>
      </c>
      <c r="KG7" s="5" t="str">
        <f t="shared" si="4"/>
        <v>Mon</v>
      </c>
      <c r="KH7" s="5" t="str">
        <f t="shared" si="4"/>
        <v>Tue</v>
      </c>
      <c r="KI7" s="5" t="str">
        <f t="shared" si="4"/>
        <v>Wed</v>
      </c>
      <c r="KJ7" s="5" t="str">
        <f t="shared" si="4"/>
        <v>Thu</v>
      </c>
      <c r="KK7" s="5" t="str">
        <f t="shared" si="4"/>
        <v>Fri</v>
      </c>
      <c r="KL7" s="5" t="str">
        <f t="shared" si="4"/>
        <v>Sat</v>
      </c>
      <c r="KM7" s="5" t="str">
        <f t="shared" si="4"/>
        <v>Sun</v>
      </c>
      <c r="KN7" s="5" t="str">
        <f t="shared" si="4"/>
        <v>Mon</v>
      </c>
      <c r="KO7" s="5" t="str">
        <f t="shared" si="4"/>
        <v>Tue</v>
      </c>
      <c r="KP7" s="5" t="str">
        <f t="shared" si="4"/>
        <v>Wed</v>
      </c>
      <c r="KQ7" s="5" t="str">
        <f t="shared" si="4"/>
        <v>Thu</v>
      </c>
      <c r="KR7" s="5" t="str">
        <f t="shared" si="4"/>
        <v>Fri</v>
      </c>
      <c r="KS7" s="5" t="str">
        <f t="shared" si="4"/>
        <v>Sat</v>
      </c>
      <c r="KT7" s="5" t="str">
        <f t="shared" si="4"/>
        <v>Sun</v>
      </c>
      <c r="KU7" s="5" t="str">
        <f t="shared" si="4"/>
        <v>Mon</v>
      </c>
      <c r="KV7" s="5" t="str">
        <f t="shared" si="4"/>
        <v>Tue</v>
      </c>
      <c r="KW7" s="5" t="str">
        <f t="shared" si="4"/>
        <v>Wed</v>
      </c>
      <c r="KX7" s="5" t="str">
        <f t="shared" si="4"/>
        <v>Thu</v>
      </c>
      <c r="KY7" s="5" t="str">
        <f t="shared" si="4"/>
        <v>Fri</v>
      </c>
      <c r="KZ7" s="5" t="str">
        <f t="shared" si="4"/>
        <v>Sat</v>
      </c>
      <c r="LA7" s="5" t="str">
        <f t="shared" si="4"/>
        <v>Sun</v>
      </c>
      <c r="LB7" s="5" t="str">
        <f t="shared" si="4"/>
        <v>Mon</v>
      </c>
      <c r="LC7" s="5" t="str">
        <f t="shared" si="4"/>
        <v>Tue</v>
      </c>
      <c r="LD7" s="5" t="str">
        <f t="shared" si="4"/>
        <v>Wed</v>
      </c>
      <c r="LE7" s="5" t="str">
        <f t="shared" si="4"/>
        <v>Thu</v>
      </c>
      <c r="LF7" s="5" t="str">
        <f t="shared" si="4"/>
        <v>Fri</v>
      </c>
      <c r="LG7" s="5" t="str">
        <f t="shared" si="4"/>
        <v>Sat</v>
      </c>
      <c r="LH7" s="5" t="str">
        <f t="shared" si="4"/>
        <v>Sun</v>
      </c>
      <c r="LI7" s="5" t="str">
        <f t="shared" si="4"/>
        <v>Mon</v>
      </c>
      <c r="LJ7" s="5" t="str">
        <f t="shared" si="4"/>
        <v>Tue</v>
      </c>
      <c r="LK7" s="5" t="str">
        <f t="shared" si="4"/>
        <v>Wed</v>
      </c>
      <c r="LL7" s="5" t="str">
        <f t="shared" si="4"/>
        <v>Thu</v>
      </c>
      <c r="LM7" s="5" t="str">
        <f t="shared" si="4"/>
        <v>Fri</v>
      </c>
      <c r="LN7" s="5" t="str">
        <f t="shared" si="4"/>
        <v>Sat</v>
      </c>
      <c r="LO7" s="5" t="str">
        <f t="shared" si="4"/>
        <v>Sun</v>
      </c>
      <c r="LP7" s="5" t="str">
        <f t="shared" si="4"/>
        <v>Mon</v>
      </c>
      <c r="LQ7" s="5" t="str">
        <f t="shared" si="4"/>
        <v>Tue</v>
      </c>
      <c r="LR7" s="5" t="str">
        <f t="shared" si="4"/>
        <v>Wed</v>
      </c>
      <c r="LS7" s="5" t="str">
        <f t="shared" si="4"/>
        <v>Thu</v>
      </c>
      <c r="LT7" s="5" t="str">
        <f t="shared" si="4"/>
        <v>Fri</v>
      </c>
      <c r="LU7" s="5" t="str">
        <f t="shared" si="4"/>
        <v>Sat</v>
      </c>
      <c r="LV7" s="5" t="str">
        <f t="shared" si="4"/>
        <v>Sun</v>
      </c>
      <c r="LW7" s="5" t="str">
        <f t="shared" si="4"/>
        <v>Mon</v>
      </c>
      <c r="LX7" s="5" t="str">
        <f t="shared" si="4"/>
        <v>Tue</v>
      </c>
      <c r="LY7" s="5" t="str">
        <f t="shared" si="4"/>
        <v>Wed</v>
      </c>
      <c r="LZ7" s="5" t="str">
        <f t="shared" si="4"/>
        <v>Thu</v>
      </c>
      <c r="MA7" s="5" t="str">
        <f t="shared" si="4"/>
        <v>Fri</v>
      </c>
      <c r="MB7" s="5" t="str">
        <f t="shared" si="4"/>
        <v>Sat</v>
      </c>
      <c r="MC7" s="5" t="str">
        <f t="shared" si="4"/>
        <v>Sun</v>
      </c>
      <c r="MD7" s="5" t="str">
        <f t="shared" si="4"/>
        <v>Mon</v>
      </c>
      <c r="ME7" s="5" t="str">
        <f t="shared" si="4"/>
        <v>Tue</v>
      </c>
      <c r="MF7" s="5" t="str">
        <f t="shared" si="4"/>
        <v>Wed</v>
      </c>
      <c r="MG7" s="5" t="str">
        <f t="shared" si="4"/>
        <v>Thu</v>
      </c>
      <c r="MH7" s="5" t="str">
        <f t="shared" si="4"/>
        <v>Fri</v>
      </c>
      <c r="MI7" s="5" t="str">
        <f t="shared" ref="MI7:OT7" si="5">TEXT(MI9,"TTT")</f>
        <v>Sat</v>
      </c>
      <c r="MJ7" s="5" t="str">
        <f t="shared" si="5"/>
        <v>Sun</v>
      </c>
      <c r="MK7" s="5" t="str">
        <f t="shared" si="5"/>
        <v>Mon</v>
      </c>
      <c r="ML7" s="5" t="str">
        <f t="shared" si="5"/>
        <v>Tue</v>
      </c>
      <c r="MM7" s="5" t="str">
        <f t="shared" si="5"/>
        <v>Wed</v>
      </c>
      <c r="MN7" s="5" t="str">
        <f t="shared" si="5"/>
        <v>Thu</v>
      </c>
      <c r="MO7" s="5" t="str">
        <f t="shared" si="5"/>
        <v>Fri</v>
      </c>
      <c r="MP7" s="5" t="str">
        <f t="shared" si="5"/>
        <v>Sat</v>
      </c>
      <c r="MQ7" s="5" t="str">
        <f t="shared" si="5"/>
        <v>Sun</v>
      </c>
      <c r="MR7" s="5" t="str">
        <f t="shared" si="5"/>
        <v>Mon</v>
      </c>
      <c r="MS7" s="5" t="str">
        <f t="shared" si="5"/>
        <v>Tue</v>
      </c>
      <c r="MT7" s="5" t="str">
        <f t="shared" si="5"/>
        <v>Wed</v>
      </c>
      <c r="MU7" s="5" t="str">
        <f t="shared" si="5"/>
        <v>Thu</v>
      </c>
      <c r="MV7" s="5" t="str">
        <f t="shared" si="5"/>
        <v>Fri</v>
      </c>
      <c r="MW7" s="5" t="str">
        <f t="shared" si="5"/>
        <v>Sat</v>
      </c>
      <c r="MX7" s="5" t="str">
        <f t="shared" si="5"/>
        <v>Sun</v>
      </c>
      <c r="MY7" s="5" t="str">
        <f t="shared" si="5"/>
        <v>Mon</v>
      </c>
      <c r="MZ7" s="5" t="str">
        <f t="shared" si="5"/>
        <v>Tue</v>
      </c>
      <c r="NA7" s="5" t="str">
        <f t="shared" si="5"/>
        <v>Wed</v>
      </c>
      <c r="NB7" s="5" t="str">
        <f t="shared" si="5"/>
        <v>Thu</v>
      </c>
      <c r="NC7" s="5" t="str">
        <f t="shared" si="5"/>
        <v>Fri</v>
      </c>
      <c r="ND7" s="5" t="str">
        <f t="shared" si="5"/>
        <v>Sat</v>
      </c>
      <c r="NE7" s="5" t="str">
        <f t="shared" si="5"/>
        <v>Sun</v>
      </c>
      <c r="NF7" s="5" t="str">
        <f t="shared" si="5"/>
        <v>Mon</v>
      </c>
      <c r="NG7" s="5" t="str">
        <f t="shared" si="5"/>
        <v>Tue</v>
      </c>
      <c r="NH7" s="5" t="str">
        <f t="shared" si="5"/>
        <v>Wed</v>
      </c>
      <c r="NI7" s="5" t="str">
        <f t="shared" si="5"/>
        <v>Thu</v>
      </c>
      <c r="NJ7" s="5" t="str">
        <f t="shared" si="5"/>
        <v>Fri</v>
      </c>
      <c r="NK7" s="5" t="str">
        <f t="shared" si="5"/>
        <v>Sat</v>
      </c>
      <c r="NL7" s="5" t="str">
        <f t="shared" si="5"/>
        <v>Sun</v>
      </c>
      <c r="NM7" s="5" t="str">
        <f t="shared" si="5"/>
        <v>Mon</v>
      </c>
      <c r="NN7" s="5" t="str">
        <f t="shared" si="5"/>
        <v>Tue</v>
      </c>
      <c r="NO7" s="5" t="str">
        <f t="shared" si="5"/>
        <v>Wed</v>
      </c>
      <c r="NP7" s="5" t="str">
        <f t="shared" si="5"/>
        <v>Thu</v>
      </c>
      <c r="NQ7" s="5" t="str">
        <f t="shared" si="5"/>
        <v>Fri</v>
      </c>
      <c r="NR7" s="5" t="str">
        <f t="shared" si="5"/>
        <v>Sat</v>
      </c>
      <c r="NS7" s="5" t="str">
        <f t="shared" si="5"/>
        <v>Sun</v>
      </c>
      <c r="NT7" s="5" t="str">
        <f t="shared" si="5"/>
        <v>Mon</v>
      </c>
      <c r="NU7" s="5" t="str">
        <f t="shared" si="5"/>
        <v>Tue</v>
      </c>
      <c r="NV7" s="5" t="str">
        <f t="shared" si="5"/>
        <v>Wed</v>
      </c>
      <c r="NW7" s="5" t="str">
        <f t="shared" si="5"/>
        <v>Thu</v>
      </c>
      <c r="NX7" s="5" t="str">
        <f t="shared" si="5"/>
        <v>Fri</v>
      </c>
      <c r="NY7" s="5" t="str">
        <f t="shared" si="5"/>
        <v>Sat</v>
      </c>
      <c r="NZ7" s="5" t="str">
        <f t="shared" si="5"/>
        <v>Sun</v>
      </c>
    </row>
    <row r="8" spans="2:390" ht="15" customHeight="1" x14ac:dyDescent="0.45">
      <c r="E8" s="17"/>
      <c r="R8" s="175"/>
      <c r="S8" s="176"/>
      <c r="U8" s="10"/>
      <c r="V8" s="10"/>
      <c r="W8" s="10"/>
      <c r="X8" s="10"/>
      <c r="Y8" s="10"/>
      <c r="AA8" s="5">
        <f>+_xlfn.ISOWEEKNUM(AA9)</f>
        <v>48</v>
      </c>
      <c r="AB8" s="5">
        <f t="shared" ref="AB8:CM8" si="6">+_xlfn.ISOWEEKNUM(AB9)</f>
        <v>48</v>
      </c>
      <c r="AC8" s="5">
        <f t="shared" si="6"/>
        <v>48</v>
      </c>
      <c r="AD8" s="5">
        <f t="shared" si="6"/>
        <v>48</v>
      </c>
      <c r="AE8" s="5">
        <f t="shared" si="6"/>
        <v>48</v>
      </c>
      <c r="AF8" s="5">
        <f t="shared" si="6"/>
        <v>48</v>
      </c>
      <c r="AG8" s="5">
        <f t="shared" si="6"/>
        <v>48</v>
      </c>
      <c r="AH8" s="5">
        <f t="shared" si="6"/>
        <v>49</v>
      </c>
      <c r="AI8" s="5">
        <f t="shared" si="6"/>
        <v>49</v>
      </c>
      <c r="AJ8" s="5">
        <f t="shared" si="6"/>
        <v>49</v>
      </c>
      <c r="AK8" s="5">
        <f t="shared" si="6"/>
        <v>49</v>
      </c>
      <c r="AL8" s="5">
        <f t="shared" si="6"/>
        <v>49</v>
      </c>
      <c r="AM8" s="5">
        <f t="shared" si="6"/>
        <v>49</v>
      </c>
      <c r="AN8" s="5">
        <f t="shared" si="6"/>
        <v>49</v>
      </c>
      <c r="AO8" s="5">
        <f t="shared" si="6"/>
        <v>50</v>
      </c>
      <c r="AP8" s="5">
        <f t="shared" si="6"/>
        <v>50</v>
      </c>
      <c r="AQ8" s="5">
        <f t="shared" si="6"/>
        <v>50</v>
      </c>
      <c r="AR8" s="5">
        <f t="shared" si="6"/>
        <v>50</v>
      </c>
      <c r="AS8" s="5">
        <f t="shared" si="6"/>
        <v>50</v>
      </c>
      <c r="AT8" s="5">
        <f t="shared" si="6"/>
        <v>50</v>
      </c>
      <c r="AU8" s="5">
        <f t="shared" si="6"/>
        <v>50</v>
      </c>
      <c r="AV8" s="5">
        <f t="shared" si="6"/>
        <v>51</v>
      </c>
      <c r="AW8" s="5">
        <f t="shared" si="6"/>
        <v>51</v>
      </c>
      <c r="AX8" s="5">
        <f t="shared" si="6"/>
        <v>51</v>
      </c>
      <c r="AY8" s="5">
        <f t="shared" si="6"/>
        <v>51</v>
      </c>
      <c r="AZ8" s="5">
        <f t="shared" si="6"/>
        <v>51</v>
      </c>
      <c r="BA8" s="5">
        <f t="shared" si="6"/>
        <v>51</v>
      </c>
      <c r="BB8" s="5">
        <f t="shared" si="6"/>
        <v>51</v>
      </c>
      <c r="BC8" s="5">
        <f t="shared" si="6"/>
        <v>52</v>
      </c>
      <c r="BD8" s="5">
        <f t="shared" si="6"/>
        <v>52</v>
      </c>
      <c r="BE8" s="5">
        <f t="shared" si="6"/>
        <v>52</v>
      </c>
      <c r="BF8" s="5">
        <f t="shared" si="6"/>
        <v>52</v>
      </c>
      <c r="BG8" s="5">
        <f t="shared" si="6"/>
        <v>52</v>
      </c>
      <c r="BH8" s="5">
        <f t="shared" si="6"/>
        <v>52</v>
      </c>
      <c r="BI8" s="5">
        <f t="shared" si="6"/>
        <v>52</v>
      </c>
      <c r="BJ8" s="5">
        <f t="shared" si="6"/>
        <v>1</v>
      </c>
      <c r="BK8" s="5">
        <f t="shared" si="6"/>
        <v>1</v>
      </c>
      <c r="BL8" s="5">
        <f t="shared" si="6"/>
        <v>1</v>
      </c>
      <c r="BM8" s="5">
        <f t="shared" si="6"/>
        <v>1</v>
      </c>
      <c r="BN8" s="5">
        <f t="shared" si="6"/>
        <v>1</v>
      </c>
      <c r="BO8" s="5">
        <f t="shared" si="6"/>
        <v>1</v>
      </c>
      <c r="BP8" s="5">
        <f t="shared" si="6"/>
        <v>1</v>
      </c>
      <c r="BQ8" s="5">
        <f t="shared" si="6"/>
        <v>2</v>
      </c>
      <c r="BR8" s="5">
        <f t="shared" si="6"/>
        <v>2</v>
      </c>
      <c r="BS8" s="5">
        <f t="shared" si="6"/>
        <v>2</v>
      </c>
      <c r="BT8" s="5">
        <f t="shared" si="6"/>
        <v>2</v>
      </c>
      <c r="BU8" s="5">
        <f t="shared" si="6"/>
        <v>2</v>
      </c>
      <c r="BV8" s="5">
        <f t="shared" si="6"/>
        <v>2</v>
      </c>
      <c r="BW8" s="5">
        <f t="shared" si="6"/>
        <v>2</v>
      </c>
      <c r="BX8" s="5">
        <f t="shared" si="6"/>
        <v>3</v>
      </c>
      <c r="BY8" s="5">
        <f t="shared" si="6"/>
        <v>3</v>
      </c>
      <c r="BZ8" s="5">
        <f t="shared" si="6"/>
        <v>3</v>
      </c>
      <c r="CA8" s="5">
        <f t="shared" si="6"/>
        <v>3</v>
      </c>
      <c r="CB8" s="5">
        <f t="shared" si="6"/>
        <v>3</v>
      </c>
      <c r="CC8" s="5">
        <f t="shared" si="6"/>
        <v>3</v>
      </c>
      <c r="CD8" s="5">
        <f t="shared" si="6"/>
        <v>3</v>
      </c>
      <c r="CE8" s="5">
        <f t="shared" si="6"/>
        <v>4</v>
      </c>
      <c r="CF8" s="5">
        <f t="shared" si="6"/>
        <v>4</v>
      </c>
      <c r="CG8" s="5">
        <f t="shared" si="6"/>
        <v>4</v>
      </c>
      <c r="CH8" s="5">
        <f t="shared" si="6"/>
        <v>4</v>
      </c>
      <c r="CI8" s="5">
        <f t="shared" si="6"/>
        <v>4</v>
      </c>
      <c r="CJ8" s="5">
        <f t="shared" si="6"/>
        <v>4</v>
      </c>
      <c r="CK8" s="5">
        <f t="shared" si="6"/>
        <v>4</v>
      </c>
      <c r="CL8" s="5">
        <f t="shared" si="6"/>
        <v>5</v>
      </c>
      <c r="CM8" s="5">
        <f t="shared" si="6"/>
        <v>5</v>
      </c>
      <c r="CN8" s="5">
        <f t="shared" ref="CN8:EY8" si="7">+_xlfn.ISOWEEKNUM(CN9)</f>
        <v>5</v>
      </c>
      <c r="CO8" s="5">
        <f t="shared" si="7"/>
        <v>5</v>
      </c>
      <c r="CP8" s="5">
        <f t="shared" si="7"/>
        <v>5</v>
      </c>
      <c r="CQ8" s="5">
        <f t="shared" si="7"/>
        <v>5</v>
      </c>
      <c r="CR8" s="5">
        <f t="shared" si="7"/>
        <v>5</v>
      </c>
      <c r="CS8" s="5">
        <f t="shared" si="7"/>
        <v>6</v>
      </c>
      <c r="CT8" s="5">
        <f t="shared" si="7"/>
        <v>6</v>
      </c>
      <c r="CU8" s="5">
        <f t="shared" si="7"/>
        <v>6</v>
      </c>
      <c r="CV8" s="5">
        <f t="shared" si="7"/>
        <v>6</v>
      </c>
      <c r="CW8" s="5">
        <f t="shared" si="7"/>
        <v>6</v>
      </c>
      <c r="CX8" s="5">
        <f t="shared" si="7"/>
        <v>6</v>
      </c>
      <c r="CY8" s="5">
        <f t="shared" si="7"/>
        <v>6</v>
      </c>
      <c r="CZ8" s="5">
        <f t="shared" si="7"/>
        <v>7</v>
      </c>
      <c r="DA8" s="5">
        <f t="shared" si="7"/>
        <v>7</v>
      </c>
      <c r="DB8" s="5">
        <f t="shared" si="7"/>
        <v>7</v>
      </c>
      <c r="DC8" s="5">
        <f t="shared" si="7"/>
        <v>7</v>
      </c>
      <c r="DD8" s="5">
        <f t="shared" si="7"/>
        <v>7</v>
      </c>
      <c r="DE8" s="5">
        <f t="shared" si="7"/>
        <v>7</v>
      </c>
      <c r="DF8" s="5">
        <f t="shared" si="7"/>
        <v>7</v>
      </c>
      <c r="DG8" s="5">
        <f t="shared" si="7"/>
        <v>8</v>
      </c>
      <c r="DH8" s="5">
        <f t="shared" si="7"/>
        <v>8</v>
      </c>
      <c r="DI8" s="5">
        <f t="shared" si="7"/>
        <v>8</v>
      </c>
      <c r="DJ8" s="5">
        <f t="shared" si="7"/>
        <v>8</v>
      </c>
      <c r="DK8" s="5">
        <f t="shared" si="7"/>
        <v>8</v>
      </c>
      <c r="DL8" s="5">
        <f t="shared" si="7"/>
        <v>8</v>
      </c>
      <c r="DM8" s="5">
        <f t="shared" si="7"/>
        <v>8</v>
      </c>
      <c r="DN8" s="5">
        <f t="shared" si="7"/>
        <v>9</v>
      </c>
      <c r="DO8" s="5">
        <f t="shared" si="7"/>
        <v>9</v>
      </c>
      <c r="DP8" s="5">
        <f t="shared" si="7"/>
        <v>9</v>
      </c>
      <c r="DQ8" s="5">
        <f t="shared" si="7"/>
        <v>9</v>
      </c>
      <c r="DR8" s="5">
        <f t="shared" si="7"/>
        <v>9</v>
      </c>
      <c r="DS8" s="5">
        <f t="shared" si="7"/>
        <v>9</v>
      </c>
      <c r="DT8" s="5">
        <f t="shared" si="7"/>
        <v>9</v>
      </c>
      <c r="DU8" s="5">
        <f t="shared" si="7"/>
        <v>10</v>
      </c>
      <c r="DV8" s="5">
        <f t="shared" si="7"/>
        <v>10</v>
      </c>
      <c r="DW8" s="5">
        <f t="shared" si="7"/>
        <v>10</v>
      </c>
      <c r="DX8" s="5">
        <f t="shared" si="7"/>
        <v>10</v>
      </c>
      <c r="DY8" s="5">
        <f t="shared" si="7"/>
        <v>10</v>
      </c>
      <c r="DZ8" s="5">
        <f t="shared" si="7"/>
        <v>10</v>
      </c>
      <c r="EA8" s="5">
        <f t="shared" si="7"/>
        <v>10</v>
      </c>
      <c r="EB8" s="5">
        <f t="shared" si="7"/>
        <v>11</v>
      </c>
      <c r="EC8" s="5">
        <f t="shared" si="7"/>
        <v>11</v>
      </c>
      <c r="ED8" s="5">
        <f t="shared" si="7"/>
        <v>11</v>
      </c>
      <c r="EE8" s="5">
        <f t="shared" si="7"/>
        <v>11</v>
      </c>
      <c r="EF8" s="5">
        <f t="shared" si="7"/>
        <v>11</v>
      </c>
      <c r="EG8" s="5">
        <f t="shared" si="7"/>
        <v>11</v>
      </c>
      <c r="EH8" s="5">
        <f t="shared" si="7"/>
        <v>11</v>
      </c>
      <c r="EI8" s="5">
        <f t="shared" si="7"/>
        <v>12</v>
      </c>
      <c r="EJ8" s="5">
        <f t="shared" si="7"/>
        <v>12</v>
      </c>
      <c r="EK8" s="5">
        <f t="shared" si="7"/>
        <v>12</v>
      </c>
      <c r="EL8" s="5">
        <f t="shared" si="7"/>
        <v>12</v>
      </c>
      <c r="EM8" s="5">
        <f t="shared" si="7"/>
        <v>12</v>
      </c>
      <c r="EN8" s="5">
        <f t="shared" si="7"/>
        <v>12</v>
      </c>
      <c r="EO8" s="5">
        <f t="shared" si="7"/>
        <v>12</v>
      </c>
      <c r="EP8" s="5">
        <f t="shared" si="7"/>
        <v>13</v>
      </c>
      <c r="EQ8" s="5">
        <f t="shared" si="7"/>
        <v>13</v>
      </c>
      <c r="ER8" s="5">
        <f t="shared" si="7"/>
        <v>13</v>
      </c>
      <c r="ES8" s="5">
        <f t="shared" si="7"/>
        <v>13</v>
      </c>
      <c r="ET8" s="5">
        <f t="shared" si="7"/>
        <v>13</v>
      </c>
      <c r="EU8" s="5">
        <f t="shared" si="7"/>
        <v>13</v>
      </c>
      <c r="EV8" s="5">
        <f t="shared" si="7"/>
        <v>13</v>
      </c>
      <c r="EW8" s="5">
        <f t="shared" si="7"/>
        <v>14</v>
      </c>
      <c r="EX8" s="5">
        <f t="shared" si="7"/>
        <v>14</v>
      </c>
      <c r="EY8" s="5">
        <f t="shared" si="7"/>
        <v>14</v>
      </c>
      <c r="EZ8" s="5">
        <f t="shared" ref="EZ8:HK8" si="8">+_xlfn.ISOWEEKNUM(EZ9)</f>
        <v>14</v>
      </c>
      <c r="FA8" s="5">
        <f t="shared" si="8"/>
        <v>14</v>
      </c>
      <c r="FB8" s="5">
        <f t="shared" si="8"/>
        <v>14</v>
      </c>
      <c r="FC8" s="5">
        <f t="shared" si="8"/>
        <v>14</v>
      </c>
      <c r="FD8" s="5">
        <f t="shared" si="8"/>
        <v>15</v>
      </c>
      <c r="FE8" s="5">
        <f t="shared" si="8"/>
        <v>15</v>
      </c>
      <c r="FF8" s="5">
        <f t="shared" si="8"/>
        <v>15</v>
      </c>
      <c r="FG8" s="5">
        <f t="shared" si="8"/>
        <v>15</v>
      </c>
      <c r="FH8" s="5">
        <f t="shared" si="8"/>
        <v>15</v>
      </c>
      <c r="FI8" s="5">
        <f t="shared" si="8"/>
        <v>15</v>
      </c>
      <c r="FJ8" s="5">
        <f t="shared" si="8"/>
        <v>15</v>
      </c>
      <c r="FK8" s="5">
        <f t="shared" si="8"/>
        <v>16</v>
      </c>
      <c r="FL8" s="5">
        <f t="shared" si="8"/>
        <v>16</v>
      </c>
      <c r="FM8" s="5">
        <f t="shared" si="8"/>
        <v>16</v>
      </c>
      <c r="FN8" s="5">
        <f t="shared" si="8"/>
        <v>16</v>
      </c>
      <c r="FO8" s="5">
        <f t="shared" si="8"/>
        <v>16</v>
      </c>
      <c r="FP8" s="5">
        <f t="shared" si="8"/>
        <v>16</v>
      </c>
      <c r="FQ8" s="5">
        <f t="shared" si="8"/>
        <v>16</v>
      </c>
      <c r="FR8" s="5">
        <f t="shared" si="8"/>
        <v>17</v>
      </c>
      <c r="FS8" s="5">
        <f t="shared" si="8"/>
        <v>17</v>
      </c>
      <c r="FT8" s="5">
        <f t="shared" si="8"/>
        <v>17</v>
      </c>
      <c r="FU8" s="5">
        <f t="shared" si="8"/>
        <v>17</v>
      </c>
      <c r="FV8" s="5">
        <f t="shared" si="8"/>
        <v>17</v>
      </c>
      <c r="FW8" s="5">
        <f t="shared" si="8"/>
        <v>17</v>
      </c>
      <c r="FX8" s="5">
        <f t="shared" si="8"/>
        <v>17</v>
      </c>
      <c r="FY8" s="5">
        <f t="shared" si="8"/>
        <v>18</v>
      </c>
      <c r="FZ8" s="5">
        <f t="shared" si="8"/>
        <v>18</v>
      </c>
      <c r="GA8" s="5">
        <f t="shared" si="8"/>
        <v>18</v>
      </c>
      <c r="GB8" s="5">
        <f t="shared" si="8"/>
        <v>18</v>
      </c>
      <c r="GC8" s="5">
        <f t="shared" si="8"/>
        <v>18</v>
      </c>
      <c r="GD8" s="5">
        <f t="shared" si="8"/>
        <v>18</v>
      </c>
      <c r="GE8" s="5">
        <f t="shared" si="8"/>
        <v>18</v>
      </c>
      <c r="GF8" s="5">
        <f t="shared" si="8"/>
        <v>19</v>
      </c>
      <c r="GG8" s="5">
        <f t="shared" si="8"/>
        <v>19</v>
      </c>
      <c r="GH8" s="5">
        <f t="shared" si="8"/>
        <v>19</v>
      </c>
      <c r="GI8" s="5">
        <f t="shared" si="8"/>
        <v>19</v>
      </c>
      <c r="GJ8" s="5">
        <f t="shared" si="8"/>
        <v>19</v>
      </c>
      <c r="GK8" s="5">
        <f t="shared" si="8"/>
        <v>19</v>
      </c>
      <c r="GL8" s="5">
        <f t="shared" si="8"/>
        <v>19</v>
      </c>
      <c r="GM8" s="5">
        <f t="shared" si="8"/>
        <v>20</v>
      </c>
      <c r="GN8" s="5">
        <f t="shared" si="8"/>
        <v>20</v>
      </c>
      <c r="GO8" s="5">
        <f t="shared" si="8"/>
        <v>20</v>
      </c>
      <c r="GP8" s="5">
        <f t="shared" si="8"/>
        <v>20</v>
      </c>
      <c r="GQ8" s="5">
        <f t="shared" si="8"/>
        <v>20</v>
      </c>
      <c r="GR8" s="5">
        <f t="shared" si="8"/>
        <v>20</v>
      </c>
      <c r="GS8" s="5">
        <f t="shared" si="8"/>
        <v>20</v>
      </c>
      <c r="GT8" s="5">
        <f t="shared" si="8"/>
        <v>21</v>
      </c>
      <c r="GU8" s="5">
        <f t="shared" si="8"/>
        <v>21</v>
      </c>
      <c r="GV8" s="5">
        <f t="shared" si="8"/>
        <v>21</v>
      </c>
      <c r="GW8" s="5">
        <f t="shared" si="8"/>
        <v>21</v>
      </c>
      <c r="GX8" s="5">
        <f t="shared" si="8"/>
        <v>21</v>
      </c>
      <c r="GY8" s="5">
        <f t="shared" si="8"/>
        <v>21</v>
      </c>
      <c r="GZ8" s="5">
        <f t="shared" si="8"/>
        <v>21</v>
      </c>
      <c r="HA8" s="5">
        <f t="shared" si="8"/>
        <v>22</v>
      </c>
      <c r="HB8" s="5">
        <f t="shared" si="8"/>
        <v>22</v>
      </c>
      <c r="HC8" s="5">
        <f t="shared" si="8"/>
        <v>22</v>
      </c>
      <c r="HD8" s="5">
        <f t="shared" si="8"/>
        <v>22</v>
      </c>
      <c r="HE8" s="5">
        <f t="shared" si="8"/>
        <v>22</v>
      </c>
      <c r="HF8" s="5">
        <f t="shared" si="8"/>
        <v>22</v>
      </c>
      <c r="HG8" s="5">
        <f t="shared" si="8"/>
        <v>22</v>
      </c>
      <c r="HH8" s="5">
        <f t="shared" si="8"/>
        <v>23</v>
      </c>
      <c r="HI8" s="5">
        <f t="shared" si="8"/>
        <v>23</v>
      </c>
      <c r="HJ8" s="5">
        <f t="shared" si="8"/>
        <v>23</v>
      </c>
      <c r="HK8" s="5">
        <f t="shared" si="8"/>
        <v>23</v>
      </c>
      <c r="HL8" s="5">
        <f t="shared" ref="HL8:JW8" si="9">+_xlfn.ISOWEEKNUM(HL9)</f>
        <v>23</v>
      </c>
      <c r="HM8" s="5">
        <f t="shared" si="9"/>
        <v>23</v>
      </c>
      <c r="HN8" s="5">
        <f t="shared" si="9"/>
        <v>23</v>
      </c>
      <c r="HO8" s="5">
        <f t="shared" si="9"/>
        <v>24</v>
      </c>
      <c r="HP8" s="5">
        <f t="shared" si="9"/>
        <v>24</v>
      </c>
      <c r="HQ8" s="5">
        <f t="shared" si="9"/>
        <v>24</v>
      </c>
      <c r="HR8" s="5">
        <f t="shared" si="9"/>
        <v>24</v>
      </c>
      <c r="HS8" s="5">
        <f t="shared" si="9"/>
        <v>24</v>
      </c>
      <c r="HT8" s="5">
        <f t="shared" si="9"/>
        <v>24</v>
      </c>
      <c r="HU8" s="5">
        <f t="shared" si="9"/>
        <v>24</v>
      </c>
      <c r="HV8" s="5">
        <f t="shared" si="9"/>
        <v>25</v>
      </c>
      <c r="HW8" s="5">
        <f t="shared" si="9"/>
        <v>25</v>
      </c>
      <c r="HX8" s="5">
        <f t="shared" si="9"/>
        <v>25</v>
      </c>
      <c r="HY8" s="5">
        <f t="shared" si="9"/>
        <v>25</v>
      </c>
      <c r="HZ8" s="5">
        <f t="shared" si="9"/>
        <v>25</v>
      </c>
      <c r="IA8" s="5">
        <f t="shared" si="9"/>
        <v>25</v>
      </c>
      <c r="IB8" s="5">
        <f t="shared" si="9"/>
        <v>25</v>
      </c>
      <c r="IC8" s="5">
        <f t="shared" si="9"/>
        <v>26</v>
      </c>
      <c r="ID8" s="5">
        <f t="shared" si="9"/>
        <v>26</v>
      </c>
      <c r="IE8" s="5">
        <f t="shared" si="9"/>
        <v>26</v>
      </c>
      <c r="IF8" s="5">
        <f t="shared" si="9"/>
        <v>26</v>
      </c>
      <c r="IG8" s="5">
        <f t="shared" si="9"/>
        <v>26</v>
      </c>
      <c r="IH8" s="5">
        <f t="shared" si="9"/>
        <v>26</v>
      </c>
      <c r="II8" s="5">
        <f t="shared" si="9"/>
        <v>26</v>
      </c>
      <c r="IJ8" s="5">
        <f t="shared" si="9"/>
        <v>27</v>
      </c>
      <c r="IK8" s="5">
        <f t="shared" si="9"/>
        <v>27</v>
      </c>
      <c r="IL8" s="5">
        <f t="shared" si="9"/>
        <v>27</v>
      </c>
      <c r="IM8" s="5">
        <f t="shared" si="9"/>
        <v>27</v>
      </c>
      <c r="IN8" s="5">
        <f t="shared" si="9"/>
        <v>27</v>
      </c>
      <c r="IO8" s="5">
        <f t="shared" si="9"/>
        <v>27</v>
      </c>
      <c r="IP8" s="5">
        <f t="shared" si="9"/>
        <v>27</v>
      </c>
      <c r="IQ8" s="5">
        <f t="shared" si="9"/>
        <v>28</v>
      </c>
      <c r="IR8" s="5">
        <f t="shared" si="9"/>
        <v>28</v>
      </c>
      <c r="IS8" s="5">
        <f t="shared" si="9"/>
        <v>28</v>
      </c>
      <c r="IT8" s="5">
        <f t="shared" si="9"/>
        <v>28</v>
      </c>
      <c r="IU8" s="5">
        <f t="shared" si="9"/>
        <v>28</v>
      </c>
      <c r="IV8" s="5">
        <f t="shared" si="9"/>
        <v>28</v>
      </c>
      <c r="IW8" s="5">
        <f t="shared" si="9"/>
        <v>28</v>
      </c>
      <c r="IX8" s="5">
        <f t="shared" si="9"/>
        <v>29</v>
      </c>
      <c r="IY8" s="5">
        <f t="shared" si="9"/>
        <v>29</v>
      </c>
      <c r="IZ8" s="5">
        <f t="shared" si="9"/>
        <v>29</v>
      </c>
      <c r="JA8" s="5">
        <f t="shared" si="9"/>
        <v>29</v>
      </c>
      <c r="JB8" s="5">
        <f t="shared" si="9"/>
        <v>29</v>
      </c>
      <c r="JC8" s="5">
        <f t="shared" si="9"/>
        <v>29</v>
      </c>
      <c r="JD8" s="5">
        <f t="shared" si="9"/>
        <v>29</v>
      </c>
      <c r="JE8" s="5">
        <f t="shared" si="9"/>
        <v>30</v>
      </c>
      <c r="JF8" s="5">
        <f t="shared" si="9"/>
        <v>30</v>
      </c>
      <c r="JG8" s="5">
        <f t="shared" si="9"/>
        <v>30</v>
      </c>
      <c r="JH8" s="5">
        <f t="shared" si="9"/>
        <v>30</v>
      </c>
      <c r="JI8" s="5">
        <f t="shared" si="9"/>
        <v>30</v>
      </c>
      <c r="JJ8" s="5">
        <f t="shared" si="9"/>
        <v>30</v>
      </c>
      <c r="JK8" s="5">
        <f t="shared" si="9"/>
        <v>30</v>
      </c>
      <c r="JL8" s="5">
        <f t="shared" si="9"/>
        <v>31</v>
      </c>
      <c r="JM8" s="5">
        <f t="shared" si="9"/>
        <v>31</v>
      </c>
      <c r="JN8" s="5">
        <f t="shared" si="9"/>
        <v>31</v>
      </c>
      <c r="JO8" s="5">
        <f t="shared" si="9"/>
        <v>31</v>
      </c>
      <c r="JP8" s="5">
        <f t="shared" si="9"/>
        <v>31</v>
      </c>
      <c r="JQ8" s="5">
        <f t="shared" si="9"/>
        <v>31</v>
      </c>
      <c r="JR8" s="5">
        <f t="shared" si="9"/>
        <v>31</v>
      </c>
      <c r="JS8" s="5">
        <f t="shared" si="9"/>
        <v>32</v>
      </c>
      <c r="JT8" s="5">
        <f t="shared" si="9"/>
        <v>32</v>
      </c>
      <c r="JU8" s="5">
        <f t="shared" si="9"/>
        <v>32</v>
      </c>
      <c r="JV8" s="5">
        <f t="shared" si="9"/>
        <v>32</v>
      </c>
      <c r="JW8" s="5">
        <f t="shared" si="9"/>
        <v>32</v>
      </c>
      <c r="JX8" s="5">
        <f t="shared" ref="JX8:MI8" si="10">+_xlfn.ISOWEEKNUM(JX9)</f>
        <v>32</v>
      </c>
      <c r="JY8" s="5">
        <f t="shared" si="10"/>
        <v>32</v>
      </c>
      <c r="JZ8" s="5">
        <f t="shared" si="10"/>
        <v>33</v>
      </c>
      <c r="KA8" s="5">
        <f t="shared" si="10"/>
        <v>33</v>
      </c>
      <c r="KB8" s="5">
        <f t="shared" si="10"/>
        <v>33</v>
      </c>
      <c r="KC8" s="5">
        <f t="shared" si="10"/>
        <v>33</v>
      </c>
      <c r="KD8" s="5">
        <f t="shared" si="10"/>
        <v>33</v>
      </c>
      <c r="KE8" s="5">
        <f t="shared" si="10"/>
        <v>33</v>
      </c>
      <c r="KF8" s="5">
        <f t="shared" si="10"/>
        <v>33</v>
      </c>
      <c r="KG8" s="5">
        <f t="shared" si="10"/>
        <v>34</v>
      </c>
      <c r="KH8" s="5">
        <f t="shared" si="10"/>
        <v>34</v>
      </c>
      <c r="KI8" s="5">
        <f t="shared" si="10"/>
        <v>34</v>
      </c>
      <c r="KJ8" s="5">
        <f t="shared" si="10"/>
        <v>34</v>
      </c>
      <c r="KK8" s="5">
        <f t="shared" si="10"/>
        <v>34</v>
      </c>
      <c r="KL8" s="5">
        <f t="shared" si="10"/>
        <v>34</v>
      </c>
      <c r="KM8" s="5">
        <f t="shared" si="10"/>
        <v>34</v>
      </c>
      <c r="KN8" s="5">
        <f t="shared" si="10"/>
        <v>35</v>
      </c>
      <c r="KO8" s="5">
        <f t="shared" si="10"/>
        <v>35</v>
      </c>
      <c r="KP8" s="5">
        <f t="shared" si="10"/>
        <v>35</v>
      </c>
      <c r="KQ8" s="5">
        <f t="shared" si="10"/>
        <v>35</v>
      </c>
      <c r="KR8" s="5">
        <f t="shared" si="10"/>
        <v>35</v>
      </c>
      <c r="KS8" s="5">
        <f t="shared" si="10"/>
        <v>35</v>
      </c>
      <c r="KT8" s="5">
        <f t="shared" si="10"/>
        <v>35</v>
      </c>
      <c r="KU8" s="5">
        <f t="shared" si="10"/>
        <v>36</v>
      </c>
      <c r="KV8" s="5">
        <f t="shared" si="10"/>
        <v>36</v>
      </c>
      <c r="KW8" s="5">
        <f t="shared" si="10"/>
        <v>36</v>
      </c>
      <c r="KX8" s="5">
        <f t="shared" si="10"/>
        <v>36</v>
      </c>
      <c r="KY8" s="5">
        <f t="shared" si="10"/>
        <v>36</v>
      </c>
      <c r="KZ8" s="5">
        <f t="shared" si="10"/>
        <v>36</v>
      </c>
      <c r="LA8" s="5">
        <f t="shared" si="10"/>
        <v>36</v>
      </c>
      <c r="LB8" s="5">
        <f t="shared" si="10"/>
        <v>37</v>
      </c>
      <c r="LC8" s="5">
        <f t="shared" si="10"/>
        <v>37</v>
      </c>
      <c r="LD8" s="5">
        <f t="shared" si="10"/>
        <v>37</v>
      </c>
      <c r="LE8" s="5">
        <f t="shared" si="10"/>
        <v>37</v>
      </c>
      <c r="LF8" s="5">
        <f t="shared" si="10"/>
        <v>37</v>
      </c>
      <c r="LG8" s="5">
        <f t="shared" si="10"/>
        <v>37</v>
      </c>
      <c r="LH8" s="5">
        <f t="shared" si="10"/>
        <v>37</v>
      </c>
      <c r="LI8" s="5">
        <f t="shared" si="10"/>
        <v>38</v>
      </c>
      <c r="LJ8" s="5">
        <f t="shared" si="10"/>
        <v>38</v>
      </c>
      <c r="LK8" s="5">
        <f t="shared" si="10"/>
        <v>38</v>
      </c>
      <c r="LL8" s="5">
        <f t="shared" si="10"/>
        <v>38</v>
      </c>
      <c r="LM8" s="5">
        <f t="shared" si="10"/>
        <v>38</v>
      </c>
      <c r="LN8" s="5">
        <f t="shared" si="10"/>
        <v>38</v>
      </c>
      <c r="LO8" s="5">
        <f t="shared" si="10"/>
        <v>38</v>
      </c>
      <c r="LP8" s="5">
        <f t="shared" si="10"/>
        <v>39</v>
      </c>
      <c r="LQ8" s="5">
        <f t="shared" si="10"/>
        <v>39</v>
      </c>
      <c r="LR8" s="5">
        <f t="shared" si="10"/>
        <v>39</v>
      </c>
      <c r="LS8" s="5">
        <f t="shared" si="10"/>
        <v>39</v>
      </c>
      <c r="LT8" s="5">
        <f t="shared" si="10"/>
        <v>39</v>
      </c>
      <c r="LU8" s="5">
        <f t="shared" si="10"/>
        <v>39</v>
      </c>
      <c r="LV8" s="5">
        <f t="shared" si="10"/>
        <v>39</v>
      </c>
      <c r="LW8" s="5">
        <f t="shared" si="10"/>
        <v>40</v>
      </c>
      <c r="LX8" s="5">
        <f t="shared" si="10"/>
        <v>40</v>
      </c>
      <c r="LY8" s="5">
        <f t="shared" si="10"/>
        <v>40</v>
      </c>
      <c r="LZ8" s="5">
        <f t="shared" si="10"/>
        <v>40</v>
      </c>
      <c r="MA8" s="5">
        <f t="shared" si="10"/>
        <v>40</v>
      </c>
      <c r="MB8" s="5">
        <f t="shared" si="10"/>
        <v>40</v>
      </c>
      <c r="MC8" s="5">
        <f t="shared" si="10"/>
        <v>40</v>
      </c>
      <c r="MD8" s="5">
        <f t="shared" si="10"/>
        <v>41</v>
      </c>
      <c r="ME8" s="5">
        <f t="shared" si="10"/>
        <v>41</v>
      </c>
      <c r="MF8" s="5">
        <f t="shared" si="10"/>
        <v>41</v>
      </c>
      <c r="MG8" s="5">
        <f t="shared" si="10"/>
        <v>41</v>
      </c>
      <c r="MH8" s="5">
        <f t="shared" si="10"/>
        <v>41</v>
      </c>
      <c r="MI8" s="5">
        <f t="shared" si="10"/>
        <v>41</v>
      </c>
      <c r="MJ8" s="5">
        <f t="shared" ref="MJ8:NZ8" si="11">+_xlfn.ISOWEEKNUM(MJ9)</f>
        <v>41</v>
      </c>
      <c r="MK8" s="5">
        <f t="shared" si="11"/>
        <v>42</v>
      </c>
      <c r="ML8" s="5">
        <f t="shared" si="11"/>
        <v>42</v>
      </c>
      <c r="MM8" s="5">
        <f t="shared" si="11"/>
        <v>42</v>
      </c>
      <c r="MN8" s="5">
        <f t="shared" si="11"/>
        <v>42</v>
      </c>
      <c r="MO8" s="5">
        <f t="shared" si="11"/>
        <v>42</v>
      </c>
      <c r="MP8" s="5">
        <f t="shared" si="11"/>
        <v>42</v>
      </c>
      <c r="MQ8" s="5">
        <f t="shared" si="11"/>
        <v>42</v>
      </c>
      <c r="MR8" s="5">
        <f t="shared" si="11"/>
        <v>43</v>
      </c>
      <c r="MS8" s="5">
        <f t="shared" si="11"/>
        <v>43</v>
      </c>
      <c r="MT8" s="5">
        <f t="shared" si="11"/>
        <v>43</v>
      </c>
      <c r="MU8" s="5">
        <f t="shared" si="11"/>
        <v>43</v>
      </c>
      <c r="MV8" s="5">
        <f t="shared" si="11"/>
        <v>43</v>
      </c>
      <c r="MW8" s="5">
        <f t="shared" si="11"/>
        <v>43</v>
      </c>
      <c r="MX8" s="5">
        <f t="shared" si="11"/>
        <v>43</v>
      </c>
      <c r="MY8" s="5">
        <f t="shared" si="11"/>
        <v>44</v>
      </c>
      <c r="MZ8" s="5">
        <f t="shared" si="11"/>
        <v>44</v>
      </c>
      <c r="NA8" s="5">
        <f t="shared" si="11"/>
        <v>44</v>
      </c>
      <c r="NB8" s="5">
        <f t="shared" si="11"/>
        <v>44</v>
      </c>
      <c r="NC8" s="5">
        <f t="shared" si="11"/>
        <v>44</v>
      </c>
      <c r="ND8" s="5">
        <f t="shared" si="11"/>
        <v>44</v>
      </c>
      <c r="NE8" s="5">
        <f t="shared" si="11"/>
        <v>44</v>
      </c>
      <c r="NF8" s="5">
        <f t="shared" si="11"/>
        <v>45</v>
      </c>
      <c r="NG8" s="5">
        <f t="shared" si="11"/>
        <v>45</v>
      </c>
      <c r="NH8" s="5">
        <f t="shared" si="11"/>
        <v>45</v>
      </c>
      <c r="NI8" s="5">
        <f t="shared" si="11"/>
        <v>45</v>
      </c>
      <c r="NJ8" s="5">
        <f t="shared" si="11"/>
        <v>45</v>
      </c>
      <c r="NK8" s="5">
        <f t="shared" si="11"/>
        <v>45</v>
      </c>
      <c r="NL8" s="5">
        <f t="shared" si="11"/>
        <v>45</v>
      </c>
      <c r="NM8" s="5">
        <f t="shared" si="11"/>
        <v>46</v>
      </c>
      <c r="NN8" s="5">
        <f t="shared" si="11"/>
        <v>46</v>
      </c>
      <c r="NO8" s="5">
        <f t="shared" si="11"/>
        <v>46</v>
      </c>
      <c r="NP8" s="5">
        <f t="shared" si="11"/>
        <v>46</v>
      </c>
      <c r="NQ8" s="5">
        <f t="shared" si="11"/>
        <v>46</v>
      </c>
      <c r="NR8" s="5">
        <f t="shared" si="11"/>
        <v>46</v>
      </c>
      <c r="NS8" s="5">
        <f t="shared" si="11"/>
        <v>46</v>
      </c>
      <c r="NT8" s="5">
        <f t="shared" si="11"/>
        <v>47</v>
      </c>
      <c r="NU8" s="5">
        <f t="shared" si="11"/>
        <v>47</v>
      </c>
      <c r="NV8" s="5">
        <f t="shared" si="11"/>
        <v>47</v>
      </c>
      <c r="NW8" s="5">
        <f t="shared" si="11"/>
        <v>47</v>
      </c>
      <c r="NX8" s="5">
        <f t="shared" si="11"/>
        <v>47</v>
      </c>
      <c r="NY8" s="5">
        <f t="shared" si="11"/>
        <v>47</v>
      </c>
      <c r="NZ8" s="5">
        <f t="shared" si="11"/>
        <v>47</v>
      </c>
    </row>
    <row r="9" spans="2:390" ht="14.65" thickBot="1" x14ac:dyDescent="0.5">
      <c r="O9" s="117"/>
      <c r="P9" s="117"/>
      <c r="Q9" s="117"/>
      <c r="R9" s="13"/>
      <c r="S9" s="7"/>
      <c r="T9" s="7"/>
      <c r="U9" s="7"/>
      <c r="V9" s="7"/>
      <c r="W9" s="7"/>
      <c r="X9" s="7"/>
      <c r="Y9" s="7"/>
      <c r="Z9" s="7" t="s">
        <v>138</v>
      </c>
      <c r="AA9" s="9">
        <v>45985</v>
      </c>
      <c r="AB9" s="9">
        <f t="shared" ref="AB9:CM9" si="12">AA9+1</f>
        <v>45986</v>
      </c>
      <c r="AC9" s="9">
        <f t="shared" si="12"/>
        <v>45987</v>
      </c>
      <c r="AD9" s="9">
        <f t="shared" si="12"/>
        <v>45988</v>
      </c>
      <c r="AE9" s="9">
        <f t="shared" si="12"/>
        <v>45989</v>
      </c>
      <c r="AF9" s="9">
        <f t="shared" si="12"/>
        <v>45990</v>
      </c>
      <c r="AG9" s="9">
        <f t="shared" si="12"/>
        <v>45991</v>
      </c>
      <c r="AH9" s="9">
        <f t="shared" si="12"/>
        <v>45992</v>
      </c>
      <c r="AI9" s="9">
        <f t="shared" si="12"/>
        <v>45993</v>
      </c>
      <c r="AJ9" s="9">
        <f t="shared" si="12"/>
        <v>45994</v>
      </c>
      <c r="AK9" s="9">
        <f t="shared" si="12"/>
        <v>45995</v>
      </c>
      <c r="AL9" s="9">
        <f t="shared" si="12"/>
        <v>45996</v>
      </c>
      <c r="AM9" s="9">
        <f t="shared" si="12"/>
        <v>45997</v>
      </c>
      <c r="AN9" s="9">
        <f t="shared" si="12"/>
        <v>45998</v>
      </c>
      <c r="AO9" s="9">
        <f t="shared" si="12"/>
        <v>45999</v>
      </c>
      <c r="AP9" s="9">
        <f t="shared" si="12"/>
        <v>46000</v>
      </c>
      <c r="AQ9" s="9">
        <f t="shared" si="12"/>
        <v>46001</v>
      </c>
      <c r="AR9" s="9">
        <f t="shared" si="12"/>
        <v>46002</v>
      </c>
      <c r="AS9" s="9">
        <f t="shared" si="12"/>
        <v>46003</v>
      </c>
      <c r="AT9" s="9">
        <f t="shared" si="12"/>
        <v>46004</v>
      </c>
      <c r="AU9" s="9">
        <f t="shared" si="12"/>
        <v>46005</v>
      </c>
      <c r="AV9" s="9">
        <f t="shared" si="12"/>
        <v>46006</v>
      </c>
      <c r="AW9" s="9">
        <f t="shared" si="12"/>
        <v>46007</v>
      </c>
      <c r="AX9" s="9">
        <f t="shared" si="12"/>
        <v>46008</v>
      </c>
      <c r="AY9" s="9">
        <f t="shared" si="12"/>
        <v>46009</v>
      </c>
      <c r="AZ9" s="9">
        <f t="shared" si="12"/>
        <v>46010</v>
      </c>
      <c r="BA9" s="9">
        <f t="shared" si="12"/>
        <v>46011</v>
      </c>
      <c r="BB9" s="9">
        <f t="shared" si="12"/>
        <v>46012</v>
      </c>
      <c r="BC9" s="9">
        <f t="shared" si="12"/>
        <v>46013</v>
      </c>
      <c r="BD9" s="9">
        <f t="shared" si="12"/>
        <v>46014</v>
      </c>
      <c r="BE9" s="9">
        <f t="shared" si="12"/>
        <v>46015</v>
      </c>
      <c r="BF9" s="9">
        <f t="shared" si="12"/>
        <v>46016</v>
      </c>
      <c r="BG9" s="9">
        <f t="shared" si="12"/>
        <v>46017</v>
      </c>
      <c r="BH9" s="9">
        <f t="shared" si="12"/>
        <v>46018</v>
      </c>
      <c r="BI9" s="9">
        <f t="shared" si="12"/>
        <v>46019</v>
      </c>
      <c r="BJ9" s="9">
        <f t="shared" si="12"/>
        <v>46020</v>
      </c>
      <c r="BK9" s="9">
        <f t="shared" si="12"/>
        <v>46021</v>
      </c>
      <c r="BL9" s="9">
        <f t="shared" si="12"/>
        <v>46022</v>
      </c>
      <c r="BM9" s="9">
        <f t="shared" si="12"/>
        <v>46023</v>
      </c>
      <c r="BN9" s="9">
        <f t="shared" si="12"/>
        <v>46024</v>
      </c>
      <c r="BO9" s="9">
        <f t="shared" si="12"/>
        <v>46025</v>
      </c>
      <c r="BP9" s="9">
        <f t="shared" si="12"/>
        <v>46026</v>
      </c>
      <c r="BQ9" s="9">
        <f t="shared" si="12"/>
        <v>46027</v>
      </c>
      <c r="BR9" s="9">
        <f t="shared" si="12"/>
        <v>46028</v>
      </c>
      <c r="BS9" s="9">
        <f t="shared" si="12"/>
        <v>46029</v>
      </c>
      <c r="BT9" s="9">
        <f t="shared" si="12"/>
        <v>46030</v>
      </c>
      <c r="BU9" s="9">
        <f t="shared" si="12"/>
        <v>46031</v>
      </c>
      <c r="BV9" s="9">
        <f t="shared" si="12"/>
        <v>46032</v>
      </c>
      <c r="BW9" s="9">
        <f t="shared" si="12"/>
        <v>46033</v>
      </c>
      <c r="BX9" s="9">
        <f t="shared" si="12"/>
        <v>46034</v>
      </c>
      <c r="BY9" s="9">
        <f t="shared" si="12"/>
        <v>46035</v>
      </c>
      <c r="BZ9" s="9">
        <f t="shared" si="12"/>
        <v>46036</v>
      </c>
      <c r="CA9" s="9">
        <f t="shared" si="12"/>
        <v>46037</v>
      </c>
      <c r="CB9" s="9">
        <f t="shared" si="12"/>
        <v>46038</v>
      </c>
      <c r="CC9" s="9">
        <f t="shared" si="12"/>
        <v>46039</v>
      </c>
      <c r="CD9" s="9">
        <f t="shared" si="12"/>
        <v>46040</v>
      </c>
      <c r="CE9" s="9">
        <f t="shared" si="12"/>
        <v>46041</v>
      </c>
      <c r="CF9" s="9">
        <f t="shared" si="12"/>
        <v>46042</v>
      </c>
      <c r="CG9" s="9">
        <f t="shared" si="12"/>
        <v>46043</v>
      </c>
      <c r="CH9" s="9">
        <f t="shared" si="12"/>
        <v>46044</v>
      </c>
      <c r="CI9" s="9">
        <f t="shared" si="12"/>
        <v>46045</v>
      </c>
      <c r="CJ9" s="9">
        <f t="shared" si="12"/>
        <v>46046</v>
      </c>
      <c r="CK9" s="9">
        <f t="shared" si="12"/>
        <v>46047</v>
      </c>
      <c r="CL9" s="9">
        <f t="shared" si="12"/>
        <v>46048</v>
      </c>
      <c r="CM9" s="9">
        <f t="shared" si="12"/>
        <v>46049</v>
      </c>
      <c r="CN9" s="9">
        <f t="shared" ref="CN9:EY9" si="13">CM9+1</f>
        <v>46050</v>
      </c>
      <c r="CO9" s="9">
        <f t="shared" si="13"/>
        <v>46051</v>
      </c>
      <c r="CP9" s="9">
        <f t="shared" si="13"/>
        <v>46052</v>
      </c>
      <c r="CQ9" s="9">
        <f t="shared" si="13"/>
        <v>46053</v>
      </c>
      <c r="CR9" s="9">
        <f t="shared" si="13"/>
        <v>46054</v>
      </c>
      <c r="CS9" s="9">
        <f t="shared" si="13"/>
        <v>46055</v>
      </c>
      <c r="CT9" s="9">
        <f t="shared" si="13"/>
        <v>46056</v>
      </c>
      <c r="CU9" s="9">
        <f t="shared" si="13"/>
        <v>46057</v>
      </c>
      <c r="CV9" s="9">
        <f t="shared" si="13"/>
        <v>46058</v>
      </c>
      <c r="CW9" s="9">
        <f t="shared" si="13"/>
        <v>46059</v>
      </c>
      <c r="CX9" s="9">
        <f t="shared" si="13"/>
        <v>46060</v>
      </c>
      <c r="CY9" s="9">
        <f t="shared" si="13"/>
        <v>46061</v>
      </c>
      <c r="CZ9" s="9">
        <f t="shared" si="13"/>
        <v>46062</v>
      </c>
      <c r="DA9" s="9">
        <f t="shared" si="13"/>
        <v>46063</v>
      </c>
      <c r="DB9" s="9">
        <f t="shared" si="13"/>
        <v>46064</v>
      </c>
      <c r="DC9" s="9">
        <f t="shared" si="13"/>
        <v>46065</v>
      </c>
      <c r="DD9" s="9">
        <f t="shared" si="13"/>
        <v>46066</v>
      </c>
      <c r="DE9" s="9">
        <f t="shared" si="13"/>
        <v>46067</v>
      </c>
      <c r="DF9" s="9">
        <f t="shared" si="13"/>
        <v>46068</v>
      </c>
      <c r="DG9" s="9">
        <f t="shared" si="13"/>
        <v>46069</v>
      </c>
      <c r="DH9" s="9">
        <f t="shared" si="13"/>
        <v>46070</v>
      </c>
      <c r="DI9" s="9">
        <f t="shared" si="13"/>
        <v>46071</v>
      </c>
      <c r="DJ9" s="9">
        <f t="shared" si="13"/>
        <v>46072</v>
      </c>
      <c r="DK9" s="9">
        <f t="shared" si="13"/>
        <v>46073</v>
      </c>
      <c r="DL9" s="9">
        <f t="shared" si="13"/>
        <v>46074</v>
      </c>
      <c r="DM9" s="9">
        <f t="shared" si="13"/>
        <v>46075</v>
      </c>
      <c r="DN9" s="9">
        <f t="shared" si="13"/>
        <v>46076</v>
      </c>
      <c r="DO9" s="9">
        <f t="shared" si="13"/>
        <v>46077</v>
      </c>
      <c r="DP9" s="9">
        <f t="shared" si="13"/>
        <v>46078</v>
      </c>
      <c r="DQ9" s="9">
        <f t="shared" si="13"/>
        <v>46079</v>
      </c>
      <c r="DR9" s="9">
        <f t="shared" si="13"/>
        <v>46080</v>
      </c>
      <c r="DS9" s="9">
        <f t="shared" si="13"/>
        <v>46081</v>
      </c>
      <c r="DT9" s="9">
        <f t="shared" si="13"/>
        <v>46082</v>
      </c>
      <c r="DU9" s="9">
        <f t="shared" si="13"/>
        <v>46083</v>
      </c>
      <c r="DV9" s="9">
        <f t="shared" si="13"/>
        <v>46084</v>
      </c>
      <c r="DW9" s="9">
        <f t="shared" si="13"/>
        <v>46085</v>
      </c>
      <c r="DX9" s="9">
        <f t="shared" si="13"/>
        <v>46086</v>
      </c>
      <c r="DY9" s="9">
        <f t="shared" si="13"/>
        <v>46087</v>
      </c>
      <c r="DZ9" s="9">
        <f t="shared" si="13"/>
        <v>46088</v>
      </c>
      <c r="EA9" s="9">
        <f t="shared" si="13"/>
        <v>46089</v>
      </c>
      <c r="EB9" s="9">
        <f t="shared" si="13"/>
        <v>46090</v>
      </c>
      <c r="EC9" s="9">
        <f t="shared" si="13"/>
        <v>46091</v>
      </c>
      <c r="ED9" s="9">
        <f t="shared" si="13"/>
        <v>46092</v>
      </c>
      <c r="EE9" s="9">
        <f t="shared" si="13"/>
        <v>46093</v>
      </c>
      <c r="EF9" s="9">
        <f t="shared" si="13"/>
        <v>46094</v>
      </c>
      <c r="EG9" s="9">
        <f t="shared" si="13"/>
        <v>46095</v>
      </c>
      <c r="EH9" s="9">
        <f t="shared" si="13"/>
        <v>46096</v>
      </c>
      <c r="EI9" s="9">
        <f t="shared" si="13"/>
        <v>46097</v>
      </c>
      <c r="EJ9" s="9">
        <f t="shared" si="13"/>
        <v>46098</v>
      </c>
      <c r="EK9" s="9">
        <f t="shared" si="13"/>
        <v>46099</v>
      </c>
      <c r="EL9" s="9">
        <f t="shared" si="13"/>
        <v>46100</v>
      </c>
      <c r="EM9" s="9">
        <f t="shared" si="13"/>
        <v>46101</v>
      </c>
      <c r="EN9" s="9">
        <f t="shared" si="13"/>
        <v>46102</v>
      </c>
      <c r="EO9" s="9">
        <f t="shared" si="13"/>
        <v>46103</v>
      </c>
      <c r="EP9" s="9">
        <f t="shared" si="13"/>
        <v>46104</v>
      </c>
      <c r="EQ9" s="9">
        <f t="shared" si="13"/>
        <v>46105</v>
      </c>
      <c r="ER9" s="9">
        <f t="shared" si="13"/>
        <v>46106</v>
      </c>
      <c r="ES9" s="9">
        <f t="shared" si="13"/>
        <v>46107</v>
      </c>
      <c r="ET9" s="9">
        <f t="shared" si="13"/>
        <v>46108</v>
      </c>
      <c r="EU9" s="9">
        <f t="shared" si="13"/>
        <v>46109</v>
      </c>
      <c r="EV9" s="9">
        <f t="shared" si="13"/>
        <v>46110</v>
      </c>
      <c r="EW9" s="9">
        <f t="shared" si="13"/>
        <v>46111</v>
      </c>
      <c r="EX9" s="9">
        <f t="shared" si="13"/>
        <v>46112</v>
      </c>
      <c r="EY9" s="9">
        <f t="shared" si="13"/>
        <v>46113</v>
      </c>
      <c r="EZ9" s="9">
        <f t="shared" ref="EZ9:HK9" si="14">EY9+1</f>
        <v>46114</v>
      </c>
      <c r="FA9" s="9">
        <f t="shared" si="14"/>
        <v>46115</v>
      </c>
      <c r="FB9" s="9">
        <f t="shared" si="14"/>
        <v>46116</v>
      </c>
      <c r="FC9" s="9">
        <f t="shared" si="14"/>
        <v>46117</v>
      </c>
      <c r="FD9" s="9">
        <f t="shared" si="14"/>
        <v>46118</v>
      </c>
      <c r="FE9" s="9">
        <f t="shared" si="14"/>
        <v>46119</v>
      </c>
      <c r="FF9" s="9">
        <f t="shared" si="14"/>
        <v>46120</v>
      </c>
      <c r="FG9" s="9">
        <f t="shared" si="14"/>
        <v>46121</v>
      </c>
      <c r="FH9" s="9">
        <f t="shared" si="14"/>
        <v>46122</v>
      </c>
      <c r="FI9" s="9">
        <f t="shared" si="14"/>
        <v>46123</v>
      </c>
      <c r="FJ9" s="185">
        <f t="shared" si="14"/>
        <v>46124</v>
      </c>
      <c r="FK9" s="9">
        <f t="shared" si="14"/>
        <v>46125</v>
      </c>
      <c r="FL9" s="9">
        <f t="shared" si="14"/>
        <v>46126</v>
      </c>
      <c r="FM9" s="9">
        <f t="shared" si="14"/>
        <v>46127</v>
      </c>
      <c r="FN9" s="9">
        <f t="shared" si="14"/>
        <v>46128</v>
      </c>
      <c r="FO9" s="9">
        <f t="shared" si="14"/>
        <v>46129</v>
      </c>
      <c r="FP9" s="9">
        <f t="shared" si="14"/>
        <v>46130</v>
      </c>
      <c r="FQ9" s="9">
        <f t="shared" si="14"/>
        <v>46131</v>
      </c>
      <c r="FR9" s="9">
        <f t="shared" si="14"/>
        <v>46132</v>
      </c>
      <c r="FS9" s="9">
        <f t="shared" si="14"/>
        <v>46133</v>
      </c>
      <c r="FT9" s="9">
        <f t="shared" si="14"/>
        <v>46134</v>
      </c>
      <c r="FU9" s="9">
        <f t="shared" si="14"/>
        <v>46135</v>
      </c>
      <c r="FV9" s="9">
        <f t="shared" si="14"/>
        <v>46136</v>
      </c>
      <c r="FW9" s="9">
        <f t="shared" si="14"/>
        <v>46137</v>
      </c>
      <c r="FX9" s="9">
        <f t="shared" si="14"/>
        <v>46138</v>
      </c>
      <c r="FY9" s="9">
        <f t="shared" si="14"/>
        <v>46139</v>
      </c>
      <c r="FZ9" s="9">
        <f t="shared" si="14"/>
        <v>46140</v>
      </c>
      <c r="GA9" s="9">
        <f t="shared" si="14"/>
        <v>46141</v>
      </c>
      <c r="GB9" s="9">
        <f t="shared" si="14"/>
        <v>46142</v>
      </c>
      <c r="GC9" s="9">
        <f t="shared" si="14"/>
        <v>46143</v>
      </c>
      <c r="GD9" s="9">
        <f t="shared" si="14"/>
        <v>46144</v>
      </c>
      <c r="GE9" s="9">
        <f t="shared" si="14"/>
        <v>46145</v>
      </c>
      <c r="GF9" s="9">
        <f t="shared" si="14"/>
        <v>46146</v>
      </c>
      <c r="GG9" s="9">
        <f t="shared" si="14"/>
        <v>46147</v>
      </c>
      <c r="GH9" s="9">
        <f t="shared" si="14"/>
        <v>46148</v>
      </c>
      <c r="GI9" s="9">
        <f t="shared" si="14"/>
        <v>46149</v>
      </c>
      <c r="GJ9" s="9">
        <f t="shared" si="14"/>
        <v>46150</v>
      </c>
      <c r="GK9" s="9">
        <f t="shared" si="14"/>
        <v>46151</v>
      </c>
      <c r="GL9" s="9">
        <f t="shared" si="14"/>
        <v>46152</v>
      </c>
      <c r="GM9" s="9">
        <f t="shared" si="14"/>
        <v>46153</v>
      </c>
      <c r="GN9" s="9">
        <f t="shared" si="14"/>
        <v>46154</v>
      </c>
      <c r="GO9" s="9">
        <f t="shared" si="14"/>
        <v>46155</v>
      </c>
      <c r="GP9" s="9">
        <f t="shared" si="14"/>
        <v>46156</v>
      </c>
      <c r="GQ9" s="9">
        <f t="shared" si="14"/>
        <v>46157</v>
      </c>
      <c r="GR9" s="9">
        <f t="shared" si="14"/>
        <v>46158</v>
      </c>
      <c r="GS9" s="9">
        <f t="shared" si="14"/>
        <v>46159</v>
      </c>
      <c r="GT9" s="9">
        <f t="shared" si="14"/>
        <v>46160</v>
      </c>
      <c r="GU9" s="9">
        <f t="shared" si="14"/>
        <v>46161</v>
      </c>
      <c r="GV9" s="9">
        <f t="shared" si="14"/>
        <v>46162</v>
      </c>
      <c r="GW9" s="9">
        <f t="shared" si="14"/>
        <v>46163</v>
      </c>
      <c r="GX9" s="9">
        <f t="shared" si="14"/>
        <v>46164</v>
      </c>
      <c r="GY9" s="9">
        <f t="shared" si="14"/>
        <v>46165</v>
      </c>
      <c r="GZ9" s="9">
        <f t="shared" si="14"/>
        <v>46166</v>
      </c>
      <c r="HA9" s="9">
        <f t="shared" si="14"/>
        <v>46167</v>
      </c>
      <c r="HB9" s="9">
        <f t="shared" si="14"/>
        <v>46168</v>
      </c>
      <c r="HC9" s="9">
        <f t="shared" si="14"/>
        <v>46169</v>
      </c>
      <c r="HD9" s="9">
        <f t="shared" si="14"/>
        <v>46170</v>
      </c>
      <c r="HE9" s="9">
        <f t="shared" si="14"/>
        <v>46171</v>
      </c>
      <c r="HF9" s="9">
        <f t="shared" si="14"/>
        <v>46172</v>
      </c>
      <c r="HG9" s="9">
        <f t="shared" si="14"/>
        <v>46173</v>
      </c>
      <c r="HH9" s="9">
        <f t="shared" si="14"/>
        <v>46174</v>
      </c>
      <c r="HI9" s="9">
        <f t="shared" si="14"/>
        <v>46175</v>
      </c>
      <c r="HJ9" s="9">
        <f t="shared" si="14"/>
        <v>46176</v>
      </c>
      <c r="HK9" s="9">
        <f t="shared" si="14"/>
        <v>46177</v>
      </c>
      <c r="HL9" s="9">
        <f t="shared" ref="HL9:JW9" si="15">HK9+1</f>
        <v>46178</v>
      </c>
      <c r="HM9" s="9">
        <f t="shared" si="15"/>
        <v>46179</v>
      </c>
      <c r="HN9" s="9">
        <f t="shared" si="15"/>
        <v>46180</v>
      </c>
      <c r="HO9" s="9">
        <f t="shared" si="15"/>
        <v>46181</v>
      </c>
      <c r="HP9" s="9">
        <f t="shared" si="15"/>
        <v>46182</v>
      </c>
      <c r="HQ9" s="9">
        <f t="shared" si="15"/>
        <v>46183</v>
      </c>
      <c r="HR9" s="9">
        <f t="shared" si="15"/>
        <v>46184</v>
      </c>
      <c r="HS9" s="9">
        <f t="shared" si="15"/>
        <v>46185</v>
      </c>
      <c r="HT9" s="9">
        <f t="shared" si="15"/>
        <v>46186</v>
      </c>
      <c r="HU9" s="9">
        <f t="shared" si="15"/>
        <v>46187</v>
      </c>
      <c r="HV9" s="9">
        <f t="shared" si="15"/>
        <v>46188</v>
      </c>
      <c r="HW9" s="9">
        <f t="shared" si="15"/>
        <v>46189</v>
      </c>
      <c r="HX9" s="9">
        <f t="shared" si="15"/>
        <v>46190</v>
      </c>
      <c r="HY9" s="9">
        <f t="shared" si="15"/>
        <v>46191</v>
      </c>
      <c r="HZ9" s="9">
        <f t="shared" si="15"/>
        <v>46192</v>
      </c>
      <c r="IA9" s="9">
        <f t="shared" si="15"/>
        <v>46193</v>
      </c>
      <c r="IB9" s="9">
        <f t="shared" si="15"/>
        <v>46194</v>
      </c>
      <c r="IC9" s="9">
        <f t="shared" si="15"/>
        <v>46195</v>
      </c>
      <c r="ID9" s="9">
        <f t="shared" si="15"/>
        <v>46196</v>
      </c>
      <c r="IE9" s="9">
        <f t="shared" si="15"/>
        <v>46197</v>
      </c>
      <c r="IF9" s="9">
        <f t="shared" si="15"/>
        <v>46198</v>
      </c>
      <c r="IG9" s="9">
        <f t="shared" si="15"/>
        <v>46199</v>
      </c>
      <c r="IH9" s="9">
        <f t="shared" si="15"/>
        <v>46200</v>
      </c>
      <c r="II9" s="9">
        <f t="shared" si="15"/>
        <v>46201</v>
      </c>
      <c r="IJ9" s="9">
        <f t="shared" si="15"/>
        <v>46202</v>
      </c>
      <c r="IK9" s="9">
        <f t="shared" si="15"/>
        <v>46203</v>
      </c>
      <c r="IL9" s="9">
        <f t="shared" si="15"/>
        <v>46204</v>
      </c>
      <c r="IM9" s="9">
        <f t="shared" si="15"/>
        <v>46205</v>
      </c>
      <c r="IN9" s="9">
        <f t="shared" si="15"/>
        <v>46206</v>
      </c>
      <c r="IO9" s="9">
        <f t="shared" si="15"/>
        <v>46207</v>
      </c>
      <c r="IP9" s="9">
        <f t="shared" si="15"/>
        <v>46208</v>
      </c>
      <c r="IQ9" s="9">
        <f t="shared" si="15"/>
        <v>46209</v>
      </c>
      <c r="IR9" s="9">
        <f t="shared" si="15"/>
        <v>46210</v>
      </c>
      <c r="IS9" s="9">
        <f t="shared" si="15"/>
        <v>46211</v>
      </c>
      <c r="IT9" s="9">
        <f t="shared" si="15"/>
        <v>46212</v>
      </c>
      <c r="IU9" s="9">
        <f t="shared" si="15"/>
        <v>46213</v>
      </c>
      <c r="IV9" s="9">
        <f t="shared" si="15"/>
        <v>46214</v>
      </c>
      <c r="IW9" s="9">
        <f t="shared" si="15"/>
        <v>46215</v>
      </c>
      <c r="IX9" s="9">
        <f t="shared" si="15"/>
        <v>46216</v>
      </c>
      <c r="IY9" s="9">
        <f t="shared" si="15"/>
        <v>46217</v>
      </c>
      <c r="IZ9" s="9">
        <f t="shared" si="15"/>
        <v>46218</v>
      </c>
      <c r="JA9" s="9">
        <f t="shared" si="15"/>
        <v>46219</v>
      </c>
      <c r="JB9" s="9">
        <f t="shared" si="15"/>
        <v>46220</v>
      </c>
      <c r="JC9" s="9">
        <f t="shared" si="15"/>
        <v>46221</v>
      </c>
      <c r="JD9" s="9">
        <f t="shared" si="15"/>
        <v>46222</v>
      </c>
      <c r="JE9" s="9">
        <f t="shared" si="15"/>
        <v>46223</v>
      </c>
      <c r="JF9" s="9">
        <f t="shared" si="15"/>
        <v>46224</v>
      </c>
      <c r="JG9" s="9">
        <f t="shared" si="15"/>
        <v>46225</v>
      </c>
      <c r="JH9" s="9">
        <f t="shared" si="15"/>
        <v>46226</v>
      </c>
      <c r="JI9" s="9">
        <f t="shared" si="15"/>
        <v>46227</v>
      </c>
      <c r="JJ9" s="9">
        <f t="shared" si="15"/>
        <v>46228</v>
      </c>
      <c r="JK9" s="9">
        <f t="shared" si="15"/>
        <v>46229</v>
      </c>
      <c r="JL9" s="9">
        <f t="shared" si="15"/>
        <v>46230</v>
      </c>
      <c r="JM9" s="9">
        <f t="shared" si="15"/>
        <v>46231</v>
      </c>
      <c r="JN9" s="9">
        <f t="shared" si="15"/>
        <v>46232</v>
      </c>
      <c r="JO9" s="9">
        <f t="shared" si="15"/>
        <v>46233</v>
      </c>
      <c r="JP9" s="9">
        <f t="shared" si="15"/>
        <v>46234</v>
      </c>
      <c r="JQ9" s="9">
        <f t="shared" si="15"/>
        <v>46235</v>
      </c>
      <c r="JR9" s="9">
        <f t="shared" si="15"/>
        <v>46236</v>
      </c>
      <c r="JS9" s="9">
        <f t="shared" si="15"/>
        <v>46237</v>
      </c>
      <c r="JT9" s="9">
        <f t="shared" si="15"/>
        <v>46238</v>
      </c>
      <c r="JU9" s="9">
        <f t="shared" si="15"/>
        <v>46239</v>
      </c>
      <c r="JV9" s="9">
        <f t="shared" si="15"/>
        <v>46240</v>
      </c>
      <c r="JW9" s="9">
        <f t="shared" si="15"/>
        <v>46241</v>
      </c>
      <c r="JX9" s="9">
        <f t="shared" ref="JX9:MI9" si="16">JW9+1</f>
        <v>46242</v>
      </c>
      <c r="JY9" s="9">
        <f t="shared" si="16"/>
        <v>46243</v>
      </c>
      <c r="JZ9" s="9">
        <f t="shared" si="16"/>
        <v>46244</v>
      </c>
      <c r="KA9" s="9">
        <f t="shared" si="16"/>
        <v>46245</v>
      </c>
      <c r="KB9" s="9">
        <f t="shared" si="16"/>
        <v>46246</v>
      </c>
      <c r="KC9" s="9">
        <f t="shared" si="16"/>
        <v>46247</v>
      </c>
      <c r="KD9" s="9">
        <f t="shared" si="16"/>
        <v>46248</v>
      </c>
      <c r="KE9" s="9">
        <f t="shared" si="16"/>
        <v>46249</v>
      </c>
      <c r="KF9" s="9">
        <f t="shared" si="16"/>
        <v>46250</v>
      </c>
      <c r="KG9" s="9">
        <f t="shared" si="16"/>
        <v>46251</v>
      </c>
      <c r="KH9" s="9">
        <f t="shared" si="16"/>
        <v>46252</v>
      </c>
      <c r="KI9" s="9">
        <f t="shared" si="16"/>
        <v>46253</v>
      </c>
      <c r="KJ9" s="9">
        <f t="shared" si="16"/>
        <v>46254</v>
      </c>
      <c r="KK9" s="9">
        <f t="shared" si="16"/>
        <v>46255</v>
      </c>
      <c r="KL9" s="9">
        <f t="shared" si="16"/>
        <v>46256</v>
      </c>
      <c r="KM9" s="9">
        <f t="shared" si="16"/>
        <v>46257</v>
      </c>
      <c r="KN9" s="9">
        <f t="shared" si="16"/>
        <v>46258</v>
      </c>
      <c r="KO9" s="9">
        <f t="shared" si="16"/>
        <v>46259</v>
      </c>
      <c r="KP9" s="9">
        <f t="shared" si="16"/>
        <v>46260</v>
      </c>
      <c r="KQ9" s="9">
        <f t="shared" si="16"/>
        <v>46261</v>
      </c>
      <c r="KR9" s="9">
        <f t="shared" si="16"/>
        <v>46262</v>
      </c>
      <c r="KS9" s="9">
        <f t="shared" si="16"/>
        <v>46263</v>
      </c>
      <c r="KT9" s="9">
        <f t="shared" si="16"/>
        <v>46264</v>
      </c>
      <c r="KU9" s="9">
        <f t="shared" si="16"/>
        <v>46265</v>
      </c>
      <c r="KV9" s="9">
        <f t="shared" si="16"/>
        <v>46266</v>
      </c>
      <c r="KW9" s="9">
        <f t="shared" si="16"/>
        <v>46267</v>
      </c>
      <c r="KX9" s="9">
        <f t="shared" si="16"/>
        <v>46268</v>
      </c>
      <c r="KY9" s="9">
        <f t="shared" si="16"/>
        <v>46269</v>
      </c>
      <c r="KZ9" s="9">
        <f t="shared" si="16"/>
        <v>46270</v>
      </c>
      <c r="LA9" s="9">
        <f t="shared" si="16"/>
        <v>46271</v>
      </c>
      <c r="LB9" s="9">
        <f t="shared" si="16"/>
        <v>46272</v>
      </c>
      <c r="LC9" s="9">
        <f t="shared" si="16"/>
        <v>46273</v>
      </c>
      <c r="LD9" s="9">
        <f t="shared" si="16"/>
        <v>46274</v>
      </c>
      <c r="LE9" s="9">
        <f t="shared" si="16"/>
        <v>46275</v>
      </c>
      <c r="LF9" s="9">
        <f t="shared" si="16"/>
        <v>46276</v>
      </c>
      <c r="LG9" s="9">
        <f t="shared" si="16"/>
        <v>46277</v>
      </c>
      <c r="LH9" s="9">
        <f t="shared" si="16"/>
        <v>46278</v>
      </c>
      <c r="LI9" s="9">
        <f t="shared" si="16"/>
        <v>46279</v>
      </c>
      <c r="LJ9" s="9">
        <f t="shared" si="16"/>
        <v>46280</v>
      </c>
      <c r="LK9" s="9">
        <f t="shared" si="16"/>
        <v>46281</v>
      </c>
      <c r="LL9" s="9">
        <f t="shared" si="16"/>
        <v>46282</v>
      </c>
      <c r="LM9" s="9">
        <f t="shared" si="16"/>
        <v>46283</v>
      </c>
      <c r="LN9" s="9">
        <f t="shared" si="16"/>
        <v>46284</v>
      </c>
      <c r="LO9" s="9">
        <f t="shared" si="16"/>
        <v>46285</v>
      </c>
      <c r="LP9" s="9">
        <f t="shared" si="16"/>
        <v>46286</v>
      </c>
      <c r="LQ9" s="9">
        <f t="shared" si="16"/>
        <v>46287</v>
      </c>
      <c r="LR9" s="9">
        <f t="shared" si="16"/>
        <v>46288</v>
      </c>
      <c r="LS9" s="9">
        <f t="shared" si="16"/>
        <v>46289</v>
      </c>
      <c r="LT9" s="9">
        <f t="shared" si="16"/>
        <v>46290</v>
      </c>
      <c r="LU9" s="9">
        <f t="shared" si="16"/>
        <v>46291</v>
      </c>
      <c r="LV9" s="9">
        <f t="shared" si="16"/>
        <v>46292</v>
      </c>
      <c r="LW9" s="9">
        <f t="shared" si="16"/>
        <v>46293</v>
      </c>
      <c r="LX9" s="9">
        <f t="shared" si="16"/>
        <v>46294</v>
      </c>
      <c r="LY9" s="9">
        <f t="shared" si="16"/>
        <v>46295</v>
      </c>
      <c r="LZ9" s="9">
        <f t="shared" si="16"/>
        <v>46296</v>
      </c>
      <c r="MA9" s="9">
        <f t="shared" si="16"/>
        <v>46297</v>
      </c>
      <c r="MB9" s="9">
        <f t="shared" si="16"/>
        <v>46298</v>
      </c>
      <c r="MC9" s="9">
        <f t="shared" si="16"/>
        <v>46299</v>
      </c>
      <c r="MD9" s="9">
        <f t="shared" si="16"/>
        <v>46300</v>
      </c>
      <c r="ME9" s="9">
        <f t="shared" si="16"/>
        <v>46301</v>
      </c>
      <c r="MF9" s="9">
        <f t="shared" si="16"/>
        <v>46302</v>
      </c>
      <c r="MG9" s="9">
        <f t="shared" si="16"/>
        <v>46303</v>
      </c>
      <c r="MH9" s="9">
        <f t="shared" si="16"/>
        <v>46304</v>
      </c>
      <c r="MI9" s="9">
        <f t="shared" si="16"/>
        <v>46305</v>
      </c>
      <c r="MJ9" s="9">
        <f t="shared" ref="MJ9:NZ9" si="17">MI9+1</f>
        <v>46306</v>
      </c>
      <c r="MK9" s="9">
        <f t="shared" si="17"/>
        <v>46307</v>
      </c>
      <c r="ML9" s="9">
        <f t="shared" si="17"/>
        <v>46308</v>
      </c>
      <c r="MM9" s="9">
        <f t="shared" si="17"/>
        <v>46309</v>
      </c>
      <c r="MN9" s="9">
        <f t="shared" si="17"/>
        <v>46310</v>
      </c>
      <c r="MO9" s="9">
        <f t="shared" si="17"/>
        <v>46311</v>
      </c>
      <c r="MP9" s="9">
        <f t="shared" si="17"/>
        <v>46312</v>
      </c>
      <c r="MQ9" s="9">
        <f t="shared" si="17"/>
        <v>46313</v>
      </c>
      <c r="MR9" s="9">
        <f t="shared" si="17"/>
        <v>46314</v>
      </c>
      <c r="MS9" s="9">
        <f t="shared" si="17"/>
        <v>46315</v>
      </c>
      <c r="MT9" s="9">
        <f t="shared" si="17"/>
        <v>46316</v>
      </c>
      <c r="MU9" s="9">
        <f t="shared" si="17"/>
        <v>46317</v>
      </c>
      <c r="MV9" s="9">
        <f t="shared" si="17"/>
        <v>46318</v>
      </c>
      <c r="MW9" s="9">
        <f t="shared" si="17"/>
        <v>46319</v>
      </c>
      <c r="MX9" s="9">
        <f t="shared" si="17"/>
        <v>46320</v>
      </c>
      <c r="MY9" s="9">
        <f t="shared" si="17"/>
        <v>46321</v>
      </c>
      <c r="MZ9" s="9">
        <f t="shared" si="17"/>
        <v>46322</v>
      </c>
      <c r="NA9" s="9">
        <f t="shared" si="17"/>
        <v>46323</v>
      </c>
      <c r="NB9" s="9">
        <f t="shared" si="17"/>
        <v>46324</v>
      </c>
      <c r="NC9" s="9">
        <f t="shared" si="17"/>
        <v>46325</v>
      </c>
      <c r="ND9" s="9">
        <f t="shared" si="17"/>
        <v>46326</v>
      </c>
      <c r="NE9" s="9">
        <f t="shared" si="17"/>
        <v>46327</v>
      </c>
      <c r="NF9" s="9">
        <f t="shared" si="17"/>
        <v>46328</v>
      </c>
      <c r="NG9" s="9">
        <f t="shared" si="17"/>
        <v>46329</v>
      </c>
      <c r="NH9" s="9">
        <f t="shared" si="17"/>
        <v>46330</v>
      </c>
      <c r="NI9" s="9">
        <f t="shared" si="17"/>
        <v>46331</v>
      </c>
      <c r="NJ9" s="9">
        <f t="shared" si="17"/>
        <v>46332</v>
      </c>
      <c r="NK9" s="9">
        <f t="shared" si="17"/>
        <v>46333</v>
      </c>
      <c r="NL9" s="9">
        <f t="shared" si="17"/>
        <v>46334</v>
      </c>
      <c r="NM9" s="9">
        <f t="shared" si="17"/>
        <v>46335</v>
      </c>
      <c r="NN9" s="9">
        <f t="shared" si="17"/>
        <v>46336</v>
      </c>
      <c r="NO9" s="9">
        <f t="shared" si="17"/>
        <v>46337</v>
      </c>
      <c r="NP9" s="9">
        <f t="shared" si="17"/>
        <v>46338</v>
      </c>
      <c r="NQ9" s="9">
        <f t="shared" si="17"/>
        <v>46339</v>
      </c>
      <c r="NR9" s="9">
        <f t="shared" si="17"/>
        <v>46340</v>
      </c>
      <c r="NS9" s="9">
        <f t="shared" si="17"/>
        <v>46341</v>
      </c>
      <c r="NT9" s="9">
        <f t="shared" si="17"/>
        <v>46342</v>
      </c>
      <c r="NU9" s="9">
        <f t="shared" si="17"/>
        <v>46343</v>
      </c>
      <c r="NV9" s="9">
        <f t="shared" si="17"/>
        <v>46344</v>
      </c>
      <c r="NW9" s="9">
        <f t="shared" si="17"/>
        <v>46345</v>
      </c>
      <c r="NX9" s="9">
        <f t="shared" si="17"/>
        <v>46346</v>
      </c>
      <c r="NY9" s="9">
        <f t="shared" si="17"/>
        <v>46347</v>
      </c>
      <c r="NZ9" s="9">
        <f t="shared" si="17"/>
        <v>46348</v>
      </c>
    </row>
    <row r="10" spans="2:390" ht="43.5" customHeight="1" thickBot="1" x14ac:dyDescent="0.5">
      <c r="E10" s="171" t="s">
        <v>0</v>
      </c>
      <c r="F10" s="49" t="s">
        <v>2</v>
      </c>
      <c r="G10" s="50" t="s">
        <v>76</v>
      </c>
      <c r="H10" s="50" t="s">
        <v>75</v>
      </c>
      <c r="I10" s="50" t="s">
        <v>155</v>
      </c>
      <c r="J10" s="50" t="s">
        <v>77</v>
      </c>
      <c r="K10" s="50" t="s">
        <v>78</v>
      </c>
      <c r="L10" s="50" t="s">
        <v>79</v>
      </c>
      <c r="M10" s="50" t="s">
        <v>54</v>
      </c>
      <c r="N10" s="50" t="s">
        <v>55</v>
      </c>
      <c r="O10" s="50" t="s">
        <v>56</v>
      </c>
      <c r="P10" s="50"/>
      <c r="Q10" s="50"/>
      <c r="R10" s="50" t="s">
        <v>1</v>
      </c>
      <c r="S10" s="50" t="str">
        <f>IF($Z$9="x","Ende nach [AT]","Endet nach [Tagen]")</f>
        <v>Ende nach [AT]</v>
      </c>
      <c r="T10" s="50" t="s">
        <v>3</v>
      </c>
      <c r="U10" s="50" t="s">
        <v>4</v>
      </c>
      <c r="V10" s="50"/>
      <c r="W10" s="50" t="str">
        <f>+"KW"&amp;W13&amp;" Progress"</f>
        <v>KW2 Progress</v>
      </c>
      <c r="X10" s="50" t="str">
        <f>+"Cumulative Progress =&lt;"&amp;"KW"&amp;W13</f>
        <v>Cumulative Progress =&lt;KW2</v>
      </c>
      <c r="Y10" s="204"/>
      <c r="Z10" s="172" t="s">
        <v>5</v>
      </c>
      <c r="AA10" s="6"/>
      <c r="AB10" s="6"/>
      <c r="AC10" s="6"/>
      <c r="AD10" s="6"/>
      <c r="AE10" s="6"/>
      <c r="AF10" s="6"/>
      <c r="AG10" s="46" t="s">
        <v>52</v>
      </c>
      <c r="AH10" s="6"/>
      <c r="AI10" s="46"/>
      <c r="AJ10" s="6"/>
      <c r="AK10" s="46"/>
      <c r="AL10" s="46" t="s">
        <v>52</v>
      </c>
      <c r="AM10" s="46" t="s">
        <v>52</v>
      </c>
      <c r="AN10" s="46" t="s">
        <v>52</v>
      </c>
      <c r="AR10" s="6"/>
      <c r="AS10" s="6"/>
      <c r="AT10" s="6"/>
      <c r="AU10" s="46" t="s">
        <v>52</v>
      </c>
      <c r="AV10" s="46"/>
      <c r="AW10" s="46"/>
      <c r="AX10" s="6"/>
      <c r="AY10" s="6"/>
      <c r="AZ10" s="46" t="s">
        <v>52</v>
      </c>
      <c r="BA10" s="46" t="s">
        <v>52</v>
      </c>
      <c r="BB10" s="46" t="s">
        <v>52</v>
      </c>
      <c r="BC10" s="6"/>
      <c r="BD10" s="46"/>
      <c r="BE10" s="46"/>
      <c r="BF10" s="6"/>
      <c r="BG10" s="6"/>
      <c r="BH10" s="6"/>
      <c r="BI10" s="6"/>
      <c r="BJ10" s="6"/>
      <c r="BK10" s="46"/>
      <c r="BL10" s="6"/>
      <c r="BM10" s="6"/>
      <c r="BN10" s="6"/>
      <c r="BO10" s="46"/>
      <c r="BP10" s="6"/>
      <c r="BQ10" s="6"/>
      <c r="BR10" s="46"/>
      <c r="BS10" s="6"/>
      <c r="BT10" s="6"/>
      <c r="BU10" s="6"/>
      <c r="BV10" s="6"/>
      <c r="BW10" s="6"/>
      <c r="BX10" s="6"/>
      <c r="BY10" s="4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18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</row>
    <row r="11" spans="2:390" ht="29.25" customHeight="1" thickBot="1" x14ac:dyDescent="0.5">
      <c r="E11" s="58"/>
      <c r="F11" s="43"/>
      <c r="G11" s="43"/>
      <c r="H11" s="43"/>
      <c r="I11" s="43"/>
      <c r="J11" s="43"/>
      <c r="K11" s="43"/>
      <c r="L11" s="43"/>
      <c r="M11" s="43"/>
      <c r="N11" s="43"/>
      <c r="O11" s="169">
        <f>+O13+O46+O90+O126</f>
        <v>4169</v>
      </c>
      <c r="P11" s="43"/>
      <c r="Q11" s="43"/>
      <c r="R11" s="44"/>
      <c r="S11" s="44"/>
      <c r="T11" s="44"/>
      <c r="U11" s="170">
        <f>+(O13*U13+O46*U46+O90*U90+O126*U126)/O11</f>
        <v>8.848464229744589E-2</v>
      </c>
      <c r="V11" s="170"/>
      <c r="W11" s="157">
        <f>HLOOKUP(W13,AA8:PLB9,2,FALSE)+6</f>
        <v>46033</v>
      </c>
      <c r="X11" s="44"/>
      <c r="Y11" s="44"/>
      <c r="Z11" s="45"/>
      <c r="AA11" s="173">
        <f t="shared" ref="AA11:AY11" si="18">SUM(AA14:AA181)</f>
        <v>15</v>
      </c>
      <c r="AB11" s="173">
        <f t="shared" si="18"/>
        <v>13</v>
      </c>
      <c r="AC11" s="173">
        <f t="shared" si="18"/>
        <v>15</v>
      </c>
      <c r="AD11" s="173">
        <f t="shared" si="18"/>
        <v>15</v>
      </c>
      <c r="AE11" s="173">
        <f t="shared" si="18"/>
        <v>15</v>
      </c>
      <c r="AF11" s="173">
        <f t="shared" si="18"/>
        <v>15</v>
      </c>
      <c r="AG11" s="183">
        <f>SUM(AG14:AG181)</f>
        <v>0</v>
      </c>
      <c r="AH11" s="173">
        <f t="shared" si="18"/>
        <v>19</v>
      </c>
      <c r="AI11" s="173">
        <f t="shared" si="18"/>
        <v>19</v>
      </c>
      <c r="AJ11" s="173">
        <f t="shared" si="18"/>
        <v>19</v>
      </c>
      <c r="AK11" s="173">
        <f t="shared" si="18"/>
        <v>19</v>
      </c>
      <c r="AL11" s="173">
        <f t="shared" si="18"/>
        <v>19</v>
      </c>
      <c r="AM11" s="173">
        <f t="shared" si="18"/>
        <v>19</v>
      </c>
      <c r="AN11" s="183">
        <f>SUM(AN14:AN181)</f>
        <v>0</v>
      </c>
      <c r="AO11" s="173">
        <f t="shared" si="18"/>
        <v>13</v>
      </c>
      <c r="AP11" s="173">
        <f t="shared" si="18"/>
        <v>13</v>
      </c>
      <c r="AQ11" s="173">
        <f t="shared" si="18"/>
        <v>13</v>
      </c>
      <c r="AR11" s="173">
        <f t="shared" si="18"/>
        <v>17</v>
      </c>
      <c r="AS11" s="173">
        <f t="shared" si="18"/>
        <v>17</v>
      </c>
      <c r="AT11" s="173">
        <f t="shared" si="18"/>
        <v>13</v>
      </c>
      <c r="AU11" s="183">
        <f>SUM(AU14:AU181)</f>
        <v>0</v>
      </c>
      <c r="AV11" s="173">
        <f t="shared" si="18"/>
        <v>13</v>
      </c>
      <c r="AW11" s="173">
        <f t="shared" si="18"/>
        <v>13</v>
      </c>
      <c r="AX11" s="173">
        <f t="shared" si="18"/>
        <v>13</v>
      </c>
      <c r="AY11" s="173">
        <f t="shared" si="18"/>
        <v>13</v>
      </c>
      <c r="AZ11" s="173">
        <f t="shared" ref="AZ11:DK11" si="19">SUM(AZ14:AZ181)</f>
        <v>11</v>
      </c>
      <c r="BA11" s="173">
        <f t="shared" si="19"/>
        <v>2</v>
      </c>
      <c r="BB11" s="183">
        <f t="shared" si="19"/>
        <v>0</v>
      </c>
      <c r="BC11" s="173">
        <f t="shared" si="19"/>
        <v>2</v>
      </c>
      <c r="BD11" s="173">
        <f t="shared" si="19"/>
        <v>2</v>
      </c>
      <c r="BE11" s="173">
        <f t="shared" si="19"/>
        <v>2</v>
      </c>
      <c r="BF11" s="173">
        <f t="shared" si="19"/>
        <v>2</v>
      </c>
      <c r="BG11" s="173">
        <f t="shared" si="19"/>
        <v>2</v>
      </c>
      <c r="BH11" s="173">
        <f t="shared" si="19"/>
        <v>2</v>
      </c>
      <c r="BI11" s="173">
        <f t="shared" si="19"/>
        <v>0</v>
      </c>
      <c r="BJ11" s="173">
        <f t="shared" si="19"/>
        <v>2</v>
      </c>
      <c r="BK11" s="173">
        <f t="shared" si="19"/>
        <v>2</v>
      </c>
      <c r="BL11" s="173">
        <f t="shared" si="19"/>
        <v>2</v>
      </c>
      <c r="BM11" s="173">
        <f t="shared" si="19"/>
        <v>2</v>
      </c>
      <c r="BN11" s="173">
        <f t="shared" si="19"/>
        <v>2</v>
      </c>
      <c r="BO11" s="173">
        <f t="shared" si="19"/>
        <v>2</v>
      </c>
      <c r="BP11" s="173">
        <f t="shared" si="19"/>
        <v>0</v>
      </c>
      <c r="BQ11" s="173">
        <f t="shared" si="19"/>
        <v>2</v>
      </c>
      <c r="BR11" s="173">
        <f t="shared" si="19"/>
        <v>2</v>
      </c>
      <c r="BS11" s="173">
        <f t="shared" si="19"/>
        <v>2</v>
      </c>
      <c r="BT11" s="173">
        <f t="shared" si="19"/>
        <v>2</v>
      </c>
      <c r="BU11" s="173">
        <f t="shared" si="19"/>
        <v>2</v>
      </c>
      <c r="BV11" s="173">
        <f t="shared" si="19"/>
        <v>2</v>
      </c>
      <c r="BW11" s="173">
        <f t="shared" si="19"/>
        <v>0</v>
      </c>
      <c r="BX11" s="173">
        <f t="shared" si="19"/>
        <v>20</v>
      </c>
      <c r="BY11" s="173">
        <f t="shared" si="19"/>
        <v>20</v>
      </c>
      <c r="BZ11" s="173">
        <f t="shared" si="19"/>
        <v>20</v>
      </c>
      <c r="CA11" s="173">
        <f t="shared" si="19"/>
        <v>20</v>
      </c>
      <c r="CB11" s="173">
        <f t="shared" si="19"/>
        <v>20</v>
      </c>
      <c r="CC11" s="173">
        <f t="shared" si="19"/>
        <v>20</v>
      </c>
      <c r="CD11" s="183">
        <f t="shared" si="19"/>
        <v>0</v>
      </c>
      <c r="CE11" s="173">
        <f t="shared" si="19"/>
        <v>20</v>
      </c>
      <c r="CF11" s="173">
        <f t="shared" si="19"/>
        <v>20</v>
      </c>
      <c r="CG11" s="173">
        <f t="shared" si="19"/>
        <v>20</v>
      </c>
      <c r="CH11" s="173">
        <f t="shared" si="19"/>
        <v>20</v>
      </c>
      <c r="CI11" s="173">
        <f t="shared" si="19"/>
        <v>20</v>
      </c>
      <c r="CJ11" s="173">
        <f t="shared" si="19"/>
        <v>20</v>
      </c>
      <c r="CK11" s="183">
        <f t="shared" si="19"/>
        <v>0</v>
      </c>
      <c r="CL11" s="173">
        <f t="shared" si="19"/>
        <v>20</v>
      </c>
      <c r="CM11" s="173">
        <f t="shared" si="19"/>
        <v>20</v>
      </c>
      <c r="CN11" s="173">
        <f t="shared" si="19"/>
        <v>20</v>
      </c>
      <c r="CO11" s="173">
        <f t="shared" si="19"/>
        <v>20</v>
      </c>
      <c r="CP11" s="173">
        <f t="shared" si="19"/>
        <v>20</v>
      </c>
      <c r="CQ11" s="173">
        <f t="shared" si="19"/>
        <v>20</v>
      </c>
      <c r="CR11" s="183">
        <f t="shared" si="19"/>
        <v>0</v>
      </c>
      <c r="CS11" s="173">
        <f t="shared" si="19"/>
        <v>46</v>
      </c>
      <c r="CT11" s="173">
        <f t="shared" si="19"/>
        <v>46</v>
      </c>
      <c r="CU11" s="173">
        <f t="shared" si="19"/>
        <v>46</v>
      </c>
      <c r="CV11" s="173">
        <f t="shared" si="19"/>
        <v>46</v>
      </c>
      <c r="CW11" s="173">
        <f t="shared" si="19"/>
        <v>46</v>
      </c>
      <c r="CX11" s="173">
        <f t="shared" si="19"/>
        <v>46</v>
      </c>
      <c r="CY11" s="183">
        <f t="shared" si="19"/>
        <v>0</v>
      </c>
      <c r="CZ11" s="173">
        <f t="shared" si="19"/>
        <v>45</v>
      </c>
      <c r="DA11" s="173">
        <f t="shared" si="19"/>
        <v>45</v>
      </c>
      <c r="DB11" s="173">
        <f t="shared" si="19"/>
        <v>45</v>
      </c>
      <c r="DC11" s="173">
        <f t="shared" si="19"/>
        <v>45</v>
      </c>
      <c r="DD11" s="173">
        <f t="shared" si="19"/>
        <v>45</v>
      </c>
      <c r="DE11" s="173">
        <f t="shared" si="19"/>
        <v>45</v>
      </c>
      <c r="DF11" s="183">
        <f t="shared" si="19"/>
        <v>0</v>
      </c>
      <c r="DG11" s="173">
        <f t="shared" si="19"/>
        <v>43</v>
      </c>
      <c r="DH11" s="173">
        <f t="shared" si="19"/>
        <v>43</v>
      </c>
      <c r="DI11" s="173">
        <f t="shared" si="19"/>
        <v>43</v>
      </c>
      <c r="DJ11" s="173">
        <f t="shared" si="19"/>
        <v>43</v>
      </c>
      <c r="DK11" s="173">
        <f t="shared" si="19"/>
        <v>43</v>
      </c>
      <c r="DL11" s="173">
        <f t="shared" ref="DL11:FW11" si="20">SUM(DL14:DL181)</f>
        <v>43</v>
      </c>
      <c r="DM11" s="183">
        <f t="shared" si="20"/>
        <v>0</v>
      </c>
      <c r="DN11" s="173">
        <f t="shared" si="20"/>
        <v>43</v>
      </c>
      <c r="DO11" s="173">
        <f t="shared" si="20"/>
        <v>43</v>
      </c>
      <c r="DP11" s="173">
        <f t="shared" si="20"/>
        <v>43</v>
      </c>
      <c r="DQ11" s="173">
        <f t="shared" si="20"/>
        <v>43</v>
      </c>
      <c r="DR11" s="173">
        <f t="shared" si="20"/>
        <v>43</v>
      </c>
      <c r="DS11" s="173">
        <f t="shared" si="20"/>
        <v>37</v>
      </c>
      <c r="DT11" s="183">
        <f t="shared" si="20"/>
        <v>0</v>
      </c>
      <c r="DU11" s="173">
        <f t="shared" si="20"/>
        <v>51</v>
      </c>
      <c r="DV11" s="173">
        <f t="shared" si="20"/>
        <v>51</v>
      </c>
      <c r="DW11" s="173">
        <f t="shared" si="20"/>
        <v>51</v>
      </c>
      <c r="DX11" s="173">
        <f t="shared" si="20"/>
        <v>51</v>
      </c>
      <c r="DY11" s="173">
        <f t="shared" si="20"/>
        <v>51</v>
      </c>
      <c r="DZ11" s="173">
        <f t="shared" si="20"/>
        <v>51</v>
      </c>
      <c r="EA11" s="183">
        <f t="shared" si="20"/>
        <v>0</v>
      </c>
      <c r="EB11" s="173">
        <f t="shared" si="20"/>
        <v>46</v>
      </c>
      <c r="EC11" s="173">
        <f t="shared" si="20"/>
        <v>46</v>
      </c>
      <c r="ED11" s="173">
        <f t="shared" si="20"/>
        <v>46</v>
      </c>
      <c r="EE11" s="173">
        <f t="shared" si="20"/>
        <v>46</v>
      </c>
      <c r="EF11" s="173">
        <f t="shared" si="20"/>
        <v>46</v>
      </c>
      <c r="EG11" s="173">
        <f t="shared" si="20"/>
        <v>46</v>
      </c>
      <c r="EH11" s="183">
        <f t="shared" si="20"/>
        <v>0</v>
      </c>
      <c r="EI11" s="173">
        <f t="shared" si="20"/>
        <v>51</v>
      </c>
      <c r="EJ11" s="173">
        <f t="shared" si="20"/>
        <v>51</v>
      </c>
      <c r="EK11" s="173">
        <f t="shared" si="20"/>
        <v>51</v>
      </c>
      <c r="EL11" s="173">
        <f t="shared" si="20"/>
        <v>55</v>
      </c>
      <c r="EM11" s="173">
        <f t="shared" si="20"/>
        <v>55</v>
      </c>
      <c r="EN11" s="173">
        <f t="shared" si="20"/>
        <v>55</v>
      </c>
      <c r="EO11" s="183">
        <f t="shared" si="20"/>
        <v>0</v>
      </c>
      <c r="EP11" s="173">
        <f t="shared" si="20"/>
        <v>61</v>
      </c>
      <c r="EQ11" s="173">
        <f t="shared" si="20"/>
        <v>61</v>
      </c>
      <c r="ER11" s="173">
        <f t="shared" si="20"/>
        <v>61</v>
      </c>
      <c r="ES11" s="173">
        <f t="shared" si="20"/>
        <v>61</v>
      </c>
      <c r="ET11" s="173">
        <f t="shared" si="20"/>
        <v>61</v>
      </c>
      <c r="EU11" s="173">
        <f t="shared" si="20"/>
        <v>61</v>
      </c>
      <c r="EV11" s="183">
        <f t="shared" si="20"/>
        <v>0</v>
      </c>
      <c r="EW11" s="173">
        <f t="shared" si="20"/>
        <v>48</v>
      </c>
      <c r="EX11" s="173">
        <f t="shared" si="20"/>
        <v>48</v>
      </c>
      <c r="EY11" s="173">
        <f t="shared" si="20"/>
        <v>48</v>
      </c>
      <c r="EZ11" s="173">
        <f t="shared" si="20"/>
        <v>48</v>
      </c>
      <c r="FA11" s="173">
        <f t="shared" si="20"/>
        <v>45</v>
      </c>
      <c r="FB11" s="173">
        <f t="shared" si="20"/>
        <v>45</v>
      </c>
      <c r="FC11" s="183">
        <f t="shared" si="20"/>
        <v>0</v>
      </c>
      <c r="FD11" s="173">
        <f t="shared" si="20"/>
        <v>34</v>
      </c>
      <c r="FE11" s="173">
        <f t="shared" si="20"/>
        <v>34</v>
      </c>
      <c r="FF11" s="173">
        <f t="shared" si="20"/>
        <v>34</v>
      </c>
      <c r="FG11" s="173">
        <f t="shared" si="20"/>
        <v>34</v>
      </c>
      <c r="FH11" s="173">
        <f t="shared" si="20"/>
        <v>32</v>
      </c>
      <c r="FI11" s="177">
        <f t="shared" si="20"/>
        <v>32</v>
      </c>
      <c r="FJ11" s="183">
        <f>SUM(FJ14:FJ181)</f>
        <v>0</v>
      </c>
      <c r="FK11" s="180">
        <f t="shared" si="20"/>
        <v>38</v>
      </c>
      <c r="FL11" s="173">
        <f t="shared" si="20"/>
        <v>38</v>
      </c>
      <c r="FM11" s="173">
        <f t="shared" si="20"/>
        <v>38</v>
      </c>
      <c r="FN11" s="173">
        <f t="shared" si="20"/>
        <v>38</v>
      </c>
      <c r="FO11" s="173">
        <f t="shared" si="20"/>
        <v>38</v>
      </c>
      <c r="FP11" s="173">
        <f t="shared" si="20"/>
        <v>34</v>
      </c>
      <c r="FQ11" s="183">
        <f>SUM(FQ14:FQ181)</f>
        <v>0</v>
      </c>
      <c r="FR11" s="173">
        <f t="shared" si="20"/>
        <v>34</v>
      </c>
      <c r="FS11" s="173">
        <f t="shared" si="20"/>
        <v>34</v>
      </c>
      <c r="FT11" s="173">
        <f t="shared" si="20"/>
        <v>34</v>
      </c>
      <c r="FU11" s="173">
        <f t="shared" si="20"/>
        <v>34</v>
      </c>
      <c r="FV11" s="173">
        <f t="shared" si="20"/>
        <v>34</v>
      </c>
      <c r="FW11" s="177">
        <f t="shared" si="20"/>
        <v>34</v>
      </c>
      <c r="FX11" s="183">
        <f t="shared" ref="FX11:HG11" si="21">SUM(FX14:FX181)</f>
        <v>0</v>
      </c>
      <c r="FY11" s="180">
        <f t="shared" si="21"/>
        <v>16</v>
      </c>
      <c r="FZ11" s="173">
        <f t="shared" si="21"/>
        <v>16</v>
      </c>
      <c r="GA11" s="173">
        <f t="shared" si="21"/>
        <v>16</v>
      </c>
      <c r="GB11" s="173">
        <f t="shared" si="21"/>
        <v>16</v>
      </c>
      <c r="GC11" s="173">
        <f t="shared" si="21"/>
        <v>16</v>
      </c>
      <c r="GD11" s="173">
        <f t="shared" si="21"/>
        <v>16</v>
      </c>
      <c r="GE11" s="183">
        <f t="shared" si="21"/>
        <v>0</v>
      </c>
      <c r="GF11" s="173">
        <f t="shared" si="21"/>
        <v>14</v>
      </c>
      <c r="GG11" s="173">
        <f t="shared" si="21"/>
        <v>14</v>
      </c>
      <c r="GH11" s="173">
        <f t="shared" si="21"/>
        <v>14</v>
      </c>
      <c r="GI11" s="173">
        <f t="shared" si="21"/>
        <v>14</v>
      </c>
      <c r="GJ11" s="173">
        <f t="shared" si="21"/>
        <v>14</v>
      </c>
      <c r="GK11" s="173">
        <f t="shared" si="21"/>
        <v>14</v>
      </c>
      <c r="GL11" s="183">
        <f t="shared" si="21"/>
        <v>0</v>
      </c>
      <c r="GM11" s="173">
        <f t="shared" si="21"/>
        <v>14</v>
      </c>
      <c r="GN11" s="173">
        <f t="shared" si="21"/>
        <v>14</v>
      </c>
      <c r="GO11" s="173">
        <f t="shared" si="21"/>
        <v>14</v>
      </c>
      <c r="GP11" s="173">
        <f t="shared" si="21"/>
        <v>14</v>
      </c>
      <c r="GQ11" s="173">
        <f t="shared" si="21"/>
        <v>14</v>
      </c>
      <c r="GR11" s="173">
        <f t="shared" si="21"/>
        <v>14</v>
      </c>
      <c r="GS11" s="183">
        <f t="shared" si="21"/>
        <v>0</v>
      </c>
      <c r="GT11" s="173">
        <f t="shared" si="21"/>
        <v>12</v>
      </c>
      <c r="GU11" s="173">
        <f t="shared" si="21"/>
        <v>12</v>
      </c>
      <c r="GV11" s="173">
        <f t="shared" si="21"/>
        <v>12</v>
      </c>
      <c r="GW11" s="173">
        <f t="shared" si="21"/>
        <v>12</v>
      </c>
      <c r="GX11" s="173">
        <f t="shared" si="21"/>
        <v>12</v>
      </c>
      <c r="GY11" s="173">
        <f t="shared" si="21"/>
        <v>12</v>
      </c>
      <c r="GZ11" s="183">
        <f t="shared" si="21"/>
        <v>0</v>
      </c>
      <c r="HA11" s="173">
        <f t="shared" si="21"/>
        <v>12</v>
      </c>
      <c r="HB11" s="173">
        <f t="shared" si="21"/>
        <v>12</v>
      </c>
      <c r="HC11" s="173">
        <f t="shared" si="21"/>
        <v>12</v>
      </c>
      <c r="HD11" s="173">
        <f t="shared" si="21"/>
        <v>12</v>
      </c>
      <c r="HE11" s="173">
        <f t="shared" si="21"/>
        <v>12</v>
      </c>
      <c r="HF11" s="173">
        <f t="shared" si="21"/>
        <v>12</v>
      </c>
      <c r="HG11" s="183">
        <f t="shared" si="21"/>
        <v>0</v>
      </c>
      <c r="HH11" s="174"/>
      <c r="HI11" s="174"/>
      <c r="HJ11" s="174"/>
      <c r="HK11" s="174"/>
      <c r="HL11" s="174"/>
      <c r="HM11" s="174"/>
      <c r="HN11" s="174"/>
      <c r="HO11" s="174"/>
      <c r="HP11" s="174"/>
      <c r="HQ11" s="174"/>
      <c r="HR11" s="174"/>
      <c r="HS11" s="174"/>
      <c r="HT11" s="174"/>
      <c r="HU11" s="174"/>
      <c r="HV11" s="174"/>
      <c r="HW11" s="174"/>
      <c r="HX11" s="174"/>
      <c r="HY11" s="174"/>
      <c r="HZ11" s="174"/>
      <c r="IA11" s="174"/>
      <c r="IB11" s="174"/>
      <c r="IC11" s="174"/>
      <c r="ID11" s="174"/>
      <c r="IE11" s="174"/>
      <c r="IF11" s="174"/>
      <c r="IG11" s="174"/>
      <c r="IH11" s="174"/>
      <c r="II11" s="174"/>
      <c r="IJ11" s="174"/>
      <c r="IK11" s="174"/>
      <c r="IL11" s="174"/>
      <c r="IM11" s="174"/>
      <c r="IN11" s="174"/>
      <c r="IO11" s="174"/>
      <c r="IP11" s="174"/>
      <c r="IQ11" s="174"/>
      <c r="IR11" s="174"/>
      <c r="IS11" s="174"/>
      <c r="IT11" s="174"/>
      <c r="IU11" s="174"/>
      <c r="IV11" s="174"/>
      <c r="IW11" s="174"/>
      <c r="IX11" s="174"/>
      <c r="IY11" s="174"/>
      <c r="IZ11" s="174"/>
      <c r="JA11" s="174"/>
      <c r="JB11" s="174"/>
      <c r="JC11" s="174"/>
      <c r="JD11" s="174"/>
      <c r="JE11" s="174"/>
      <c r="JF11" s="174"/>
      <c r="JG11" s="174"/>
      <c r="JH11" s="174"/>
      <c r="JI11" s="174"/>
      <c r="JJ11" s="174"/>
      <c r="JK11" s="174"/>
      <c r="JL11" s="174"/>
      <c r="JM11" s="174"/>
      <c r="JN11" s="174"/>
      <c r="JO11" s="174"/>
      <c r="JP11" s="174"/>
      <c r="JQ11" s="174"/>
      <c r="JR11" s="174"/>
      <c r="JS11" s="174"/>
      <c r="JT11" s="174"/>
      <c r="JU11" s="174"/>
      <c r="JV11" s="174"/>
      <c r="JW11" s="174"/>
      <c r="JX11" s="174"/>
      <c r="JY11" s="174"/>
      <c r="JZ11" s="174"/>
      <c r="KA11" s="174"/>
      <c r="KB11" s="174"/>
      <c r="KC11" s="174"/>
      <c r="KD11" s="174"/>
      <c r="KE11" s="174"/>
      <c r="KF11" s="174"/>
      <c r="KG11" s="174"/>
      <c r="KH11" s="174"/>
      <c r="KI11" s="174"/>
      <c r="KJ11" s="174"/>
      <c r="KK11" s="174"/>
      <c r="KL11" s="174"/>
      <c r="KM11" s="174"/>
      <c r="KN11" s="174"/>
      <c r="KO11" s="174"/>
      <c r="KP11" s="174"/>
      <c r="KQ11" s="174"/>
      <c r="KR11" s="174"/>
      <c r="KS11" s="174"/>
      <c r="KT11" s="174"/>
      <c r="KU11" s="174"/>
      <c r="KV11" s="174"/>
      <c r="KW11" s="174"/>
      <c r="KX11" s="174"/>
      <c r="KY11" s="174"/>
      <c r="KZ11" s="174"/>
      <c r="LA11" s="174"/>
      <c r="LB11" s="174"/>
      <c r="LC11" s="174"/>
      <c r="LD11" s="174"/>
      <c r="LE11" s="174"/>
      <c r="LF11" s="174"/>
      <c r="LG11" s="174"/>
      <c r="LH11" s="174"/>
      <c r="LI11" s="174"/>
      <c r="LJ11" s="174"/>
      <c r="LK11" s="174"/>
      <c r="LL11" s="174"/>
      <c r="LM11" s="174"/>
      <c r="LN11" s="174"/>
      <c r="LO11" s="174"/>
      <c r="LP11" s="174"/>
      <c r="LQ11" s="174"/>
      <c r="LR11" s="174"/>
      <c r="LS11" s="174"/>
      <c r="LT11" s="174"/>
      <c r="LU11" s="174"/>
      <c r="LV11" s="174"/>
      <c r="LW11" s="174"/>
      <c r="LX11" s="174"/>
      <c r="LY11" s="174"/>
      <c r="LZ11" s="174"/>
      <c r="MA11" s="174"/>
      <c r="MB11" s="174"/>
      <c r="MC11" s="174"/>
      <c r="MD11" s="174"/>
      <c r="ME11" s="174"/>
      <c r="MF11" s="174"/>
      <c r="MG11" s="174"/>
      <c r="MH11" s="174"/>
      <c r="MI11" s="174"/>
      <c r="MJ11" s="174"/>
      <c r="MK11" s="174"/>
      <c r="ML11" s="174"/>
      <c r="MM11" s="174"/>
      <c r="MN11" s="174"/>
      <c r="MO11" s="174"/>
      <c r="MP11" s="174"/>
      <c r="MQ11" s="174"/>
      <c r="MR11" s="174"/>
      <c r="MS11" s="174"/>
      <c r="MT11" s="174"/>
      <c r="MU11" s="174"/>
      <c r="MV11" s="174"/>
      <c r="MW11" s="174"/>
      <c r="MX11" s="174"/>
      <c r="MY11" s="174"/>
      <c r="MZ11" s="174"/>
      <c r="NA11" s="174"/>
      <c r="NB11" s="174"/>
      <c r="NC11" s="174"/>
      <c r="ND11" s="174"/>
      <c r="NE11" s="174"/>
      <c r="NF11" s="174"/>
      <c r="NG11" s="174"/>
      <c r="NH11" s="174"/>
      <c r="NI11" s="174"/>
      <c r="NJ11" s="174"/>
      <c r="NK11" s="174"/>
      <c r="NL11" s="174"/>
      <c r="NM11" s="174"/>
      <c r="NN11" s="174"/>
      <c r="NO11" s="174"/>
      <c r="NP11" s="174"/>
      <c r="NQ11" s="174"/>
      <c r="NR11" s="174"/>
      <c r="NS11" s="174"/>
      <c r="NT11" s="174"/>
      <c r="NU11" s="174"/>
      <c r="NV11" s="174"/>
      <c r="NW11" s="174"/>
      <c r="NX11" s="174"/>
      <c r="NY11" s="174"/>
      <c r="NZ11" s="174"/>
    </row>
    <row r="12" spans="2:390" ht="29.25" customHeight="1" thickBot="1" x14ac:dyDescent="0.5">
      <c r="E12" s="58"/>
      <c r="F12" s="43"/>
      <c r="G12" s="43"/>
      <c r="H12" s="43"/>
      <c r="I12" s="43"/>
      <c r="J12" s="43"/>
      <c r="K12" s="43"/>
      <c r="L12" s="43"/>
      <c r="M12" s="43"/>
      <c r="N12" s="43"/>
      <c r="O12" s="169"/>
      <c r="P12" s="43"/>
      <c r="Q12" s="43"/>
      <c r="R12" s="44"/>
      <c r="S12" s="44"/>
      <c r="T12" s="44"/>
      <c r="U12" s="170"/>
      <c r="V12" s="170"/>
      <c r="W12" s="157"/>
      <c r="X12" s="44"/>
      <c r="Y12" s="44"/>
      <c r="Z12" s="45"/>
      <c r="AA12" s="173"/>
      <c r="AB12" s="173"/>
      <c r="AC12" s="173"/>
      <c r="AD12" s="173"/>
      <c r="AE12" s="173"/>
      <c r="AF12" s="173"/>
      <c r="AG12" s="183"/>
      <c r="AH12" s="173"/>
      <c r="AI12" s="173"/>
      <c r="AJ12" s="173"/>
      <c r="AK12" s="173"/>
      <c r="AL12" s="173"/>
      <c r="AM12" s="173"/>
      <c r="AN12" s="183"/>
      <c r="AO12" s="173"/>
      <c r="AP12" s="173"/>
      <c r="AQ12" s="173"/>
      <c r="AR12" s="173"/>
      <c r="AS12" s="173"/>
      <c r="AT12" s="173"/>
      <c r="AU12" s="183"/>
      <c r="AV12" s="173"/>
      <c r="AW12" s="173"/>
      <c r="AX12" s="173"/>
      <c r="AY12" s="173"/>
      <c r="AZ12" s="173"/>
      <c r="BA12" s="173"/>
      <c r="BB12" s="18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173"/>
      <c r="BP12" s="173"/>
      <c r="BQ12" s="173"/>
      <c r="BR12" s="173"/>
      <c r="BS12" s="173"/>
      <c r="BT12" s="173"/>
      <c r="BU12" s="173"/>
      <c r="BV12" s="173"/>
      <c r="BW12" s="173"/>
      <c r="BX12" s="173">
        <f t="shared" ref="BX12" si="22">+BX11-BX35-BX84</f>
        <v>20</v>
      </c>
      <c r="BY12" s="173">
        <f t="shared" ref="BY12" si="23">+BY11-BY35-BY84</f>
        <v>20</v>
      </c>
      <c r="BZ12" s="173">
        <f t="shared" ref="BZ12" si="24">+BZ11-BZ35-BZ84</f>
        <v>20</v>
      </c>
      <c r="CA12" s="173">
        <f t="shared" ref="CA12" si="25">+CA11-CA35-CA84</f>
        <v>20</v>
      </c>
      <c r="CB12" s="173">
        <f t="shared" ref="CB12" si="26">+CB11-CB35-CB84</f>
        <v>20</v>
      </c>
      <c r="CC12" s="173">
        <f t="shared" ref="CC12" si="27">+CC11-CC35-CC84</f>
        <v>20</v>
      </c>
      <c r="CD12" s="183"/>
      <c r="CE12" s="173">
        <f t="shared" ref="CE12" si="28">+CE11-CE35-CE84</f>
        <v>20</v>
      </c>
      <c r="CF12" s="173">
        <f t="shared" ref="CF12" si="29">+CF11-CF35-CF84</f>
        <v>20</v>
      </c>
      <c r="CG12" s="173">
        <f t="shared" ref="CG12" si="30">+CG11-CG35-CG84</f>
        <v>20</v>
      </c>
      <c r="CH12" s="173">
        <f t="shared" ref="CH12" si="31">+CH11-CH35-CH84</f>
        <v>20</v>
      </c>
      <c r="CI12" s="173">
        <f t="shared" ref="CI12" si="32">+CI11-CI35-CI84</f>
        <v>20</v>
      </c>
      <c r="CJ12" s="173">
        <f t="shared" ref="CJ12" si="33">+CJ11-CJ35-CJ84</f>
        <v>20</v>
      </c>
      <c r="CK12" s="183"/>
      <c r="CL12" s="173">
        <f>+CL11-CL35-CL84</f>
        <v>20</v>
      </c>
      <c r="CM12" s="173">
        <f t="shared" ref="CM12" si="34">+CM11-CM35-CM84</f>
        <v>20</v>
      </c>
      <c r="CN12" s="173">
        <f t="shared" ref="CN12" si="35">+CN11-CN35-CN84</f>
        <v>20</v>
      </c>
      <c r="CO12" s="173">
        <f t="shared" ref="CO12" si="36">+CO11-CO35-CO84</f>
        <v>20</v>
      </c>
      <c r="CP12" s="173">
        <f t="shared" ref="CP12" si="37">+CP11-CP35-CP84</f>
        <v>20</v>
      </c>
      <c r="CQ12" s="173">
        <f t="shared" ref="CQ12" si="38">+CQ11-CQ35-CQ84</f>
        <v>20</v>
      </c>
      <c r="CR12" s="183"/>
      <c r="CS12" s="173">
        <f>+CS11-CS35-CS84</f>
        <v>26</v>
      </c>
      <c r="CT12" s="173">
        <f t="shared" ref="CT12:CX12" si="39">+CT11-CT35-CT84</f>
        <v>26</v>
      </c>
      <c r="CU12" s="173">
        <f t="shared" si="39"/>
        <v>26</v>
      </c>
      <c r="CV12" s="173">
        <f t="shared" si="39"/>
        <v>26</v>
      </c>
      <c r="CW12" s="173">
        <f t="shared" si="39"/>
        <v>26</v>
      </c>
      <c r="CX12" s="173">
        <f t="shared" si="39"/>
        <v>26</v>
      </c>
      <c r="CY12" s="183"/>
      <c r="CZ12" s="173">
        <f>+CZ11-CZ35-CZ84</f>
        <v>25</v>
      </c>
      <c r="DA12" s="173">
        <f t="shared" ref="DA12" si="40">+DA11-DA35-DA84</f>
        <v>25</v>
      </c>
      <c r="DB12" s="173">
        <f t="shared" ref="DB12" si="41">+DB11-DB35-DB84</f>
        <v>25</v>
      </c>
      <c r="DC12" s="173">
        <f t="shared" ref="DC12" si="42">+DC11-DC35-DC84</f>
        <v>25</v>
      </c>
      <c r="DD12" s="173">
        <f t="shared" ref="DD12" si="43">+DD11-DD35-DD84</f>
        <v>25</v>
      </c>
      <c r="DE12" s="173">
        <f t="shared" ref="DE12" si="44">+DE11-DE35-DE84</f>
        <v>25</v>
      </c>
      <c r="DF12" s="183"/>
      <c r="DG12" s="173">
        <f>+DG11-DG35-DG84</f>
        <v>23</v>
      </c>
      <c r="DH12" s="173">
        <f t="shared" ref="DH12" si="45">+DH11-DH35-DH84</f>
        <v>23</v>
      </c>
      <c r="DI12" s="173">
        <f t="shared" ref="DI12" si="46">+DI11-DI35-DI84</f>
        <v>23</v>
      </c>
      <c r="DJ12" s="173">
        <f t="shared" ref="DJ12" si="47">+DJ11-DJ35-DJ84</f>
        <v>23</v>
      </c>
      <c r="DK12" s="173">
        <f t="shared" ref="DK12" si="48">+DK11-DK35-DK84</f>
        <v>23</v>
      </c>
      <c r="DL12" s="173">
        <f t="shared" ref="DL12" si="49">+DL11-DL35-DL84</f>
        <v>23</v>
      </c>
      <c r="DM12" s="183"/>
      <c r="DN12" s="173">
        <f>+DN11-DN35-DN84</f>
        <v>23</v>
      </c>
      <c r="DO12" s="173">
        <f t="shared" ref="DO12" si="50">+DO11-DO35-DO84</f>
        <v>23</v>
      </c>
      <c r="DP12" s="173">
        <f t="shared" ref="DP12" si="51">+DP11-DP35-DP84</f>
        <v>23</v>
      </c>
      <c r="DQ12" s="173">
        <f t="shared" ref="DQ12" si="52">+DQ11-DQ35-DQ84</f>
        <v>23</v>
      </c>
      <c r="DR12" s="173">
        <f t="shared" ref="DR12" si="53">+DR11-DR35-DR84</f>
        <v>23</v>
      </c>
      <c r="DS12" s="173">
        <f t="shared" ref="DS12" si="54">+DS11-DS35-DS84</f>
        <v>17</v>
      </c>
      <c r="DT12" s="183"/>
      <c r="DU12" s="173">
        <f>+DU11-DU35-DU84</f>
        <v>31</v>
      </c>
      <c r="DV12" s="173">
        <f t="shared" ref="DV12" si="55">+DV11-DV35-DV84</f>
        <v>31</v>
      </c>
      <c r="DW12" s="173">
        <f t="shared" ref="DW12" si="56">+DW11-DW35-DW84</f>
        <v>31</v>
      </c>
      <c r="DX12" s="173">
        <f t="shared" ref="DX12" si="57">+DX11-DX35-DX84</f>
        <v>31</v>
      </c>
      <c r="DY12" s="173">
        <f t="shared" ref="DY12" si="58">+DY11-DY35-DY84</f>
        <v>31</v>
      </c>
      <c r="DZ12" s="173">
        <f t="shared" ref="DZ12" si="59">+DZ11-DZ35-DZ84</f>
        <v>31</v>
      </c>
      <c r="EA12" s="183"/>
      <c r="EB12" s="173">
        <f>+EB11-EB35-EB84</f>
        <v>26</v>
      </c>
      <c r="EC12" s="173">
        <f t="shared" ref="EC12" si="60">+EC11-EC35-EC84</f>
        <v>26</v>
      </c>
      <c r="ED12" s="173">
        <f t="shared" ref="ED12" si="61">+ED11-ED35-ED84</f>
        <v>26</v>
      </c>
      <c r="EE12" s="173">
        <f t="shared" ref="EE12" si="62">+EE11-EE35-EE84</f>
        <v>26</v>
      </c>
      <c r="EF12" s="173">
        <f t="shared" ref="EF12" si="63">+EF11-EF35-EF84</f>
        <v>26</v>
      </c>
      <c r="EG12" s="173">
        <f t="shared" ref="EG12" si="64">+EG11-EG35-EG84</f>
        <v>26</v>
      </c>
      <c r="EH12" s="183"/>
      <c r="EI12" s="173">
        <f>+EI11-EI35-EI84</f>
        <v>31</v>
      </c>
      <c r="EJ12" s="173">
        <f t="shared" ref="EJ12" si="65">+EJ11-EJ35-EJ84</f>
        <v>31</v>
      </c>
      <c r="EK12" s="173">
        <f t="shared" ref="EK12" si="66">+EK11-EK35-EK84</f>
        <v>31</v>
      </c>
      <c r="EL12" s="173">
        <f t="shared" ref="EL12" si="67">+EL11-EL35-EL84</f>
        <v>35</v>
      </c>
      <c r="EM12" s="173">
        <f t="shared" ref="EM12" si="68">+EM11-EM35-EM84</f>
        <v>35</v>
      </c>
      <c r="EN12" s="173">
        <f t="shared" ref="EN12" si="69">+EN11-EN35-EN84</f>
        <v>35</v>
      </c>
      <c r="EO12" s="183"/>
      <c r="EP12" s="173">
        <f>+EP11-EP35-EP84</f>
        <v>41</v>
      </c>
      <c r="EQ12" s="173">
        <f t="shared" ref="EQ12" si="70">+EQ11-EQ35-EQ84</f>
        <v>41</v>
      </c>
      <c r="ER12" s="173">
        <f t="shared" ref="ER12" si="71">+ER11-ER35-ER84</f>
        <v>41</v>
      </c>
      <c r="ES12" s="173">
        <f t="shared" ref="ES12" si="72">+ES11-ES35-ES84</f>
        <v>41</v>
      </c>
      <c r="ET12" s="173">
        <f t="shared" ref="ET12" si="73">+ET11-ET35-ET84</f>
        <v>41</v>
      </c>
      <c r="EU12" s="173">
        <f t="shared" ref="EU12" si="74">+EU11-EU35-EU84</f>
        <v>41</v>
      </c>
      <c r="EV12" s="183"/>
      <c r="EW12" s="173">
        <f>+EW11-EW35-EW84</f>
        <v>48</v>
      </c>
      <c r="EX12" s="173">
        <f t="shared" ref="EX12" si="75">+EX11-EX35-EX84</f>
        <v>48</v>
      </c>
      <c r="EY12" s="173">
        <f t="shared" ref="EY12" si="76">+EY11-EY35-EY84</f>
        <v>48</v>
      </c>
      <c r="EZ12" s="173">
        <f t="shared" ref="EZ12" si="77">+EZ11-EZ35-EZ84</f>
        <v>48</v>
      </c>
      <c r="FA12" s="173">
        <f t="shared" ref="FA12" si="78">+FA11-FA35-FA84</f>
        <v>45</v>
      </c>
      <c r="FB12" s="173">
        <f t="shared" ref="FB12" si="79">+FB11-FB35-FB84</f>
        <v>45</v>
      </c>
      <c r="FC12" s="183"/>
      <c r="FD12" s="173"/>
      <c r="FE12" s="173"/>
      <c r="FF12" s="173"/>
      <c r="FG12" s="173"/>
      <c r="FH12" s="173"/>
      <c r="FI12" s="177"/>
      <c r="FJ12" s="183"/>
      <c r="FK12" s="180"/>
      <c r="FL12" s="173"/>
      <c r="FM12" s="173"/>
      <c r="FN12" s="173"/>
      <c r="FO12" s="173"/>
      <c r="FP12" s="173"/>
      <c r="FQ12" s="183"/>
      <c r="FR12" s="173"/>
      <c r="FS12" s="173"/>
      <c r="FT12" s="173"/>
      <c r="FU12" s="173"/>
      <c r="FV12" s="173"/>
      <c r="FW12" s="177"/>
      <c r="FX12" s="183"/>
      <c r="FY12" s="180"/>
      <c r="FZ12" s="173"/>
      <c r="GA12" s="173"/>
      <c r="GB12" s="173"/>
      <c r="GC12" s="173"/>
      <c r="GD12" s="173"/>
      <c r="GE12" s="183"/>
      <c r="GF12" s="173"/>
      <c r="GG12" s="173"/>
      <c r="GH12" s="173"/>
      <c r="GI12" s="173"/>
      <c r="GJ12" s="173"/>
      <c r="GK12" s="173"/>
      <c r="GL12" s="183"/>
      <c r="GM12" s="173"/>
      <c r="GN12" s="173"/>
      <c r="GO12" s="173"/>
      <c r="GP12" s="173"/>
      <c r="GQ12" s="173"/>
      <c r="GR12" s="173"/>
      <c r="GS12" s="183"/>
      <c r="GT12" s="173"/>
      <c r="GU12" s="173"/>
      <c r="GV12" s="173"/>
      <c r="GW12" s="173"/>
      <c r="GX12" s="173"/>
      <c r="GY12" s="173"/>
      <c r="GZ12" s="183"/>
      <c r="HA12" s="173"/>
      <c r="HB12" s="173"/>
      <c r="HC12" s="173"/>
      <c r="HD12" s="173"/>
      <c r="HE12" s="173"/>
      <c r="HF12" s="173"/>
      <c r="HG12" s="183"/>
      <c r="HH12" s="174"/>
      <c r="HI12" s="174"/>
      <c r="HJ12" s="174"/>
      <c r="HK12" s="174"/>
      <c r="HL12" s="174"/>
      <c r="HM12" s="174"/>
      <c r="HN12" s="174"/>
      <c r="HO12" s="174"/>
      <c r="HP12" s="174"/>
      <c r="HQ12" s="174"/>
      <c r="HR12" s="174"/>
      <c r="HS12" s="174"/>
      <c r="HT12" s="174"/>
      <c r="HU12" s="174"/>
      <c r="HV12" s="174"/>
      <c r="HW12" s="174"/>
      <c r="HX12" s="174"/>
      <c r="HY12" s="174"/>
      <c r="HZ12" s="174"/>
      <c r="IA12" s="174"/>
      <c r="IB12" s="174"/>
      <c r="IC12" s="174"/>
      <c r="ID12" s="174"/>
      <c r="IE12" s="174"/>
      <c r="IF12" s="174"/>
      <c r="IG12" s="174"/>
      <c r="IH12" s="174"/>
      <c r="II12" s="174"/>
      <c r="IJ12" s="174"/>
      <c r="IK12" s="174"/>
      <c r="IL12" s="174"/>
      <c r="IM12" s="174"/>
      <c r="IN12" s="174"/>
      <c r="IO12" s="174"/>
      <c r="IP12" s="174"/>
      <c r="IQ12" s="174"/>
      <c r="IR12" s="174"/>
      <c r="IS12" s="174"/>
      <c r="IT12" s="174"/>
      <c r="IU12" s="174"/>
      <c r="IV12" s="174"/>
      <c r="IW12" s="174"/>
      <c r="IX12" s="174"/>
      <c r="IY12" s="174"/>
      <c r="IZ12" s="174"/>
      <c r="JA12" s="174"/>
      <c r="JB12" s="174"/>
      <c r="JC12" s="174"/>
      <c r="JD12" s="174"/>
      <c r="JE12" s="174"/>
      <c r="JF12" s="174"/>
      <c r="JG12" s="174"/>
      <c r="JH12" s="174"/>
      <c r="JI12" s="174"/>
      <c r="JJ12" s="174"/>
      <c r="JK12" s="174"/>
      <c r="JL12" s="174"/>
      <c r="JM12" s="174"/>
      <c r="JN12" s="174"/>
      <c r="JO12" s="174"/>
      <c r="JP12" s="174"/>
      <c r="JQ12" s="174"/>
      <c r="JR12" s="174"/>
      <c r="JS12" s="174"/>
      <c r="JT12" s="174"/>
      <c r="JU12" s="174"/>
      <c r="JV12" s="174"/>
      <c r="JW12" s="174"/>
      <c r="JX12" s="174"/>
      <c r="JY12" s="174"/>
      <c r="JZ12" s="174"/>
      <c r="KA12" s="174"/>
      <c r="KB12" s="174"/>
      <c r="KC12" s="174"/>
      <c r="KD12" s="174"/>
      <c r="KE12" s="174"/>
      <c r="KF12" s="174"/>
      <c r="KG12" s="174"/>
      <c r="KH12" s="174"/>
      <c r="KI12" s="174"/>
      <c r="KJ12" s="174"/>
      <c r="KK12" s="174"/>
      <c r="KL12" s="174"/>
      <c r="KM12" s="174"/>
      <c r="KN12" s="174"/>
      <c r="KO12" s="174"/>
      <c r="KP12" s="174"/>
      <c r="KQ12" s="174"/>
      <c r="KR12" s="174"/>
      <c r="KS12" s="174"/>
      <c r="KT12" s="174"/>
      <c r="KU12" s="174"/>
      <c r="KV12" s="174"/>
      <c r="KW12" s="174"/>
      <c r="KX12" s="174"/>
      <c r="KY12" s="174"/>
      <c r="KZ12" s="174"/>
      <c r="LA12" s="174"/>
      <c r="LB12" s="174"/>
      <c r="LC12" s="174"/>
      <c r="LD12" s="174"/>
      <c r="LE12" s="174"/>
      <c r="LF12" s="174"/>
      <c r="LG12" s="174"/>
      <c r="LH12" s="174"/>
      <c r="LI12" s="174"/>
      <c r="LJ12" s="174"/>
      <c r="LK12" s="174"/>
      <c r="LL12" s="174"/>
      <c r="LM12" s="174"/>
      <c r="LN12" s="174"/>
      <c r="LO12" s="174"/>
      <c r="LP12" s="174"/>
      <c r="LQ12" s="174"/>
      <c r="LR12" s="174"/>
      <c r="LS12" s="174"/>
      <c r="LT12" s="174"/>
      <c r="LU12" s="174"/>
      <c r="LV12" s="174"/>
      <c r="LW12" s="174"/>
      <c r="LX12" s="174"/>
      <c r="LY12" s="174"/>
      <c r="LZ12" s="174"/>
      <c r="MA12" s="174"/>
      <c r="MB12" s="174"/>
      <c r="MC12" s="174"/>
      <c r="MD12" s="174"/>
      <c r="ME12" s="174"/>
      <c r="MF12" s="174"/>
      <c r="MG12" s="174"/>
      <c r="MH12" s="174"/>
      <c r="MI12" s="174"/>
      <c r="MJ12" s="174"/>
      <c r="MK12" s="174"/>
      <c r="ML12" s="174"/>
      <c r="MM12" s="174"/>
      <c r="MN12" s="174"/>
      <c r="MO12" s="174"/>
      <c r="MP12" s="174"/>
      <c r="MQ12" s="174"/>
      <c r="MR12" s="174"/>
      <c r="MS12" s="174"/>
      <c r="MT12" s="174"/>
      <c r="MU12" s="174"/>
      <c r="MV12" s="174"/>
      <c r="MW12" s="174"/>
      <c r="MX12" s="174"/>
      <c r="MY12" s="174"/>
      <c r="MZ12" s="174"/>
      <c r="NA12" s="174"/>
      <c r="NB12" s="174"/>
      <c r="NC12" s="174"/>
      <c r="ND12" s="174"/>
      <c r="NE12" s="174"/>
      <c r="NF12" s="174"/>
      <c r="NG12" s="174"/>
      <c r="NH12" s="174"/>
      <c r="NI12" s="174"/>
      <c r="NJ12" s="174"/>
      <c r="NK12" s="174"/>
      <c r="NL12" s="174"/>
      <c r="NM12" s="174"/>
      <c r="NN12" s="174"/>
      <c r="NO12" s="174"/>
      <c r="NP12" s="174"/>
      <c r="NQ12" s="174"/>
      <c r="NR12" s="174"/>
      <c r="NS12" s="174"/>
      <c r="NT12" s="174"/>
      <c r="NU12" s="174"/>
      <c r="NV12" s="174"/>
      <c r="NW12" s="174"/>
      <c r="NX12" s="174"/>
      <c r="NY12" s="174"/>
      <c r="NZ12" s="174"/>
    </row>
    <row r="13" spans="2:390" ht="21.75" customHeight="1" x14ac:dyDescent="0.45">
      <c r="B13" s="1">
        <v>1</v>
      </c>
      <c r="C13" s="1">
        <v>0</v>
      </c>
      <c r="D13" s="1">
        <v>0</v>
      </c>
      <c r="E13" s="116" t="str">
        <f t="shared" ref="E13:E44" si="80">B13&amp;"."&amp;C13&amp;"."&amp;D13</f>
        <v>1.0.0</v>
      </c>
      <c r="F13" s="103" t="s">
        <v>7</v>
      </c>
      <c r="G13" s="103"/>
      <c r="H13" s="104"/>
      <c r="I13" s="104"/>
      <c r="J13" s="103"/>
      <c r="K13" s="103"/>
      <c r="L13" s="103"/>
      <c r="M13" s="103"/>
      <c r="N13" s="103"/>
      <c r="O13" s="106">
        <f>+SUM(O14,O19,O23,O24,O27:O34,O37)</f>
        <v>1610</v>
      </c>
      <c r="P13" s="106"/>
      <c r="Q13" s="106"/>
      <c r="R13" s="107"/>
      <c r="S13" s="107"/>
      <c r="T13" s="194">
        <f>+MAX(T14:T45)</f>
        <v>46115</v>
      </c>
      <c r="U13" s="160">
        <f>+SUM(O14*U14,O19*U19,O23*U23,O24*U24,SUMPRODUCT(O27:O34,U27:U34),O37*U37)/O13</f>
        <v>0.1268254247659282</v>
      </c>
      <c r="V13" s="197">
        <f>+U13*O13</f>
        <v>204.18893387314441</v>
      </c>
      <c r="W13" s="32">
        <f>+Summary!D4</f>
        <v>2</v>
      </c>
      <c r="X13" s="32"/>
      <c r="Y13" s="106">
        <f>+SUM(Y14,Y19,Y23,Y24,Y27:Y34,Y37)</f>
        <v>48</v>
      </c>
      <c r="Z13" s="41"/>
      <c r="AA13" s="15"/>
      <c r="AB13" s="15"/>
      <c r="AC13" s="15"/>
      <c r="AD13" s="15"/>
      <c r="AE13" s="15"/>
      <c r="AF13" s="15"/>
      <c r="AG13" s="184"/>
      <c r="AH13" s="15"/>
      <c r="AI13" s="15"/>
      <c r="AJ13" s="15"/>
      <c r="AK13" s="15"/>
      <c r="AL13" s="15"/>
      <c r="AM13" s="15"/>
      <c r="AN13" s="184"/>
      <c r="AO13" s="15"/>
      <c r="AP13" s="15"/>
      <c r="AQ13" s="15"/>
      <c r="AR13" s="15"/>
      <c r="AS13" s="15"/>
      <c r="AT13" s="15"/>
      <c r="AU13" s="184"/>
      <c r="AV13" s="15"/>
      <c r="AW13" s="15"/>
      <c r="AX13" s="15"/>
      <c r="AY13" s="15"/>
      <c r="AZ13" s="15"/>
      <c r="BA13" s="15"/>
      <c r="BB13" s="184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84"/>
      <c r="CE13" s="15"/>
      <c r="CF13" s="15"/>
      <c r="CG13" s="15"/>
      <c r="CH13" s="15"/>
      <c r="CI13" s="15"/>
      <c r="CJ13" s="15"/>
      <c r="CK13" s="184"/>
      <c r="CL13" s="15"/>
      <c r="CM13" s="15"/>
      <c r="CN13" s="15"/>
      <c r="CO13" s="15"/>
      <c r="CP13" s="15"/>
      <c r="CQ13" s="15"/>
      <c r="CR13" s="184"/>
      <c r="CS13" s="15"/>
      <c r="CT13" s="15"/>
      <c r="CU13" s="15"/>
      <c r="CV13" s="15"/>
      <c r="CW13" s="15"/>
      <c r="CX13" s="15"/>
      <c r="CY13" s="184"/>
      <c r="CZ13" s="15"/>
      <c r="DA13" s="15"/>
      <c r="DB13" s="15"/>
      <c r="DC13" s="15"/>
      <c r="DD13" s="15"/>
      <c r="DE13" s="15"/>
      <c r="DF13" s="184"/>
      <c r="DG13" s="15"/>
      <c r="DH13" s="15"/>
      <c r="DI13" s="15"/>
      <c r="DJ13" s="15"/>
      <c r="DK13" s="15"/>
      <c r="DL13" s="15"/>
      <c r="DM13" s="184"/>
      <c r="DN13" s="15"/>
      <c r="DO13" s="15"/>
      <c r="DP13" s="15"/>
      <c r="DQ13" s="15"/>
      <c r="DR13" s="15"/>
      <c r="DS13" s="15"/>
      <c r="DT13" s="184"/>
      <c r="DU13" s="15"/>
      <c r="DV13" s="15"/>
      <c r="DW13" s="15"/>
      <c r="DX13" s="15"/>
      <c r="DY13" s="15"/>
      <c r="DZ13" s="15"/>
      <c r="EA13" s="184"/>
      <c r="EB13" s="15"/>
      <c r="EC13" s="15"/>
      <c r="ED13" s="15"/>
      <c r="EE13" s="15"/>
      <c r="EF13" s="15"/>
      <c r="EG13" s="15"/>
      <c r="EH13" s="184"/>
      <c r="EI13" s="15"/>
      <c r="EJ13" s="15"/>
      <c r="EK13" s="15"/>
      <c r="EL13" s="15"/>
      <c r="EM13" s="15"/>
      <c r="EN13" s="15"/>
      <c r="EO13" s="184"/>
      <c r="EP13" s="15"/>
      <c r="EQ13" s="15"/>
      <c r="ER13" s="15"/>
      <c r="ES13" s="15"/>
      <c r="ET13" s="15"/>
      <c r="EU13" s="15"/>
      <c r="EV13" s="184"/>
      <c r="EW13" s="15"/>
      <c r="EX13" s="15"/>
      <c r="EY13" s="15"/>
      <c r="EZ13" s="15"/>
      <c r="FA13" s="15"/>
      <c r="FB13" s="15"/>
      <c r="FC13" s="184"/>
      <c r="FD13" s="15"/>
      <c r="FE13" s="15"/>
      <c r="FF13" s="15"/>
      <c r="FG13" s="15"/>
      <c r="FH13" s="15"/>
      <c r="FI13" s="15"/>
      <c r="FJ13" s="184"/>
      <c r="FK13" s="15"/>
      <c r="FL13" s="15"/>
      <c r="FM13" s="15"/>
      <c r="FN13" s="15"/>
      <c r="FO13" s="15"/>
      <c r="FP13" s="15"/>
      <c r="FQ13" s="184"/>
      <c r="FR13" s="15"/>
      <c r="FS13" s="15"/>
      <c r="FT13" s="15"/>
      <c r="FU13" s="15"/>
      <c r="FV13" s="15"/>
      <c r="FW13" s="178"/>
      <c r="FX13" s="184"/>
      <c r="FY13" s="181"/>
      <c r="FZ13" s="15"/>
      <c r="GA13" s="15"/>
      <c r="GB13" s="15"/>
      <c r="GC13" s="15"/>
      <c r="GD13" s="15"/>
      <c r="GE13" s="184"/>
      <c r="GF13" s="15"/>
      <c r="GG13" s="15"/>
      <c r="GH13" s="15"/>
      <c r="GI13" s="15"/>
      <c r="GJ13" s="15"/>
      <c r="GK13" s="15"/>
      <c r="GL13" s="184"/>
      <c r="GM13" s="15"/>
      <c r="GN13" s="15"/>
      <c r="GO13" s="15"/>
      <c r="GP13" s="15"/>
      <c r="GQ13" s="15"/>
      <c r="GR13" s="15"/>
      <c r="GS13" s="184"/>
      <c r="GT13" s="15"/>
      <c r="GU13" s="15"/>
      <c r="GV13" s="15"/>
      <c r="GW13" s="15"/>
      <c r="GX13" s="15"/>
      <c r="GY13" s="15"/>
      <c r="GZ13" s="184"/>
      <c r="HA13" s="15"/>
      <c r="HB13" s="15"/>
      <c r="HC13" s="15"/>
      <c r="HD13" s="15"/>
      <c r="HE13" s="15"/>
      <c r="HF13" s="15"/>
      <c r="HG13" s="184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</row>
    <row r="14" spans="2:390" ht="19.5" customHeight="1" x14ac:dyDescent="0.45">
      <c r="B14" s="1">
        <f>+B13</f>
        <v>1</v>
      </c>
      <c r="C14" s="1">
        <v>1</v>
      </c>
      <c r="D14" s="1">
        <v>0</v>
      </c>
      <c r="E14" s="93" t="str">
        <f t="shared" si="80"/>
        <v>1.1.0</v>
      </c>
      <c r="F14" s="113" t="s">
        <v>57</v>
      </c>
      <c r="G14" s="114"/>
      <c r="H14" s="115"/>
      <c r="I14" s="115"/>
      <c r="J14" s="111"/>
      <c r="K14" s="111"/>
      <c r="L14" s="111"/>
      <c r="M14" s="96"/>
      <c r="N14" s="96"/>
      <c r="O14" s="95">
        <f>SUM(O15:O18)</f>
        <v>540</v>
      </c>
      <c r="P14" s="115"/>
      <c r="Q14" s="115"/>
      <c r="R14" s="165"/>
      <c r="S14" s="111"/>
      <c r="T14" s="163" t="str">
        <f>IF(S14&lt;&gt;"",IF(#REF!="x",WORKDAY(IF(WEEKDAY(R14,1)=7,R14+2,IF(WEEKDAY(R14,1)=1,R14+1,R14)),S14-1),R14+S14-1),"")</f>
        <v/>
      </c>
      <c r="U14" s="164">
        <f>+SUMPRODUCT(U15:U18,O15:O18)/O14</f>
        <v>2.3741690408357073E-2</v>
      </c>
      <c r="V14" s="198">
        <f t="shared" ref="V14" si="81">+U14*O14</f>
        <v>12.820512820512819</v>
      </c>
      <c r="W14" s="18"/>
      <c r="X14" s="18"/>
      <c r="Y14" s="206">
        <f t="shared" ref="Y14" si="82">+X14*O14</f>
        <v>0</v>
      </c>
      <c r="Z14" s="34"/>
      <c r="AA14" s="15"/>
      <c r="AB14" s="15"/>
      <c r="AC14" s="15"/>
      <c r="AD14" s="15"/>
      <c r="AE14" s="15"/>
      <c r="AF14" s="15"/>
      <c r="AG14" s="184"/>
      <c r="AH14" s="15"/>
      <c r="AI14" s="15"/>
      <c r="AJ14" s="15"/>
      <c r="AK14" s="15"/>
      <c r="AL14" s="15"/>
      <c r="AM14" s="15"/>
      <c r="AN14" s="184"/>
      <c r="AO14" s="15"/>
      <c r="AP14" s="15"/>
      <c r="AQ14" s="15"/>
      <c r="AR14" s="15"/>
      <c r="AS14" s="15"/>
      <c r="AT14" s="15"/>
      <c r="AU14" s="184"/>
      <c r="AV14" s="15"/>
      <c r="AW14" s="15"/>
      <c r="AX14" s="15"/>
      <c r="AY14" s="15"/>
      <c r="AZ14" s="15"/>
      <c r="BA14" s="15"/>
      <c r="BB14" s="184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84"/>
      <c r="CE14" s="15"/>
      <c r="CF14" s="15"/>
      <c r="CG14" s="15"/>
      <c r="CH14" s="15"/>
      <c r="CI14" s="15"/>
      <c r="CJ14" s="15"/>
      <c r="CK14" s="184"/>
      <c r="CL14" s="15"/>
      <c r="CM14" s="15"/>
      <c r="CN14" s="15"/>
      <c r="CO14" s="15"/>
      <c r="CP14" s="15"/>
      <c r="CQ14" s="15"/>
      <c r="CR14" s="184"/>
      <c r="CS14" s="15"/>
      <c r="CT14" s="15"/>
      <c r="CU14" s="15"/>
      <c r="CV14" s="15"/>
      <c r="CW14" s="15"/>
      <c r="CX14" s="15"/>
      <c r="CY14" s="184"/>
      <c r="CZ14" s="15"/>
      <c r="DA14" s="15"/>
      <c r="DB14" s="15"/>
      <c r="DC14" s="15"/>
      <c r="DD14" s="15"/>
      <c r="DE14" s="15"/>
      <c r="DF14" s="184"/>
      <c r="DG14" s="15"/>
      <c r="DH14" s="15"/>
      <c r="DI14" s="15"/>
      <c r="DJ14" s="15"/>
      <c r="DK14" s="15"/>
      <c r="DL14" s="15"/>
      <c r="DM14" s="184"/>
      <c r="DN14" s="15"/>
      <c r="DO14" s="15"/>
      <c r="DP14" s="15"/>
      <c r="DQ14" s="15"/>
      <c r="DR14" s="15"/>
      <c r="DS14" s="15"/>
      <c r="DT14" s="184"/>
      <c r="DU14" s="15"/>
      <c r="DV14" s="15"/>
      <c r="DW14" s="15"/>
      <c r="DX14" s="15"/>
      <c r="DY14" s="15"/>
      <c r="DZ14" s="15"/>
      <c r="EA14" s="184"/>
      <c r="EB14" s="15"/>
      <c r="EC14" s="15"/>
      <c r="ED14" s="15"/>
      <c r="EE14" s="15"/>
      <c r="EF14" s="15"/>
      <c r="EG14" s="15"/>
      <c r="EH14" s="184"/>
      <c r="EI14" s="15"/>
      <c r="EJ14" s="15"/>
      <c r="EK14" s="15"/>
      <c r="EL14" s="15"/>
      <c r="EM14" s="15"/>
      <c r="EN14" s="15"/>
      <c r="EO14" s="184"/>
      <c r="EP14" s="15"/>
      <c r="EQ14" s="15"/>
      <c r="ER14" s="15"/>
      <c r="ES14" s="15"/>
      <c r="ET14" s="15"/>
      <c r="EU14" s="15"/>
      <c r="EV14" s="184"/>
      <c r="EW14" s="15"/>
      <c r="EX14" s="15"/>
      <c r="EY14" s="15"/>
      <c r="EZ14" s="15"/>
      <c r="FA14" s="15"/>
      <c r="FB14" s="15"/>
      <c r="FC14" s="184"/>
      <c r="FD14" s="15"/>
      <c r="FE14" s="15"/>
      <c r="FF14" s="15"/>
      <c r="FG14" s="15"/>
      <c r="FH14" s="15"/>
      <c r="FI14" s="15"/>
      <c r="FJ14" s="184"/>
      <c r="FK14" s="15"/>
      <c r="FL14" s="15"/>
      <c r="FM14" s="15"/>
      <c r="FN14" s="15"/>
      <c r="FO14" s="15"/>
      <c r="FP14" s="15"/>
      <c r="FQ14" s="184"/>
      <c r="FR14" s="15"/>
      <c r="FS14" s="15"/>
      <c r="FT14" s="15"/>
      <c r="FU14" s="15"/>
      <c r="FV14" s="15"/>
      <c r="FW14" s="178"/>
      <c r="FX14" s="184"/>
      <c r="FY14" s="181"/>
      <c r="FZ14" s="15"/>
      <c r="GA14" s="15"/>
      <c r="GB14" s="15"/>
      <c r="GC14" s="15"/>
      <c r="GD14" s="15"/>
      <c r="GE14" s="184"/>
      <c r="GF14" s="15"/>
      <c r="GG14" s="15"/>
      <c r="GH14" s="15"/>
      <c r="GI14" s="15"/>
      <c r="GJ14" s="15"/>
      <c r="GK14" s="15"/>
      <c r="GL14" s="184"/>
      <c r="GM14" s="15"/>
      <c r="GN14" s="15"/>
      <c r="GO14" s="15"/>
      <c r="GP14" s="15"/>
      <c r="GQ14" s="15"/>
      <c r="GR14" s="15"/>
      <c r="GS14" s="184"/>
      <c r="GT14" s="15"/>
      <c r="GU14" s="15"/>
      <c r="GV14" s="15"/>
      <c r="GW14" s="15"/>
      <c r="GX14" s="15"/>
      <c r="GY14" s="15"/>
      <c r="GZ14" s="184"/>
      <c r="HA14" s="15"/>
      <c r="HB14" s="15"/>
      <c r="HC14" s="15"/>
      <c r="HD14" s="15"/>
      <c r="HE14" s="15"/>
      <c r="HF14" s="15"/>
      <c r="HG14" s="184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</row>
    <row r="15" spans="2:390" ht="19.5" customHeight="1" x14ac:dyDescent="0.45">
      <c r="B15" s="1">
        <f t="shared" ref="B15:B21" si="83">+B14</f>
        <v>1</v>
      </c>
      <c r="C15" s="1">
        <v>1</v>
      </c>
      <c r="D15" s="1">
        <v>1</v>
      </c>
      <c r="E15" s="59" t="str">
        <f t="shared" si="80"/>
        <v>1.1.1</v>
      </c>
      <c r="F15" s="23" t="s">
        <v>115</v>
      </c>
      <c r="G15" s="191">
        <v>1</v>
      </c>
      <c r="H15" s="52" t="s">
        <v>117</v>
      </c>
      <c r="I15" s="52" t="s">
        <v>156</v>
      </c>
      <c r="J15" s="52">
        <v>156</v>
      </c>
      <c r="K15" s="52">
        <v>8</v>
      </c>
      <c r="L15" s="52">
        <f>+J15-K15</f>
        <v>148</v>
      </c>
      <c r="M15" s="20">
        <v>2</v>
      </c>
      <c r="N15" s="20">
        <v>125</v>
      </c>
      <c r="O15" s="51">
        <f>+N15*M15</f>
        <v>250</v>
      </c>
      <c r="P15" s="51">
        <f>+SUM(AA15:NZ15)</f>
        <v>250</v>
      </c>
      <c r="Q15" s="51">
        <f>+O15-P15</f>
        <v>0</v>
      </c>
      <c r="R15" s="19">
        <v>46034</v>
      </c>
      <c r="S15" s="20">
        <v>30</v>
      </c>
      <c r="T15" s="21">
        <f>IF(S15&lt;&gt;"",IF($Z$9="x",WORKDAY(IF(WEEKDAY(R15,1)=7,R15+2,IF(WEEKDAY(R15,1)=1,R15+1,R15)),S15-1),R15+S15-1),"")</f>
        <v>46073</v>
      </c>
      <c r="U15" s="22">
        <f>+K15/J15</f>
        <v>5.128205128205128E-2</v>
      </c>
      <c r="V15" s="199">
        <f>+U15*O15</f>
        <v>12.820512820512819</v>
      </c>
      <c r="W15" s="158">
        <f>SUMIFS($AA15:$NZ15, $AA$8:$NZ$8, $W$13)/$O15</f>
        <v>0</v>
      </c>
      <c r="X15" s="159">
        <f>SUMIF($AA$9:$NZ$9, "&lt;=" &amp; $W$11,$AA15:$NZ15)/$O15</f>
        <v>0</v>
      </c>
      <c r="Y15" s="199">
        <f>+X15*O15</f>
        <v>0</v>
      </c>
      <c r="Z15" s="42"/>
      <c r="AA15" s="15"/>
      <c r="AB15" s="15"/>
      <c r="AC15" s="15"/>
      <c r="AD15" s="15"/>
      <c r="AE15" s="15"/>
      <c r="AF15" s="15"/>
      <c r="AG15" s="184"/>
      <c r="AH15" s="15"/>
      <c r="AI15" s="15"/>
      <c r="AJ15" s="15"/>
      <c r="AK15" s="15"/>
      <c r="AL15" s="15"/>
      <c r="AM15" s="15"/>
      <c r="AN15" s="184"/>
      <c r="AO15" s="15"/>
      <c r="AP15" s="15"/>
      <c r="AQ15" s="15"/>
      <c r="AR15" s="15"/>
      <c r="AS15" s="15"/>
      <c r="AT15" s="15"/>
      <c r="AU15" s="184"/>
      <c r="AV15" s="15"/>
      <c r="AW15" s="15"/>
      <c r="AX15" s="15"/>
      <c r="AY15" s="15"/>
      <c r="AZ15" s="15"/>
      <c r="BA15" s="15"/>
      <c r="BB15" s="184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>
        <v>4</v>
      </c>
      <c r="BY15" s="15">
        <v>4</v>
      </c>
      <c r="BZ15" s="15">
        <v>4</v>
      </c>
      <c r="CA15" s="15">
        <v>4</v>
      </c>
      <c r="CB15" s="15">
        <v>4</v>
      </c>
      <c r="CC15" s="15">
        <v>4</v>
      </c>
      <c r="CD15" s="184"/>
      <c r="CE15" s="15">
        <v>12</v>
      </c>
      <c r="CF15" s="15">
        <v>12</v>
      </c>
      <c r="CG15" s="15">
        <v>12</v>
      </c>
      <c r="CH15" s="15">
        <v>12</v>
      </c>
      <c r="CI15" s="15">
        <v>12</v>
      </c>
      <c r="CJ15" s="15">
        <v>12</v>
      </c>
      <c r="CK15" s="184"/>
      <c r="CL15" s="15">
        <v>8</v>
      </c>
      <c r="CM15" s="15">
        <v>8</v>
      </c>
      <c r="CN15" s="15">
        <v>8</v>
      </c>
      <c r="CO15" s="15">
        <v>8</v>
      </c>
      <c r="CP15" s="15">
        <v>8</v>
      </c>
      <c r="CQ15" s="15">
        <v>8</v>
      </c>
      <c r="CR15" s="184"/>
      <c r="CS15" s="15">
        <v>8</v>
      </c>
      <c r="CT15" s="15">
        <v>8</v>
      </c>
      <c r="CU15" s="15">
        <v>8</v>
      </c>
      <c r="CV15" s="15">
        <v>8</v>
      </c>
      <c r="CW15" s="15">
        <v>8</v>
      </c>
      <c r="CX15" s="15">
        <v>8</v>
      </c>
      <c r="CY15" s="184"/>
      <c r="CZ15" s="15">
        <v>6</v>
      </c>
      <c r="DA15" s="15">
        <v>6</v>
      </c>
      <c r="DB15" s="15">
        <v>6</v>
      </c>
      <c r="DC15" s="15">
        <v>6</v>
      </c>
      <c r="DD15" s="15">
        <v>6</v>
      </c>
      <c r="DE15" s="15">
        <v>6</v>
      </c>
      <c r="DF15" s="184"/>
      <c r="DG15" s="15">
        <v>4</v>
      </c>
      <c r="DH15" s="15">
        <v>4</v>
      </c>
      <c r="DI15" s="15">
        <v>4</v>
      </c>
      <c r="DJ15" s="15">
        <v>4</v>
      </c>
      <c r="DK15" s="15">
        <v>4</v>
      </c>
      <c r="DL15" s="15">
        <v>2</v>
      </c>
      <c r="DM15" s="184"/>
      <c r="DN15" s="15"/>
      <c r="DO15" s="15"/>
      <c r="DP15" s="15"/>
      <c r="DQ15" s="15"/>
      <c r="DR15" s="15"/>
      <c r="DS15" s="15"/>
      <c r="DT15" s="184"/>
      <c r="DU15" s="15"/>
      <c r="DV15" s="15"/>
      <c r="DW15" s="15"/>
      <c r="DX15" s="15"/>
      <c r="DY15" s="15"/>
      <c r="DZ15" s="15"/>
      <c r="EA15" s="184"/>
      <c r="EB15" s="15"/>
      <c r="EC15" s="15"/>
      <c r="ED15" s="15"/>
      <c r="EE15" s="15"/>
      <c r="EF15" s="15"/>
      <c r="EG15" s="15"/>
      <c r="EH15" s="184"/>
      <c r="EI15" s="15"/>
      <c r="EJ15" s="15"/>
      <c r="EK15" s="15"/>
      <c r="EL15" s="15"/>
      <c r="EM15" s="15"/>
      <c r="EN15" s="15"/>
      <c r="EO15" s="184"/>
      <c r="EP15" s="15"/>
      <c r="EQ15" s="15"/>
      <c r="ER15" s="15"/>
      <c r="ES15" s="15"/>
      <c r="ET15" s="15"/>
      <c r="EU15" s="15"/>
      <c r="EV15" s="184"/>
      <c r="EW15" s="15"/>
      <c r="EX15" s="15"/>
      <c r="EY15" s="15"/>
      <c r="EZ15" s="15"/>
      <c r="FA15" s="15"/>
      <c r="FB15" s="15"/>
      <c r="FC15" s="184"/>
      <c r="FD15" s="15"/>
      <c r="FE15" s="15"/>
      <c r="FF15" s="15"/>
      <c r="FG15" s="15"/>
      <c r="FH15" s="15"/>
      <c r="FI15" s="15"/>
      <c r="FJ15" s="184"/>
      <c r="FK15" s="15"/>
      <c r="FL15" s="15"/>
      <c r="FM15" s="15"/>
      <c r="FN15" s="15"/>
      <c r="FO15" s="15"/>
      <c r="FP15" s="15"/>
      <c r="FQ15" s="184"/>
      <c r="FR15" s="15"/>
      <c r="FS15" s="15"/>
      <c r="FT15" s="15"/>
      <c r="FU15" s="15"/>
      <c r="FV15" s="15"/>
      <c r="FW15" s="178"/>
      <c r="FX15" s="184"/>
      <c r="FY15" s="181"/>
      <c r="FZ15" s="15"/>
      <c r="GA15" s="15"/>
      <c r="GB15" s="15"/>
      <c r="GC15" s="15"/>
      <c r="GD15" s="15"/>
      <c r="GE15" s="184"/>
      <c r="GF15" s="15"/>
      <c r="GG15" s="15"/>
      <c r="GH15" s="15"/>
      <c r="GI15" s="15"/>
      <c r="GJ15" s="15"/>
      <c r="GK15" s="15"/>
      <c r="GL15" s="184"/>
      <c r="GM15" s="15"/>
      <c r="GN15" s="15"/>
      <c r="GO15" s="15"/>
      <c r="GP15" s="15"/>
      <c r="GQ15" s="15"/>
      <c r="GR15" s="15"/>
      <c r="GS15" s="184"/>
      <c r="GT15" s="15"/>
      <c r="GU15" s="15"/>
      <c r="GV15" s="15"/>
      <c r="GW15" s="15"/>
      <c r="GX15" s="15"/>
      <c r="GY15" s="15"/>
      <c r="GZ15" s="184"/>
      <c r="HA15" s="15"/>
      <c r="HB15" s="15"/>
      <c r="HC15" s="15"/>
      <c r="HD15" s="15"/>
      <c r="HE15" s="15"/>
      <c r="HF15" s="15"/>
      <c r="HG15" s="184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</row>
    <row r="16" spans="2:390" ht="19.5" customHeight="1" x14ac:dyDescent="0.45">
      <c r="B16" s="1">
        <f t="shared" si="83"/>
        <v>1</v>
      </c>
      <c r="C16" s="1">
        <v>1</v>
      </c>
      <c r="D16" s="1">
        <v>2</v>
      </c>
      <c r="E16" s="59" t="str">
        <f t="shared" si="80"/>
        <v>1.1.2</v>
      </c>
      <c r="F16" s="23" t="s">
        <v>73</v>
      </c>
      <c r="G16" s="191">
        <v>1</v>
      </c>
      <c r="H16" s="52" t="s">
        <v>117</v>
      </c>
      <c r="I16" s="52" t="s">
        <v>156</v>
      </c>
      <c r="J16" s="52">
        <f>+J15</f>
        <v>156</v>
      </c>
      <c r="K16" s="52">
        <v>0</v>
      </c>
      <c r="L16" s="52">
        <f>+J16-K16</f>
        <v>156</v>
      </c>
      <c r="M16" s="20">
        <v>2</v>
      </c>
      <c r="N16" s="20">
        <v>80</v>
      </c>
      <c r="O16" s="51">
        <f>+N16*M16</f>
        <v>160</v>
      </c>
      <c r="P16" s="51">
        <f>+SUM(AA16:NZ16)</f>
        <v>160</v>
      </c>
      <c r="Q16" s="51">
        <f>+O16-P16</f>
        <v>0</v>
      </c>
      <c r="R16" s="19">
        <f>+R15+7</f>
        <v>46041</v>
      </c>
      <c r="S16" s="20">
        <v>30</v>
      </c>
      <c r="T16" s="21">
        <f t="shared" ref="T16:T79" si="84">IF(S16&lt;&gt;"",IF($Z$9="x",WORKDAY(IF(WEEKDAY(R16,1)=7,R16+2,IF(WEEKDAY(R16,1)=1,R16+1,R16)),S16-1),R16+S16-1),"")</f>
        <v>46080</v>
      </c>
      <c r="U16" s="22">
        <f>+K16/J16</f>
        <v>0</v>
      </c>
      <c r="V16" s="199">
        <f t="shared" ref="V16:V79" si="85">+U16*O16</f>
        <v>0</v>
      </c>
      <c r="W16" s="158">
        <f>SUMIFS($AA16:$NZ16, $AA$8:$NZ$8, $W$13)/$O16</f>
        <v>0</v>
      </c>
      <c r="X16" s="159">
        <f>SUMIF($AA$9:$NZ$9, "&lt;=" &amp; $W$11,$AA16:$NZ16)/$O16</f>
        <v>0</v>
      </c>
      <c r="Y16" s="199">
        <f t="shared" ref="Y16:Y79" si="86">+X16*O16</f>
        <v>0</v>
      </c>
      <c r="Z16" s="35"/>
      <c r="AA16" s="15"/>
      <c r="AB16" s="15"/>
      <c r="AC16" s="15"/>
      <c r="AD16" s="15"/>
      <c r="AE16" s="15"/>
      <c r="AF16" s="15"/>
      <c r="AG16" s="184"/>
      <c r="AH16" s="15"/>
      <c r="AI16" s="15"/>
      <c r="AJ16" s="15"/>
      <c r="AK16" s="15"/>
      <c r="AL16" s="15"/>
      <c r="AM16" s="15"/>
      <c r="AN16" s="184"/>
      <c r="AO16" s="15"/>
      <c r="AP16" s="15"/>
      <c r="AQ16" s="15"/>
      <c r="AR16" s="15"/>
      <c r="AS16" s="15"/>
      <c r="AT16" s="15"/>
      <c r="AU16" s="184"/>
      <c r="AV16" s="15"/>
      <c r="AW16" s="15"/>
      <c r="AX16" s="15"/>
      <c r="AY16" s="15"/>
      <c r="AZ16" s="15"/>
      <c r="BA16" s="15"/>
      <c r="BB16" s="184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84"/>
      <c r="CE16" s="15">
        <v>5</v>
      </c>
      <c r="CF16" s="15">
        <v>5</v>
      </c>
      <c r="CG16" s="15">
        <v>5</v>
      </c>
      <c r="CH16" s="15">
        <v>5</v>
      </c>
      <c r="CI16" s="15">
        <v>5</v>
      </c>
      <c r="CJ16" s="15">
        <v>5</v>
      </c>
      <c r="CK16" s="184"/>
      <c r="CL16" s="15">
        <v>6</v>
      </c>
      <c r="CM16" s="15">
        <v>6</v>
      </c>
      <c r="CN16" s="15">
        <v>6</v>
      </c>
      <c r="CO16" s="15">
        <v>6</v>
      </c>
      <c r="CP16" s="15">
        <v>6</v>
      </c>
      <c r="CQ16" s="15">
        <v>6</v>
      </c>
      <c r="CR16" s="184"/>
      <c r="CS16" s="15">
        <v>4</v>
      </c>
      <c r="CT16" s="15">
        <v>4</v>
      </c>
      <c r="CU16" s="15">
        <v>4</v>
      </c>
      <c r="CV16" s="15">
        <v>4</v>
      </c>
      <c r="CW16" s="15">
        <v>4</v>
      </c>
      <c r="CX16" s="15">
        <v>4</v>
      </c>
      <c r="CY16" s="15"/>
      <c r="CZ16" s="15">
        <v>4</v>
      </c>
      <c r="DA16" s="15">
        <v>4</v>
      </c>
      <c r="DB16" s="15">
        <v>4</v>
      </c>
      <c r="DC16" s="15">
        <v>4</v>
      </c>
      <c r="DD16" s="15">
        <v>4</v>
      </c>
      <c r="DE16" s="15">
        <v>4</v>
      </c>
      <c r="DF16" s="184"/>
      <c r="DG16" s="15">
        <v>4</v>
      </c>
      <c r="DH16" s="15">
        <v>4</v>
      </c>
      <c r="DI16" s="15">
        <v>4</v>
      </c>
      <c r="DJ16" s="15">
        <v>4</v>
      </c>
      <c r="DK16" s="15">
        <v>4</v>
      </c>
      <c r="DL16" s="15">
        <v>6</v>
      </c>
      <c r="DM16" s="184"/>
      <c r="DN16" s="15">
        <v>4</v>
      </c>
      <c r="DO16" s="15">
        <v>4</v>
      </c>
      <c r="DP16" s="15">
        <v>4</v>
      </c>
      <c r="DQ16" s="15">
        <v>4</v>
      </c>
      <c r="DR16" s="15">
        <v>4</v>
      </c>
      <c r="DS16" s="15"/>
      <c r="DT16" s="184"/>
      <c r="DU16" s="15"/>
      <c r="DV16" s="15"/>
      <c r="DW16" s="15"/>
      <c r="DX16" s="15"/>
      <c r="DY16" s="15"/>
      <c r="DZ16" s="15"/>
      <c r="EA16" s="184"/>
      <c r="EB16" s="15"/>
      <c r="EC16" s="15"/>
      <c r="ED16" s="15"/>
      <c r="EE16" s="15"/>
      <c r="EF16" s="15"/>
      <c r="EG16" s="15"/>
      <c r="EH16" s="184"/>
      <c r="EI16" s="15"/>
      <c r="EJ16" s="15"/>
      <c r="EK16" s="15"/>
      <c r="EL16" s="15"/>
      <c r="EM16" s="15"/>
      <c r="EN16" s="15"/>
      <c r="EO16" s="184"/>
      <c r="EP16" s="15"/>
      <c r="EQ16" s="15"/>
      <c r="ER16" s="15"/>
      <c r="ES16" s="15"/>
      <c r="ET16" s="15"/>
      <c r="EU16" s="15"/>
      <c r="EV16" s="184"/>
      <c r="EW16" s="15"/>
      <c r="EX16" s="15"/>
      <c r="EY16" s="15"/>
      <c r="EZ16" s="15"/>
      <c r="FA16" s="15"/>
      <c r="FB16" s="15"/>
      <c r="FC16" s="184"/>
      <c r="FD16" s="15"/>
      <c r="FE16" s="15"/>
      <c r="FF16" s="15"/>
      <c r="FG16" s="15"/>
      <c r="FH16" s="15"/>
      <c r="FI16" s="15"/>
      <c r="FJ16" s="184"/>
      <c r="FK16" s="15"/>
      <c r="FL16" s="15"/>
      <c r="FM16" s="15"/>
      <c r="FN16" s="15"/>
      <c r="FO16" s="15"/>
      <c r="FP16" s="15"/>
      <c r="FQ16" s="184"/>
      <c r="FR16" s="15"/>
      <c r="FS16" s="15"/>
      <c r="FT16" s="15"/>
      <c r="FU16" s="15"/>
      <c r="FV16" s="15"/>
      <c r="FW16" s="178"/>
      <c r="FX16" s="184"/>
      <c r="FY16" s="181"/>
      <c r="FZ16" s="15"/>
      <c r="GA16" s="15"/>
      <c r="GB16" s="15"/>
      <c r="GC16" s="15"/>
      <c r="GD16" s="15"/>
      <c r="GE16" s="184"/>
      <c r="GF16" s="15"/>
      <c r="GG16" s="15"/>
      <c r="GH16" s="15"/>
      <c r="GI16" s="15"/>
      <c r="GJ16" s="15"/>
      <c r="GK16" s="15"/>
      <c r="GL16" s="184"/>
      <c r="GM16" s="15"/>
      <c r="GN16" s="15"/>
      <c r="GO16" s="15"/>
      <c r="GP16" s="15"/>
      <c r="GQ16" s="15"/>
      <c r="GR16" s="15"/>
      <c r="GS16" s="184"/>
      <c r="GT16" s="15"/>
      <c r="GU16" s="15"/>
      <c r="GV16" s="15"/>
      <c r="GW16" s="15"/>
      <c r="GX16" s="15"/>
      <c r="GY16" s="15"/>
      <c r="GZ16" s="184"/>
      <c r="HA16" s="15"/>
      <c r="HB16" s="15"/>
      <c r="HC16" s="15"/>
      <c r="HD16" s="15"/>
      <c r="HE16" s="15"/>
      <c r="HF16" s="15"/>
      <c r="HG16" s="184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</row>
    <row r="17" spans="2:390" ht="19.5" customHeight="1" x14ac:dyDescent="0.45">
      <c r="B17" s="1">
        <f t="shared" si="83"/>
        <v>1</v>
      </c>
      <c r="C17" s="1">
        <v>1</v>
      </c>
      <c r="D17" s="1">
        <f>+D16+1</f>
        <v>3</v>
      </c>
      <c r="E17" s="59" t="str">
        <f t="shared" si="80"/>
        <v>1.1.3</v>
      </c>
      <c r="F17" s="23" t="s">
        <v>116</v>
      </c>
      <c r="G17" s="191">
        <v>1</v>
      </c>
      <c r="H17" s="52" t="s">
        <v>117</v>
      </c>
      <c r="I17" s="52" t="s">
        <v>156</v>
      </c>
      <c r="J17" s="52">
        <f>+J16</f>
        <v>156</v>
      </c>
      <c r="K17" s="52">
        <v>0</v>
      </c>
      <c r="L17" s="52">
        <f>+J17-K17</f>
        <v>156</v>
      </c>
      <c r="M17" s="20">
        <v>2</v>
      </c>
      <c r="N17" s="20">
        <v>65</v>
      </c>
      <c r="O17" s="51">
        <f>+N17*M17</f>
        <v>130</v>
      </c>
      <c r="P17" s="51">
        <f>+SUM(AA17:NZ17)</f>
        <v>130</v>
      </c>
      <c r="Q17" s="51">
        <f>+O17-P17</f>
        <v>0</v>
      </c>
      <c r="R17" s="19">
        <f>+R16+7</f>
        <v>46048</v>
      </c>
      <c r="S17" s="20">
        <v>25</v>
      </c>
      <c r="T17" s="21">
        <f t="shared" si="84"/>
        <v>46080</v>
      </c>
      <c r="U17" s="22">
        <f>+K17/J17</f>
        <v>0</v>
      </c>
      <c r="V17" s="199">
        <f t="shared" si="85"/>
        <v>0</v>
      </c>
      <c r="W17" s="158">
        <f>SUMIFS($AA17:$NZ17, $AA$8:$NZ$8, $W$13)/$O17</f>
        <v>0</v>
      </c>
      <c r="X17" s="159">
        <f>SUMIF($AA$9:$NZ$9, "&lt;=" &amp; $W$11,$AA17:$NZ17)/$O17</f>
        <v>0</v>
      </c>
      <c r="Y17" s="199">
        <f t="shared" si="86"/>
        <v>0</v>
      </c>
      <c r="Z17" s="35"/>
      <c r="AA17" s="15"/>
      <c r="AB17" s="15"/>
      <c r="AC17" s="15"/>
      <c r="AD17" s="15"/>
      <c r="AE17" s="15"/>
      <c r="AF17" s="15"/>
      <c r="AG17" s="184"/>
      <c r="AH17" s="15"/>
      <c r="AI17" s="15"/>
      <c r="AJ17" s="15"/>
      <c r="AK17" s="15"/>
      <c r="AL17" s="15"/>
      <c r="AM17" s="15"/>
      <c r="AN17" s="184"/>
      <c r="AO17" s="15"/>
      <c r="AP17" s="15"/>
      <c r="AQ17" s="15"/>
      <c r="AR17" s="15"/>
      <c r="AS17" s="15"/>
      <c r="AT17" s="15"/>
      <c r="AU17" s="184"/>
      <c r="AV17" s="15"/>
      <c r="AW17" s="15"/>
      <c r="AX17" s="15"/>
      <c r="AY17" s="15"/>
      <c r="AZ17" s="15"/>
      <c r="BA17" s="15"/>
      <c r="BB17" s="184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84"/>
      <c r="CE17" s="15"/>
      <c r="CF17" s="15"/>
      <c r="CG17" s="15"/>
      <c r="CH17" s="15"/>
      <c r="CI17" s="15"/>
      <c r="CJ17" s="15"/>
      <c r="CK17" s="184"/>
      <c r="CL17" s="15">
        <v>4</v>
      </c>
      <c r="CM17" s="15">
        <v>4</v>
      </c>
      <c r="CN17" s="15">
        <v>4</v>
      </c>
      <c r="CO17" s="15">
        <v>4</v>
      </c>
      <c r="CP17" s="15">
        <v>4</v>
      </c>
      <c r="CQ17" s="15">
        <v>4</v>
      </c>
      <c r="CR17" s="184"/>
      <c r="CS17" s="15">
        <v>6</v>
      </c>
      <c r="CT17" s="15">
        <v>6</v>
      </c>
      <c r="CU17" s="15">
        <v>6</v>
      </c>
      <c r="CV17" s="15">
        <v>6</v>
      </c>
      <c r="CW17" s="15">
        <v>6</v>
      </c>
      <c r="CX17" s="15">
        <v>6</v>
      </c>
      <c r="CY17" s="184"/>
      <c r="CZ17" s="15">
        <v>4</v>
      </c>
      <c r="DA17" s="15">
        <v>4</v>
      </c>
      <c r="DB17" s="15">
        <v>4</v>
      </c>
      <c r="DC17" s="15">
        <v>4</v>
      </c>
      <c r="DD17" s="15">
        <v>4</v>
      </c>
      <c r="DE17" s="15">
        <v>4</v>
      </c>
      <c r="DF17" s="184"/>
      <c r="DG17" s="15">
        <v>4</v>
      </c>
      <c r="DH17" s="15">
        <v>4</v>
      </c>
      <c r="DI17" s="15">
        <v>4</v>
      </c>
      <c r="DJ17" s="15">
        <v>4</v>
      </c>
      <c r="DK17" s="15">
        <v>4</v>
      </c>
      <c r="DL17" s="15">
        <v>4</v>
      </c>
      <c r="DM17" s="184"/>
      <c r="DN17" s="15">
        <v>4</v>
      </c>
      <c r="DO17" s="15">
        <v>4</v>
      </c>
      <c r="DP17" s="15">
        <v>4</v>
      </c>
      <c r="DQ17" s="15">
        <v>4</v>
      </c>
      <c r="DR17" s="15">
        <v>4</v>
      </c>
      <c r="DS17" s="15">
        <v>2</v>
      </c>
      <c r="DT17" s="184"/>
      <c r="DU17" s="15"/>
      <c r="DV17" s="15"/>
      <c r="DW17" s="15"/>
      <c r="DX17" s="15"/>
      <c r="DY17" s="15"/>
      <c r="DZ17" s="15"/>
      <c r="EA17" s="184"/>
      <c r="EB17" s="15"/>
      <c r="EC17" s="15"/>
      <c r="ED17" s="15"/>
      <c r="EE17" s="15"/>
      <c r="EF17" s="15"/>
      <c r="EG17" s="15"/>
      <c r="EH17" s="184"/>
      <c r="EI17" s="15"/>
      <c r="EJ17" s="15"/>
      <c r="EK17" s="15"/>
      <c r="EL17" s="15"/>
      <c r="EM17" s="15"/>
      <c r="EN17" s="15"/>
      <c r="EO17" s="184"/>
      <c r="EP17" s="15"/>
      <c r="EQ17" s="15"/>
      <c r="ER17" s="15"/>
      <c r="ES17" s="15"/>
      <c r="ET17" s="15"/>
      <c r="EU17" s="15"/>
      <c r="EV17" s="184"/>
      <c r="EW17" s="15"/>
      <c r="EX17" s="15"/>
      <c r="EY17" s="15"/>
      <c r="EZ17" s="15"/>
      <c r="FA17" s="15"/>
      <c r="FB17" s="15"/>
      <c r="FC17" s="184"/>
      <c r="FD17" s="15"/>
      <c r="FE17" s="15"/>
      <c r="FF17" s="15"/>
      <c r="FG17" s="15"/>
      <c r="FH17" s="15"/>
      <c r="FI17" s="15"/>
      <c r="FJ17" s="184"/>
      <c r="FK17" s="15"/>
      <c r="FL17" s="15"/>
      <c r="FM17" s="15"/>
      <c r="FN17" s="15"/>
      <c r="FO17" s="15"/>
      <c r="FP17" s="15"/>
      <c r="FQ17" s="184"/>
      <c r="FR17" s="15"/>
      <c r="FS17" s="15"/>
      <c r="FT17" s="15"/>
      <c r="FU17" s="15"/>
      <c r="FV17" s="15"/>
      <c r="FW17" s="178"/>
      <c r="FX17" s="184"/>
      <c r="FY17" s="181"/>
      <c r="FZ17" s="15"/>
      <c r="GA17" s="15"/>
      <c r="GB17" s="15"/>
      <c r="GC17" s="15"/>
      <c r="GD17" s="15"/>
      <c r="GE17" s="184"/>
      <c r="GF17" s="15"/>
      <c r="GG17" s="15"/>
      <c r="GH17" s="15"/>
      <c r="GI17" s="15"/>
      <c r="GJ17" s="15"/>
      <c r="GK17" s="15"/>
      <c r="GL17" s="184"/>
      <c r="GM17" s="15"/>
      <c r="GN17" s="15"/>
      <c r="GO17" s="15"/>
      <c r="GP17" s="15"/>
      <c r="GQ17" s="15"/>
      <c r="GR17" s="15"/>
      <c r="GS17" s="184"/>
      <c r="GT17" s="15"/>
      <c r="GU17" s="15"/>
      <c r="GV17" s="15"/>
      <c r="GW17" s="15"/>
      <c r="GX17" s="15"/>
      <c r="GY17" s="15"/>
      <c r="GZ17" s="184"/>
      <c r="HA17" s="15"/>
      <c r="HB17" s="15"/>
      <c r="HC17" s="15"/>
      <c r="HD17" s="15"/>
      <c r="HE17" s="15"/>
      <c r="HF17" s="15"/>
      <c r="HG17" s="184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</row>
    <row r="18" spans="2:390" ht="19.5" customHeight="1" x14ac:dyDescent="0.45">
      <c r="B18" s="1">
        <f>+B16</f>
        <v>1</v>
      </c>
      <c r="C18" s="1">
        <v>1</v>
      </c>
      <c r="D18" s="1">
        <f>+D17+1</f>
        <v>4</v>
      </c>
      <c r="E18" s="59" t="str">
        <f t="shared" si="80"/>
        <v>1.1.4</v>
      </c>
      <c r="F18" s="23" t="s">
        <v>74</v>
      </c>
      <c r="G18" s="191">
        <v>1</v>
      </c>
      <c r="H18" s="61" t="s">
        <v>118</v>
      </c>
      <c r="I18" s="61" t="s">
        <v>156</v>
      </c>
      <c r="J18" s="52">
        <f>+J16</f>
        <v>156</v>
      </c>
      <c r="K18" s="52">
        <v>0</v>
      </c>
      <c r="L18" s="52">
        <f>+J18-K18</f>
        <v>156</v>
      </c>
      <c r="M18" s="64"/>
      <c r="N18" s="64"/>
      <c r="O18" s="51">
        <f>+N18*M18</f>
        <v>0</v>
      </c>
      <c r="P18" s="51">
        <f>+SUM(AA18:NZ18)</f>
        <v>0</v>
      </c>
      <c r="Q18" s="51">
        <f>+O18-P18</f>
        <v>0</v>
      </c>
      <c r="R18" s="187"/>
      <c r="S18" s="64"/>
      <c r="T18" s="155" t="str">
        <f t="shared" si="84"/>
        <v/>
      </c>
      <c r="U18" s="22">
        <f>+K18/J18</f>
        <v>0</v>
      </c>
      <c r="V18" s="199">
        <f t="shared" si="85"/>
        <v>0</v>
      </c>
      <c r="W18" s="158"/>
      <c r="X18" s="159"/>
      <c r="Y18" s="199">
        <f t="shared" si="86"/>
        <v>0</v>
      </c>
      <c r="Z18" s="35"/>
      <c r="AA18" s="15"/>
      <c r="AB18" s="15"/>
      <c r="AC18" s="15"/>
      <c r="AD18" s="15"/>
      <c r="AE18" s="15"/>
      <c r="AF18" s="15"/>
      <c r="AG18" s="184"/>
      <c r="AH18" s="15"/>
      <c r="AI18" s="15"/>
      <c r="AJ18" s="15"/>
      <c r="AK18" s="15"/>
      <c r="AL18" s="15"/>
      <c r="AM18" s="15"/>
      <c r="AN18" s="184"/>
      <c r="AO18" s="15"/>
      <c r="AP18" s="15"/>
      <c r="AQ18" s="15"/>
      <c r="AR18" s="15"/>
      <c r="AS18" s="15"/>
      <c r="AT18" s="15"/>
      <c r="AU18" s="184"/>
      <c r="AV18" s="15"/>
      <c r="AW18" s="15"/>
      <c r="AX18" s="15"/>
      <c r="AY18" s="15"/>
      <c r="AZ18" s="15"/>
      <c r="BA18" s="15"/>
      <c r="BB18" s="184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84"/>
      <c r="CE18" s="15"/>
      <c r="CF18" s="15"/>
      <c r="CG18" s="15"/>
      <c r="CH18" s="15"/>
      <c r="CI18" s="15"/>
      <c r="CJ18" s="15"/>
      <c r="CK18" s="184"/>
      <c r="CL18" s="15"/>
      <c r="CM18" s="15"/>
      <c r="CN18" s="15"/>
      <c r="CO18" s="15"/>
      <c r="CP18" s="15"/>
      <c r="CQ18" s="15"/>
      <c r="CR18" s="184"/>
      <c r="CS18" s="15"/>
      <c r="CT18" s="15"/>
      <c r="CU18" s="15"/>
      <c r="CV18" s="15"/>
      <c r="CW18" s="15"/>
      <c r="CX18" s="15"/>
      <c r="CY18" s="184"/>
      <c r="CZ18" s="15"/>
      <c r="DA18" s="15"/>
      <c r="DB18" s="15"/>
      <c r="DC18" s="15"/>
      <c r="DD18" s="15"/>
      <c r="DE18" s="15"/>
      <c r="DF18" s="184"/>
      <c r="DG18" s="15"/>
      <c r="DH18" s="15"/>
      <c r="DI18" s="15"/>
      <c r="DJ18" s="15"/>
      <c r="DK18" s="15"/>
      <c r="DL18" s="15"/>
      <c r="DM18" s="184"/>
      <c r="DN18" s="15"/>
      <c r="DO18" s="15"/>
      <c r="DP18" s="15"/>
      <c r="DQ18" s="15"/>
      <c r="DR18" s="15"/>
      <c r="DS18" s="15"/>
      <c r="DT18" s="184"/>
      <c r="DU18" s="15"/>
      <c r="DV18" s="15"/>
      <c r="DW18" s="15"/>
      <c r="DX18" s="15"/>
      <c r="DY18" s="15"/>
      <c r="DZ18" s="15"/>
      <c r="EA18" s="184"/>
      <c r="EB18" s="15"/>
      <c r="EC18" s="15"/>
      <c r="ED18" s="15"/>
      <c r="EE18" s="15"/>
      <c r="EF18" s="15"/>
      <c r="EG18" s="15"/>
      <c r="EH18" s="184"/>
      <c r="EI18" s="15"/>
      <c r="EJ18" s="15"/>
      <c r="EK18" s="15"/>
      <c r="EL18" s="15"/>
      <c r="EM18" s="15"/>
      <c r="EN18" s="15"/>
      <c r="EO18" s="184"/>
      <c r="EP18" s="15"/>
      <c r="EQ18" s="15"/>
      <c r="ER18" s="15"/>
      <c r="ES18" s="15"/>
      <c r="ET18" s="15"/>
      <c r="EU18" s="15"/>
      <c r="EV18" s="184"/>
      <c r="EW18" s="15"/>
      <c r="EX18" s="15"/>
      <c r="EY18" s="15"/>
      <c r="EZ18" s="15"/>
      <c r="FA18" s="15"/>
      <c r="FB18" s="15"/>
      <c r="FC18" s="184"/>
      <c r="FD18" s="15"/>
      <c r="FE18" s="15"/>
      <c r="FF18" s="15"/>
      <c r="FG18" s="15"/>
      <c r="FH18" s="15"/>
      <c r="FI18" s="15"/>
      <c r="FJ18" s="184"/>
      <c r="FK18" s="15"/>
      <c r="FL18" s="15"/>
      <c r="FM18" s="15"/>
      <c r="FN18" s="15"/>
      <c r="FO18" s="15"/>
      <c r="FP18" s="15"/>
      <c r="FQ18" s="184"/>
      <c r="FR18" s="15"/>
      <c r="FS18" s="15"/>
      <c r="FT18" s="15"/>
      <c r="FU18" s="15"/>
      <c r="FV18" s="15"/>
      <c r="FW18" s="178"/>
      <c r="FX18" s="184"/>
      <c r="FY18" s="181"/>
      <c r="FZ18" s="15"/>
      <c r="GA18" s="15"/>
      <c r="GB18" s="15"/>
      <c r="GC18" s="15"/>
      <c r="GD18" s="15"/>
      <c r="GE18" s="184"/>
      <c r="GF18" s="15"/>
      <c r="GG18" s="15"/>
      <c r="GH18" s="15"/>
      <c r="GI18" s="15"/>
      <c r="GJ18" s="15"/>
      <c r="GK18" s="15"/>
      <c r="GL18" s="184"/>
      <c r="GM18" s="15"/>
      <c r="GN18" s="15"/>
      <c r="GO18" s="15"/>
      <c r="GP18" s="15"/>
      <c r="GQ18" s="15"/>
      <c r="GR18" s="15"/>
      <c r="GS18" s="184"/>
      <c r="GT18" s="15"/>
      <c r="GU18" s="15"/>
      <c r="GV18" s="15"/>
      <c r="GW18" s="15"/>
      <c r="GX18" s="15"/>
      <c r="GY18" s="15"/>
      <c r="GZ18" s="184"/>
      <c r="HA18" s="15"/>
      <c r="HB18" s="15"/>
      <c r="HC18" s="15"/>
      <c r="HD18" s="15"/>
      <c r="HE18" s="15"/>
      <c r="HF18" s="15"/>
      <c r="HG18" s="184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</row>
    <row r="19" spans="2:390" ht="19.5" customHeight="1" x14ac:dyDescent="0.45">
      <c r="B19" s="1">
        <f t="shared" si="83"/>
        <v>1</v>
      </c>
      <c r="C19" s="1">
        <f>+C18+1</f>
        <v>2</v>
      </c>
      <c r="D19" s="1">
        <v>0</v>
      </c>
      <c r="E19" s="93" t="str">
        <f t="shared" si="80"/>
        <v>1.2.0</v>
      </c>
      <c r="F19" s="99" t="s">
        <v>58</v>
      </c>
      <c r="G19" s="114"/>
      <c r="H19" s="115"/>
      <c r="I19" s="115"/>
      <c r="J19" s="111"/>
      <c r="K19" s="111"/>
      <c r="L19" s="111"/>
      <c r="M19" s="96"/>
      <c r="N19" s="96"/>
      <c r="O19" s="95">
        <f>SUM(O20:O22)</f>
        <v>160</v>
      </c>
      <c r="P19" s="95"/>
      <c r="Q19" s="95"/>
      <c r="R19" s="162"/>
      <c r="S19" s="96"/>
      <c r="T19" s="163" t="str">
        <f t="shared" si="84"/>
        <v/>
      </c>
      <c r="U19" s="164">
        <f>+SUMPRODUCT(U20:U22,O20:O22)/O19</f>
        <v>0.79605263157894735</v>
      </c>
      <c r="V19" s="200">
        <f t="shared" si="85"/>
        <v>127.36842105263158</v>
      </c>
      <c r="W19" s="22"/>
      <c r="X19" s="22"/>
      <c r="Y19" s="199">
        <f t="shared" si="86"/>
        <v>0</v>
      </c>
      <c r="Z19" s="36"/>
      <c r="AA19" s="15"/>
      <c r="AB19" s="15"/>
      <c r="AC19" s="15"/>
      <c r="AD19" s="15"/>
      <c r="AE19" s="15"/>
      <c r="AF19" s="15"/>
      <c r="AG19" s="184"/>
      <c r="AH19" s="15"/>
      <c r="AI19" s="15"/>
      <c r="AJ19" s="15"/>
      <c r="AK19" s="15"/>
      <c r="AL19" s="15"/>
      <c r="AM19" s="15"/>
      <c r="AN19" s="184"/>
      <c r="AO19" s="15"/>
      <c r="AP19" s="15"/>
      <c r="AQ19" s="15"/>
      <c r="AR19" s="15"/>
      <c r="AS19" s="15"/>
      <c r="AT19" s="15"/>
      <c r="AU19" s="184"/>
      <c r="AV19" s="15"/>
      <c r="AW19" s="15"/>
      <c r="AX19" s="15"/>
      <c r="AY19" s="15"/>
      <c r="AZ19" s="15"/>
      <c r="BA19" s="15"/>
      <c r="BB19" s="184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84"/>
      <c r="CE19" s="15"/>
      <c r="CF19" s="15"/>
      <c r="CG19" s="15"/>
      <c r="CH19" s="15"/>
      <c r="CI19" s="15"/>
      <c r="CJ19" s="15"/>
      <c r="CK19" s="184"/>
      <c r="CL19" s="15"/>
      <c r="CM19" s="15"/>
      <c r="CN19" s="15"/>
      <c r="CO19" s="15"/>
      <c r="CP19" s="15"/>
      <c r="CQ19" s="15"/>
      <c r="CR19" s="184"/>
      <c r="CS19" s="15"/>
      <c r="CT19" s="15"/>
      <c r="CU19" s="15"/>
      <c r="CV19" s="15"/>
      <c r="CW19" s="15"/>
      <c r="CX19" s="15"/>
      <c r="CY19" s="184"/>
      <c r="CZ19" s="15"/>
      <c r="DA19" s="15"/>
      <c r="DB19" s="15"/>
      <c r="DC19" s="15"/>
      <c r="DD19" s="15"/>
      <c r="DE19" s="15"/>
      <c r="DF19" s="184"/>
      <c r="DG19" s="15"/>
      <c r="DH19" s="15"/>
      <c r="DI19" s="15"/>
      <c r="DJ19" s="15"/>
      <c r="DK19" s="15"/>
      <c r="DL19" s="15"/>
      <c r="DM19" s="184"/>
      <c r="DN19" s="15"/>
      <c r="DO19" s="15"/>
      <c r="DP19" s="15"/>
      <c r="DQ19" s="15"/>
      <c r="DR19" s="15"/>
      <c r="DS19" s="15"/>
      <c r="DT19" s="184"/>
      <c r="DU19" s="15"/>
      <c r="DV19" s="15"/>
      <c r="DW19" s="15"/>
      <c r="DX19" s="15"/>
      <c r="DY19" s="15"/>
      <c r="DZ19" s="15"/>
      <c r="EA19" s="184"/>
      <c r="EB19" s="15"/>
      <c r="EC19" s="15"/>
      <c r="ED19" s="15"/>
      <c r="EE19" s="15"/>
      <c r="EF19" s="15"/>
      <c r="EG19" s="15"/>
      <c r="EH19" s="184"/>
      <c r="EI19" s="15"/>
      <c r="EJ19" s="15"/>
      <c r="EK19" s="15"/>
      <c r="EL19" s="15"/>
      <c r="EM19" s="15"/>
      <c r="EN19" s="15"/>
      <c r="EO19" s="184"/>
      <c r="EP19" s="15"/>
      <c r="EQ19" s="15"/>
      <c r="ER19" s="15"/>
      <c r="ES19" s="15"/>
      <c r="ET19" s="15"/>
      <c r="EU19" s="15"/>
      <c r="EV19" s="184"/>
      <c r="EW19" s="15"/>
      <c r="EX19" s="15"/>
      <c r="EY19" s="15"/>
      <c r="EZ19" s="15"/>
      <c r="FA19" s="15"/>
      <c r="FB19" s="15"/>
      <c r="FC19" s="184"/>
      <c r="FD19" s="15"/>
      <c r="FE19" s="15"/>
      <c r="FF19" s="15"/>
      <c r="FG19" s="15"/>
      <c r="FH19" s="15"/>
      <c r="FI19" s="15"/>
      <c r="FJ19" s="184"/>
      <c r="FK19" s="15"/>
      <c r="FL19" s="15"/>
      <c r="FM19" s="15"/>
      <c r="FN19" s="15"/>
      <c r="FO19" s="15"/>
      <c r="FP19" s="15"/>
      <c r="FQ19" s="184"/>
      <c r="FR19" s="15"/>
      <c r="FS19" s="15"/>
      <c r="FT19" s="15"/>
      <c r="FU19" s="15"/>
      <c r="FV19" s="15"/>
      <c r="FW19" s="178"/>
      <c r="FX19" s="184"/>
      <c r="FY19" s="181"/>
      <c r="FZ19" s="15"/>
      <c r="GA19" s="15"/>
      <c r="GB19" s="15"/>
      <c r="GC19" s="15"/>
      <c r="GD19" s="15"/>
      <c r="GE19" s="184"/>
      <c r="GF19" s="15"/>
      <c r="GG19" s="15"/>
      <c r="GH19" s="15"/>
      <c r="GI19" s="15"/>
      <c r="GJ19" s="15"/>
      <c r="GK19" s="15"/>
      <c r="GL19" s="184"/>
      <c r="GM19" s="15"/>
      <c r="GN19" s="15"/>
      <c r="GO19" s="15"/>
      <c r="GP19" s="15"/>
      <c r="GQ19" s="15"/>
      <c r="GR19" s="15"/>
      <c r="GS19" s="184"/>
      <c r="GT19" s="15"/>
      <c r="GU19" s="15"/>
      <c r="GV19" s="15"/>
      <c r="GW19" s="15"/>
      <c r="GX19" s="15"/>
      <c r="GY19" s="15"/>
      <c r="GZ19" s="184"/>
      <c r="HA19" s="15"/>
      <c r="HB19" s="15"/>
      <c r="HC19" s="15"/>
      <c r="HD19" s="15"/>
      <c r="HE19" s="15"/>
      <c r="HF19" s="15"/>
      <c r="HG19" s="184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</row>
    <row r="20" spans="2:390" ht="19.5" customHeight="1" x14ac:dyDescent="0.45">
      <c r="B20" s="1">
        <f t="shared" si="83"/>
        <v>1</v>
      </c>
      <c r="C20" s="1">
        <f>+C19</f>
        <v>2</v>
      </c>
      <c r="D20" s="1">
        <f>+D19+1</f>
        <v>1</v>
      </c>
      <c r="E20" s="59" t="str">
        <f t="shared" si="80"/>
        <v>1.2.1</v>
      </c>
      <c r="F20" s="23" t="s">
        <v>72</v>
      </c>
      <c r="G20" s="191">
        <v>1</v>
      </c>
      <c r="H20" s="52" t="s">
        <v>117</v>
      </c>
      <c r="I20" s="52" t="s">
        <v>156</v>
      </c>
      <c r="J20" s="52">
        <v>76</v>
      </c>
      <c r="K20" s="52">
        <v>76</v>
      </c>
      <c r="L20" s="52">
        <f>+J20-K20</f>
        <v>0</v>
      </c>
      <c r="M20" s="20">
        <v>10</v>
      </c>
      <c r="N20" s="20">
        <v>8</v>
      </c>
      <c r="O20" s="51">
        <f>+N20*M20</f>
        <v>80</v>
      </c>
      <c r="P20" s="51">
        <f>+SUM(AA20:NZ20)</f>
        <v>80</v>
      </c>
      <c r="Q20" s="51">
        <f>+O20-P20</f>
        <v>0</v>
      </c>
      <c r="R20" s="19">
        <v>45985</v>
      </c>
      <c r="S20" s="20">
        <v>20</v>
      </c>
      <c r="T20" s="21">
        <f t="shared" si="84"/>
        <v>46010</v>
      </c>
      <c r="U20" s="22">
        <f>+K20/J20</f>
        <v>1</v>
      </c>
      <c r="V20" s="199">
        <f t="shared" si="85"/>
        <v>80</v>
      </c>
      <c r="W20" s="158">
        <f>SUMIFS($AA20:$NZ20, $AA$8:$NZ$8, $W$13)/$O20</f>
        <v>0</v>
      </c>
      <c r="X20" s="159">
        <f>SUMIF($AA$9:$NZ$9, "&lt;=" &amp; $W$11,$AA20:$NZ20)/$O20</f>
        <v>1</v>
      </c>
      <c r="Y20" s="199">
        <f t="shared" si="86"/>
        <v>80</v>
      </c>
      <c r="Z20" s="36"/>
      <c r="AA20" s="15">
        <v>2</v>
      </c>
      <c r="AB20" s="15">
        <v>3</v>
      </c>
      <c r="AC20" s="15">
        <v>3</v>
      </c>
      <c r="AD20" s="15">
        <v>2</v>
      </c>
      <c r="AE20" s="15">
        <v>2</v>
      </c>
      <c r="AF20" s="15">
        <v>2</v>
      </c>
      <c r="AG20" s="184"/>
      <c r="AH20" s="15">
        <v>4</v>
      </c>
      <c r="AI20" s="15">
        <v>4</v>
      </c>
      <c r="AJ20" s="15">
        <v>4</v>
      </c>
      <c r="AK20" s="15">
        <v>4</v>
      </c>
      <c r="AL20" s="15">
        <v>4</v>
      </c>
      <c r="AM20" s="15">
        <v>4</v>
      </c>
      <c r="AN20" s="184"/>
      <c r="AO20" s="15">
        <v>4</v>
      </c>
      <c r="AP20" s="15">
        <v>4</v>
      </c>
      <c r="AQ20" s="15">
        <v>4</v>
      </c>
      <c r="AR20" s="15">
        <v>4</v>
      </c>
      <c r="AS20" s="15">
        <v>4</v>
      </c>
      <c r="AT20" s="15">
        <v>4</v>
      </c>
      <c r="AU20" s="184"/>
      <c r="AV20" s="15">
        <v>4</v>
      </c>
      <c r="AW20" s="15">
        <v>4</v>
      </c>
      <c r="AX20" s="15">
        <v>4</v>
      </c>
      <c r="AY20" s="15">
        <v>4</v>
      </c>
      <c r="AZ20" s="15">
        <v>2</v>
      </c>
      <c r="BA20" s="15"/>
      <c r="BB20" s="184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84"/>
      <c r="CE20" s="15"/>
      <c r="CF20" s="15"/>
      <c r="CG20" s="15"/>
      <c r="CH20" s="15"/>
      <c r="CI20" s="15"/>
      <c r="CJ20" s="15"/>
      <c r="CK20" s="184"/>
      <c r="CL20" s="15"/>
      <c r="CM20" s="15"/>
      <c r="CN20" s="15"/>
      <c r="CO20" s="15"/>
      <c r="CP20" s="15"/>
      <c r="CQ20" s="15"/>
      <c r="CR20" s="184"/>
      <c r="CS20" s="15"/>
      <c r="CT20" s="15"/>
      <c r="CU20" s="15"/>
      <c r="CV20" s="15"/>
      <c r="CW20" s="15"/>
      <c r="CX20" s="15"/>
      <c r="CY20" s="184"/>
      <c r="CZ20" s="15"/>
      <c r="DA20" s="15"/>
      <c r="DB20" s="15"/>
      <c r="DC20" s="15"/>
      <c r="DD20" s="15"/>
      <c r="DE20" s="15"/>
      <c r="DF20" s="184"/>
      <c r="DG20" s="15"/>
      <c r="DH20" s="15"/>
      <c r="DI20" s="15"/>
      <c r="DJ20" s="15"/>
      <c r="DK20" s="15"/>
      <c r="DL20" s="15"/>
      <c r="DM20" s="184"/>
      <c r="DN20" s="15"/>
      <c r="DO20" s="15"/>
      <c r="DP20" s="15"/>
      <c r="DQ20" s="15"/>
      <c r="DR20" s="15"/>
      <c r="DS20" s="15"/>
      <c r="DT20" s="184"/>
      <c r="DU20" s="15"/>
      <c r="DV20" s="15"/>
      <c r="DW20" s="15"/>
      <c r="DX20" s="15"/>
      <c r="DY20" s="15"/>
      <c r="DZ20" s="15"/>
      <c r="EA20" s="184"/>
      <c r="EB20" s="15"/>
      <c r="EC20" s="15"/>
      <c r="ED20" s="15"/>
      <c r="EE20" s="15"/>
      <c r="EF20" s="15"/>
      <c r="EG20" s="15"/>
      <c r="EH20" s="184"/>
      <c r="EI20" s="15"/>
      <c r="EJ20" s="15"/>
      <c r="EK20" s="15"/>
      <c r="EL20" s="15"/>
      <c r="EM20" s="15"/>
      <c r="EN20" s="15"/>
      <c r="EO20" s="184"/>
      <c r="EP20" s="15"/>
      <c r="EQ20" s="15"/>
      <c r="ER20" s="15"/>
      <c r="ES20" s="15"/>
      <c r="ET20" s="15"/>
      <c r="EU20" s="15"/>
      <c r="EV20" s="184"/>
      <c r="EW20" s="15"/>
      <c r="EX20" s="15"/>
      <c r="EY20" s="15"/>
      <c r="EZ20" s="15"/>
      <c r="FA20" s="15"/>
      <c r="FB20" s="15"/>
      <c r="FC20" s="184"/>
      <c r="FD20" s="15"/>
      <c r="FE20" s="15"/>
      <c r="FF20" s="15"/>
      <c r="FG20" s="15"/>
      <c r="FH20" s="15"/>
      <c r="FI20" s="15"/>
      <c r="FJ20" s="184"/>
      <c r="FK20" s="15"/>
      <c r="FL20" s="15"/>
      <c r="FM20" s="15"/>
      <c r="FN20" s="15"/>
      <c r="FO20" s="15"/>
      <c r="FP20" s="15"/>
      <c r="FQ20" s="184"/>
      <c r="FR20" s="15"/>
      <c r="FS20" s="15"/>
      <c r="FT20" s="15"/>
      <c r="FU20" s="15"/>
      <c r="FV20" s="15"/>
      <c r="FW20" s="178"/>
      <c r="FX20" s="184"/>
      <c r="FY20" s="181"/>
      <c r="FZ20" s="15"/>
      <c r="GA20" s="15"/>
      <c r="GB20" s="15"/>
      <c r="GC20" s="15"/>
      <c r="GD20" s="15"/>
      <c r="GE20" s="184"/>
      <c r="GF20" s="15"/>
      <c r="GG20" s="15"/>
      <c r="GH20" s="15"/>
      <c r="GI20" s="15"/>
      <c r="GJ20" s="15"/>
      <c r="GK20" s="15"/>
      <c r="GL20" s="184"/>
      <c r="GM20" s="15"/>
      <c r="GN20" s="15"/>
      <c r="GO20" s="15"/>
      <c r="GP20" s="15"/>
      <c r="GQ20" s="15"/>
      <c r="GR20" s="15"/>
      <c r="GS20" s="184"/>
      <c r="GT20" s="15"/>
      <c r="GU20" s="15"/>
      <c r="GV20" s="15"/>
      <c r="GW20" s="15"/>
      <c r="GX20" s="15"/>
      <c r="GY20" s="15"/>
      <c r="GZ20" s="184"/>
      <c r="HA20" s="15"/>
      <c r="HB20" s="15"/>
      <c r="HC20" s="15"/>
      <c r="HD20" s="15"/>
      <c r="HE20" s="15"/>
      <c r="HF20" s="15"/>
      <c r="HG20" s="184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</row>
    <row r="21" spans="2:390" ht="19.5" customHeight="1" x14ac:dyDescent="0.45">
      <c r="B21" s="1">
        <f t="shared" si="83"/>
        <v>1</v>
      </c>
      <c r="C21" s="1">
        <f>+C20</f>
        <v>2</v>
      </c>
      <c r="D21" s="1">
        <f>+D20+1</f>
        <v>2</v>
      </c>
      <c r="E21" s="59" t="str">
        <f t="shared" si="80"/>
        <v>1.2.2</v>
      </c>
      <c r="F21" s="23" t="s">
        <v>73</v>
      </c>
      <c r="G21" s="191">
        <v>1</v>
      </c>
      <c r="H21" s="52" t="s">
        <v>117</v>
      </c>
      <c r="I21" s="52" t="s">
        <v>156</v>
      </c>
      <c r="J21" s="52">
        <f>+J20</f>
        <v>76</v>
      </c>
      <c r="K21" s="52">
        <v>45</v>
      </c>
      <c r="L21" s="52">
        <f>+J21-K21</f>
        <v>31</v>
      </c>
      <c r="M21" s="20">
        <v>10</v>
      </c>
      <c r="N21" s="20">
        <v>8</v>
      </c>
      <c r="O21" s="51">
        <f>+N21*M21</f>
        <v>80</v>
      </c>
      <c r="P21" s="51">
        <f>+SUM(AA21:NZ21)</f>
        <v>134</v>
      </c>
      <c r="Q21" s="51">
        <f>+O21-P21</f>
        <v>-54</v>
      </c>
      <c r="R21" s="19">
        <v>45999</v>
      </c>
      <c r="S21" s="20">
        <v>35</v>
      </c>
      <c r="T21" s="21">
        <f t="shared" si="84"/>
        <v>46045</v>
      </c>
      <c r="U21" s="22">
        <f>+K21/J21</f>
        <v>0.59210526315789469</v>
      </c>
      <c r="V21" s="199">
        <f t="shared" si="85"/>
        <v>47.368421052631575</v>
      </c>
      <c r="W21" s="158">
        <f>SUMIFS($AA21:$NZ21, $AA$8:$NZ$8, $W$13)/$O21</f>
        <v>0</v>
      </c>
      <c r="X21" s="159">
        <f>SUMIF($AA$9:$NZ$9, "&lt;=" &amp; $W$11,$AA21:$NZ21)/$O21</f>
        <v>0.55000000000000004</v>
      </c>
      <c r="Y21" s="199">
        <f t="shared" si="86"/>
        <v>44</v>
      </c>
      <c r="Z21" s="36"/>
      <c r="AA21" s="15"/>
      <c r="AB21" s="15"/>
      <c r="AC21" s="15"/>
      <c r="AD21" s="15"/>
      <c r="AE21" s="15"/>
      <c r="AF21" s="15"/>
      <c r="AG21" s="184"/>
      <c r="AH21" s="15"/>
      <c r="AI21" s="15"/>
      <c r="AJ21" s="15"/>
      <c r="AK21" s="15"/>
      <c r="AL21" s="15"/>
      <c r="AM21" s="15"/>
      <c r="AN21" s="184"/>
      <c r="AO21" s="15">
        <v>4</v>
      </c>
      <c r="AP21" s="15">
        <v>4</v>
      </c>
      <c r="AQ21" s="15">
        <v>4</v>
      </c>
      <c r="AR21" s="15">
        <v>4</v>
      </c>
      <c r="AS21" s="15">
        <v>4</v>
      </c>
      <c r="AT21" s="15">
        <v>4</v>
      </c>
      <c r="AU21" s="184"/>
      <c r="AV21" s="15">
        <v>4</v>
      </c>
      <c r="AW21" s="15">
        <v>4</v>
      </c>
      <c r="AX21" s="15">
        <v>4</v>
      </c>
      <c r="AY21" s="15">
        <v>4</v>
      </c>
      <c r="AZ21" s="15">
        <v>4</v>
      </c>
      <c r="BA21" s="15"/>
      <c r="BB21" s="184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>
        <v>14</v>
      </c>
      <c r="BY21" s="15">
        <v>14</v>
      </c>
      <c r="BZ21" s="15">
        <v>14</v>
      </c>
      <c r="CA21" s="15">
        <v>14</v>
      </c>
      <c r="CB21" s="15">
        <v>14</v>
      </c>
      <c r="CC21" s="15">
        <v>14</v>
      </c>
      <c r="CD21" s="184"/>
      <c r="CE21" s="15">
        <v>1</v>
      </c>
      <c r="CF21" s="15">
        <v>1</v>
      </c>
      <c r="CG21" s="15">
        <v>1</v>
      </c>
      <c r="CH21" s="15">
        <v>1</v>
      </c>
      <c r="CI21" s="15">
        <v>1</v>
      </c>
      <c r="CJ21" s="15">
        <v>1</v>
      </c>
      <c r="CK21" s="184"/>
      <c r="CL21" s="15"/>
      <c r="CM21" s="15"/>
      <c r="CN21" s="15"/>
      <c r="CO21" s="15"/>
      <c r="CP21" s="15"/>
      <c r="CQ21" s="15"/>
      <c r="CR21" s="184"/>
      <c r="CS21" s="15"/>
      <c r="CT21" s="15"/>
      <c r="CU21" s="15"/>
      <c r="CV21" s="15"/>
      <c r="CW21" s="15"/>
      <c r="CX21" s="15"/>
      <c r="CY21" s="184"/>
      <c r="CZ21" s="15"/>
      <c r="DA21" s="15"/>
      <c r="DB21" s="15"/>
      <c r="DC21" s="15"/>
      <c r="DD21" s="15"/>
      <c r="DE21" s="15"/>
      <c r="DF21" s="184"/>
      <c r="DG21" s="15"/>
      <c r="DH21" s="15"/>
      <c r="DI21" s="15"/>
      <c r="DJ21" s="15"/>
      <c r="DK21" s="15"/>
      <c r="DL21" s="15"/>
      <c r="DM21" s="184"/>
      <c r="DN21" s="15"/>
      <c r="DO21" s="15"/>
      <c r="DP21" s="15"/>
      <c r="DQ21" s="15"/>
      <c r="DR21" s="15"/>
      <c r="DS21" s="15"/>
      <c r="DT21" s="184"/>
      <c r="DU21" s="15"/>
      <c r="DV21" s="15"/>
      <c r="DW21" s="15"/>
      <c r="DX21" s="15"/>
      <c r="DY21" s="15"/>
      <c r="DZ21" s="15"/>
      <c r="EA21" s="184"/>
      <c r="EB21" s="15"/>
      <c r="EC21" s="15"/>
      <c r="ED21" s="15"/>
      <c r="EE21" s="15"/>
      <c r="EF21" s="15"/>
      <c r="EG21" s="15"/>
      <c r="EH21" s="184"/>
      <c r="EI21" s="15"/>
      <c r="EJ21" s="15"/>
      <c r="EK21" s="15"/>
      <c r="EL21" s="15"/>
      <c r="EM21" s="15"/>
      <c r="EN21" s="15"/>
      <c r="EO21" s="184"/>
      <c r="EP21" s="15"/>
      <c r="EQ21" s="15"/>
      <c r="ER21" s="15"/>
      <c r="ES21" s="15"/>
      <c r="ET21" s="15"/>
      <c r="EU21" s="15"/>
      <c r="EV21" s="184"/>
      <c r="EW21" s="15"/>
      <c r="EX21" s="15"/>
      <c r="EY21" s="15"/>
      <c r="EZ21" s="15"/>
      <c r="FA21" s="15"/>
      <c r="FB21" s="15"/>
      <c r="FC21" s="184"/>
      <c r="FD21" s="15"/>
      <c r="FE21" s="15"/>
      <c r="FF21" s="15"/>
      <c r="FG21" s="15"/>
      <c r="FH21" s="15"/>
      <c r="FI21" s="15"/>
      <c r="FJ21" s="184"/>
      <c r="FK21" s="15"/>
      <c r="FL21" s="15"/>
      <c r="FM21" s="15"/>
      <c r="FN21" s="15"/>
      <c r="FO21" s="15"/>
      <c r="FP21" s="15"/>
      <c r="FQ21" s="184"/>
      <c r="FR21" s="15"/>
      <c r="FS21" s="15"/>
      <c r="FT21" s="15"/>
      <c r="FU21" s="15"/>
      <c r="FV21" s="15"/>
      <c r="FW21" s="178"/>
      <c r="FX21" s="184"/>
      <c r="FY21" s="181"/>
      <c r="FZ21" s="15"/>
      <c r="GA21" s="15"/>
      <c r="GB21" s="15"/>
      <c r="GC21" s="15"/>
      <c r="GD21" s="15"/>
      <c r="GE21" s="184"/>
      <c r="GF21" s="15"/>
      <c r="GG21" s="15"/>
      <c r="GH21" s="15"/>
      <c r="GI21" s="15"/>
      <c r="GJ21" s="15"/>
      <c r="GK21" s="15"/>
      <c r="GL21" s="184"/>
      <c r="GM21" s="15"/>
      <c r="GN21" s="15"/>
      <c r="GO21" s="15"/>
      <c r="GP21" s="15"/>
      <c r="GQ21" s="15"/>
      <c r="GR21" s="15"/>
      <c r="GS21" s="184"/>
      <c r="GT21" s="15"/>
      <c r="GU21" s="15"/>
      <c r="GV21" s="15"/>
      <c r="GW21" s="15"/>
      <c r="GX21" s="15"/>
      <c r="GY21" s="15"/>
      <c r="GZ21" s="184"/>
      <c r="HA21" s="15"/>
      <c r="HB21" s="15"/>
      <c r="HC21" s="15"/>
      <c r="HD21" s="15"/>
      <c r="HE21" s="15"/>
      <c r="HF21" s="15"/>
      <c r="HG21" s="184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</row>
    <row r="22" spans="2:390" ht="19.5" customHeight="1" x14ac:dyDescent="0.45">
      <c r="B22" s="1">
        <f>+B21</f>
        <v>1</v>
      </c>
      <c r="C22" s="1">
        <f>+C21</f>
        <v>2</v>
      </c>
      <c r="D22" s="1">
        <f>+D21+1</f>
        <v>3</v>
      </c>
      <c r="E22" s="59" t="str">
        <f t="shared" si="80"/>
        <v>1.2.3</v>
      </c>
      <c r="F22" s="23" t="s">
        <v>74</v>
      </c>
      <c r="G22" s="191">
        <v>1</v>
      </c>
      <c r="H22" s="61" t="s">
        <v>118</v>
      </c>
      <c r="I22" s="61" t="s">
        <v>156</v>
      </c>
      <c r="J22" s="52">
        <f>+J21</f>
        <v>76</v>
      </c>
      <c r="K22" s="52">
        <v>0</v>
      </c>
      <c r="L22" s="52">
        <f>+J22-K22</f>
        <v>76</v>
      </c>
      <c r="M22" s="64"/>
      <c r="N22" s="64"/>
      <c r="O22" s="51">
        <f>+N22*M22</f>
        <v>0</v>
      </c>
      <c r="P22" s="51">
        <f>+SUM(AA22:NZ22)</f>
        <v>0</v>
      </c>
      <c r="Q22" s="51">
        <f>+O22-P22</f>
        <v>0</v>
      </c>
      <c r="R22" s="187"/>
      <c r="S22" s="64"/>
      <c r="T22" s="155" t="str">
        <f t="shared" si="84"/>
        <v/>
      </c>
      <c r="U22" s="22">
        <f>+K22/J22</f>
        <v>0</v>
      </c>
      <c r="V22" s="199">
        <f t="shared" si="85"/>
        <v>0</v>
      </c>
      <c r="W22" s="158"/>
      <c r="X22" s="159"/>
      <c r="Y22" s="199">
        <f t="shared" si="86"/>
        <v>0</v>
      </c>
      <c r="Z22" s="39"/>
      <c r="AA22" s="15"/>
      <c r="AB22" s="15"/>
      <c r="AC22" s="15"/>
      <c r="AD22" s="15"/>
      <c r="AE22" s="15"/>
      <c r="AF22" s="15"/>
      <c r="AG22" s="184"/>
      <c r="AH22" s="15"/>
      <c r="AI22" s="15"/>
      <c r="AJ22" s="15"/>
      <c r="AK22" s="15"/>
      <c r="AL22" s="15"/>
      <c r="AM22" s="15"/>
      <c r="AN22" s="184"/>
      <c r="AO22" s="15"/>
      <c r="AP22" s="15"/>
      <c r="AQ22" s="15"/>
      <c r="AR22" s="15"/>
      <c r="AS22" s="15"/>
      <c r="AT22" s="15"/>
      <c r="AU22" s="184"/>
      <c r="AV22" s="15"/>
      <c r="AW22" s="15"/>
      <c r="AX22" s="15"/>
      <c r="AY22" s="15"/>
      <c r="AZ22" s="15"/>
      <c r="BA22" s="15"/>
      <c r="BB22" s="184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84"/>
      <c r="CE22" s="15"/>
      <c r="CF22" s="15"/>
      <c r="CG22" s="15"/>
      <c r="CH22" s="15"/>
      <c r="CI22" s="15"/>
      <c r="CJ22" s="15"/>
      <c r="CK22" s="184"/>
      <c r="CL22" s="15"/>
      <c r="CM22" s="15"/>
      <c r="CN22" s="15"/>
      <c r="CO22" s="15"/>
      <c r="CP22" s="15"/>
      <c r="CQ22" s="15"/>
      <c r="CR22" s="184"/>
      <c r="CS22" s="15"/>
      <c r="CT22" s="15"/>
      <c r="CU22" s="15"/>
      <c r="CV22" s="15"/>
      <c r="CW22" s="15"/>
      <c r="CX22" s="15"/>
      <c r="CY22" s="184"/>
      <c r="CZ22" s="15"/>
      <c r="DA22" s="15"/>
      <c r="DB22" s="15"/>
      <c r="DC22" s="15"/>
      <c r="DD22" s="15"/>
      <c r="DE22" s="15"/>
      <c r="DF22" s="184"/>
      <c r="DG22" s="15"/>
      <c r="DH22" s="15"/>
      <c r="DI22" s="15"/>
      <c r="DJ22" s="15"/>
      <c r="DK22" s="15"/>
      <c r="DL22" s="15"/>
      <c r="DM22" s="184"/>
      <c r="DN22" s="15"/>
      <c r="DO22" s="15"/>
      <c r="DP22" s="15"/>
      <c r="DQ22" s="15"/>
      <c r="DR22" s="15"/>
      <c r="DS22" s="15"/>
      <c r="DT22" s="184"/>
      <c r="DU22" s="15"/>
      <c r="DV22" s="15"/>
      <c r="DW22" s="15"/>
      <c r="DX22" s="15"/>
      <c r="DY22" s="15"/>
      <c r="DZ22" s="15"/>
      <c r="EA22" s="184"/>
      <c r="EB22" s="15"/>
      <c r="EC22" s="15"/>
      <c r="ED22" s="15"/>
      <c r="EE22" s="15"/>
      <c r="EF22" s="15"/>
      <c r="EG22" s="15"/>
      <c r="EH22" s="184"/>
      <c r="EI22" s="15"/>
      <c r="EJ22" s="15"/>
      <c r="EK22" s="15"/>
      <c r="EL22" s="15"/>
      <c r="EM22" s="15"/>
      <c r="EN22" s="15"/>
      <c r="EO22" s="184"/>
      <c r="EP22" s="15"/>
      <c r="EQ22" s="15"/>
      <c r="ER22" s="15"/>
      <c r="ES22" s="15"/>
      <c r="ET22" s="15"/>
      <c r="EU22" s="15"/>
      <c r="EV22" s="184"/>
      <c r="EW22" s="15"/>
      <c r="EX22" s="15"/>
      <c r="EY22" s="15"/>
      <c r="EZ22" s="15"/>
      <c r="FA22" s="15"/>
      <c r="FB22" s="15"/>
      <c r="FC22" s="184"/>
      <c r="FD22" s="15"/>
      <c r="FE22" s="15"/>
      <c r="FF22" s="15"/>
      <c r="FG22" s="15"/>
      <c r="FH22" s="15"/>
      <c r="FI22" s="15"/>
      <c r="FJ22" s="184"/>
      <c r="FK22" s="15"/>
      <c r="FL22" s="15"/>
      <c r="FM22" s="15"/>
      <c r="FN22" s="15"/>
      <c r="FO22" s="15"/>
      <c r="FP22" s="15"/>
      <c r="FQ22" s="184"/>
      <c r="FR22" s="15"/>
      <c r="FS22" s="15"/>
      <c r="FT22" s="15"/>
      <c r="FU22" s="15"/>
      <c r="FV22" s="15"/>
      <c r="FW22" s="178"/>
      <c r="FX22" s="184"/>
      <c r="FY22" s="181"/>
      <c r="FZ22" s="15"/>
      <c r="GA22" s="15"/>
      <c r="GB22" s="15"/>
      <c r="GC22" s="15"/>
      <c r="GD22" s="15"/>
      <c r="GE22" s="184"/>
      <c r="GF22" s="15"/>
      <c r="GG22" s="15"/>
      <c r="GH22" s="15"/>
      <c r="GI22" s="15"/>
      <c r="GJ22" s="15"/>
      <c r="GK22" s="15"/>
      <c r="GL22" s="184"/>
      <c r="GM22" s="15"/>
      <c r="GN22" s="15"/>
      <c r="GO22" s="15"/>
      <c r="GP22" s="15"/>
      <c r="GQ22" s="15"/>
      <c r="GR22" s="15"/>
      <c r="GS22" s="184"/>
      <c r="GT22" s="15"/>
      <c r="GU22" s="15"/>
      <c r="GV22" s="15"/>
      <c r="GW22" s="15"/>
      <c r="GX22" s="15"/>
      <c r="GY22" s="15"/>
      <c r="GZ22" s="184"/>
      <c r="HA22" s="15"/>
      <c r="HB22" s="15"/>
      <c r="HC22" s="15"/>
      <c r="HD22" s="15"/>
      <c r="HE22" s="15"/>
      <c r="HF22" s="15"/>
      <c r="HG22" s="184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</row>
    <row r="23" spans="2:390" ht="19.5" customHeight="1" x14ac:dyDescent="0.45">
      <c r="B23" s="1">
        <f>+B22</f>
        <v>1</v>
      </c>
      <c r="C23" s="1">
        <f>+C20+1</f>
        <v>3</v>
      </c>
      <c r="D23" s="1">
        <v>0</v>
      </c>
      <c r="E23" s="93" t="str">
        <f t="shared" si="80"/>
        <v>1.3.0</v>
      </c>
      <c r="F23" s="99" t="s">
        <v>24</v>
      </c>
      <c r="G23" s="99"/>
      <c r="H23" s="101" t="s">
        <v>117</v>
      </c>
      <c r="I23" s="101" t="s">
        <v>158</v>
      </c>
      <c r="J23" s="101">
        <v>1</v>
      </c>
      <c r="K23" s="101">
        <v>1</v>
      </c>
      <c r="L23" s="101">
        <f>+J23-K23</f>
        <v>0</v>
      </c>
      <c r="M23" s="96">
        <v>4</v>
      </c>
      <c r="N23" s="96">
        <v>6</v>
      </c>
      <c r="O23" s="95">
        <f>+N23*M23</f>
        <v>24</v>
      </c>
      <c r="P23" s="95"/>
      <c r="Q23" s="95"/>
      <c r="R23" s="162">
        <v>45992</v>
      </c>
      <c r="S23" s="96">
        <v>5</v>
      </c>
      <c r="T23" s="163">
        <f t="shared" si="84"/>
        <v>45996</v>
      </c>
      <c r="U23" s="164">
        <f>+K23/J23</f>
        <v>1</v>
      </c>
      <c r="V23" s="200">
        <f t="shared" si="85"/>
        <v>24</v>
      </c>
      <c r="W23" s="158">
        <f>SUMIFS($AA23:$NZ23, $AA$8:$NZ$8, $W$13)/$O23</f>
        <v>0</v>
      </c>
      <c r="X23" s="159">
        <f t="shared" ref="X23:X40" si="87">SUMIF($AA$9:$NZ$9, "&lt;=" &amp; $W$11,$AA23:$NZ23)/$O23</f>
        <v>1</v>
      </c>
      <c r="Y23" s="207">
        <f t="shared" si="86"/>
        <v>24</v>
      </c>
      <c r="Z23" s="37"/>
      <c r="AA23" s="15"/>
      <c r="AB23" s="15"/>
      <c r="AC23" s="15"/>
      <c r="AD23" s="15"/>
      <c r="AE23" s="15"/>
      <c r="AF23" s="15"/>
      <c r="AG23" s="184"/>
      <c r="AH23" s="15">
        <v>4</v>
      </c>
      <c r="AI23" s="15">
        <v>4</v>
      </c>
      <c r="AJ23" s="15">
        <v>4</v>
      </c>
      <c r="AK23" s="15">
        <v>4</v>
      </c>
      <c r="AL23" s="15">
        <v>4</v>
      </c>
      <c r="AM23" s="15">
        <v>4</v>
      </c>
      <c r="AN23" s="184"/>
      <c r="AO23" s="15"/>
      <c r="AP23" s="15"/>
      <c r="AQ23" s="15"/>
      <c r="AR23" s="15"/>
      <c r="AS23" s="15"/>
      <c r="AT23" s="15"/>
      <c r="AU23" s="184"/>
      <c r="AV23" s="15"/>
      <c r="AW23" s="15"/>
      <c r="AX23" s="15"/>
      <c r="AY23" s="15"/>
      <c r="AZ23" s="15"/>
      <c r="BA23" s="15"/>
      <c r="BB23" s="184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84"/>
      <c r="CE23" s="15"/>
      <c r="CF23" s="15"/>
      <c r="CG23" s="15"/>
      <c r="CH23" s="15"/>
      <c r="CI23" s="15"/>
      <c r="CJ23" s="15"/>
      <c r="CK23" s="184"/>
      <c r="CL23" s="15"/>
      <c r="CM23" s="15"/>
      <c r="CN23" s="15"/>
      <c r="CO23" s="15"/>
      <c r="CP23" s="15"/>
      <c r="CQ23" s="15"/>
      <c r="CR23" s="184"/>
      <c r="CS23" s="15"/>
      <c r="CT23" s="15"/>
      <c r="CU23" s="15"/>
      <c r="CV23" s="15"/>
      <c r="CW23" s="15"/>
      <c r="CX23" s="15"/>
      <c r="CY23" s="184"/>
      <c r="CZ23" s="15"/>
      <c r="DA23" s="15"/>
      <c r="DB23" s="15"/>
      <c r="DC23" s="15"/>
      <c r="DD23" s="15"/>
      <c r="DE23" s="15"/>
      <c r="DF23" s="184"/>
      <c r="DG23" s="15"/>
      <c r="DH23" s="15"/>
      <c r="DI23" s="15"/>
      <c r="DJ23" s="15"/>
      <c r="DK23" s="15"/>
      <c r="DL23" s="15"/>
      <c r="DM23" s="184"/>
      <c r="DN23" s="15"/>
      <c r="DO23" s="15"/>
      <c r="DP23" s="15"/>
      <c r="DQ23" s="15"/>
      <c r="DR23" s="15"/>
      <c r="DS23" s="15"/>
      <c r="DT23" s="184"/>
      <c r="DU23" s="15"/>
      <c r="DV23" s="15"/>
      <c r="DW23" s="15"/>
      <c r="DX23" s="15"/>
      <c r="DY23" s="15"/>
      <c r="DZ23" s="15"/>
      <c r="EA23" s="184"/>
      <c r="EB23" s="15"/>
      <c r="EC23" s="15"/>
      <c r="ED23" s="15"/>
      <c r="EE23" s="15"/>
      <c r="EF23" s="15"/>
      <c r="EG23" s="15"/>
      <c r="EH23" s="184"/>
      <c r="EI23" s="15"/>
      <c r="EJ23" s="15"/>
      <c r="EK23" s="15"/>
      <c r="EL23" s="15"/>
      <c r="EM23" s="15"/>
      <c r="EN23" s="15"/>
      <c r="EO23" s="184"/>
      <c r="EP23" s="15"/>
      <c r="EQ23" s="15"/>
      <c r="ER23" s="15"/>
      <c r="ES23" s="15"/>
      <c r="ET23" s="15"/>
      <c r="EU23" s="15"/>
      <c r="EV23" s="184"/>
      <c r="EW23" s="15"/>
      <c r="EX23" s="15"/>
      <c r="EY23" s="15"/>
      <c r="EZ23" s="15"/>
      <c r="FA23" s="15"/>
      <c r="FB23" s="15"/>
      <c r="FC23" s="184"/>
      <c r="FD23" s="15"/>
      <c r="FE23" s="15"/>
      <c r="FF23" s="15"/>
      <c r="FG23" s="15"/>
      <c r="FH23" s="15"/>
      <c r="FI23" s="15"/>
      <c r="FJ23" s="184"/>
      <c r="FK23" s="15"/>
      <c r="FL23" s="15"/>
      <c r="FM23" s="15"/>
      <c r="FN23" s="15"/>
      <c r="FO23" s="15"/>
      <c r="FP23" s="15"/>
      <c r="FQ23" s="184"/>
      <c r="FR23" s="15"/>
      <c r="FS23" s="15"/>
      <c r="FT23" s="15"/>
      <c r="FU23" s="15"/>
      <c r="FV23" s="15"/>
      <c r="FW23" s="178"/>
      <c r="FX23" s="184"/>
      <c r="FY23" s="181"/>
      <c r="FZ23" s="15"/>
      <c r="GA23" s="15"/>
      <c r="GB23" s="15"/>
      <c r="GC23" s="15"/>
      <c r="GD23" s="15"/>
      <c r="GE23" s="184"/>
      <c r="GF23" s="15"/>
      <c r="GG23" s="15"/>
      <c r="GH23" s="15"/>
      <c r="GI23" s="15"/>
      <c r="GJ23" s="15"/>
      <c r="GK23" s="15"/>
      <c r="GL23" s="184"/>
      <c r="GM23" s="15"/>
      <c r="GN23" s="15"/>
      <c r="GO23" s="15"/>
      <c r="GP23" s="15"/>
      <c r="GQ23" s="15"/>
      <c r="GR23" s="15"/>
      <c r="GS23" s="184"/>
      <c r="GT23" s="15"/>
      <c r="GU23" s="15"/>
      <c r="GV23" s="15"/>
      <c r="GW23" s="15"/>
      <c r="GX23" s="15"/>
      <c r="GY23" s="15"/>
      <c r="GZ23" s="184"/>
      <c r="HA23" s="15"/>
      <c r="HB23" s="15"/>
      <c r="HC23" s="15"/>
      <c r="HD23" s="15"/>
      <c r="HE23" s="15"/>
      <c r="HF23" s="15"/>
      <c r="HG23" s="184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</row>
    <row r="24" spans="2:390" ht="19.5" customHeight="1" x14ac:dyDescent="0.45">
      <c r="B24" s="1">
        <f>+B23</f>
        <v>1</v>
      </c>
      <c r="C24" s="1">
        <f>+C23+1</f>
        <v>4</v>
      </c>
      <c r="D24" s="1">
        <v>0</v>
      </c>
      <c r="E24" s="93" t="str">
        <f t="shared" si="80"/>
        <v>1.4.0</v>
      </c>
      <c r="F24" s="99" t="s">
        <v>25</v>
      </c>
      <c r="G24" s="99"/>
      <c r="H24" s="100"/>
      <c r="I24" s="100"/>
      <c r="J24" s="101"/>
      <c r="K24" s="101"/>
      <c r="L24" s="101"/>
      <c r="M24" s="96"/>
      <c r="N24" s="96"/>
      <c r="O24" s="95">
        <f>SUM(O25:O26)</f>
        <v>24</v>
      </c>
      <c r="P24" s="95"/>
      <c r="Q24" s="95"/>
      <c r="R24" s="162"/>
      <c r="S24" s="96"/>
      <c r="T24" s="163" t="str">
        <f t="shared" si="84"/>
        <v/>
      </c>
      <c r="U24" s="164">
        <f>+SUMPRODUCT(U25:U26,O25:O26)/O24</f>
        <v>0.66666666666666663</v>
      </c>
      <c r="V24" s="200">
        <f t="shared" si="85"/>
        <v>16</v>
      </c>
      <c r="W24" s="158">
        <f>SUMIFS($AA24:$NZ24, $AA$8:$NZ$8, $W$13)/$O24</f>
        <v>0</v>
      </c>
      <c r="X24" s="159">
        <f t="shared" si="87"/>
        <v>0</v>
      </c>
      <c r="Y24" s="199">
        <f t="shared" si="86"/>
        <v>0</v>
      </c>
      <c r="Z24" s="36"/>
      <c r="AA24" s="15"/>
      <c r="AB24" s="15"/>
      <c r="AC24" s="15"/>
      <c r="AD24" s="15"/>
      <c r="AE24" s="15"/>
      <c r="AF24" s="15"/>
      <c r="AG24" s="184"/>
      <c r="AH24" s="15"/>
      <c r="AI24" s="15"/>
      <c r="AJ24" s="15"/>
      <c r="AK24" s="15"/>
      <c r="AL24" s="15"/>
      <c r="AM24" s="15"/>
      <c r="AN24" s="184"/>
      <c r="AO24" s="15"/>
      <c r="AP24" s="15"/>
      <c r="AQ24" s="15"/>
      <c r="AR24" s="15"/>
      <c r="AS24" s="15"/>
      <c r="AT24" s="15"/>
      <c r="AU24" s="184"/>
      <c r="AV24" s="15"/>
      <c r="AW24" s="15"/>
      <c r="AX24" s="15"/>
      <c r="AY24" s="15"/>
      <c r="AZ24" s="15"/>
      <c r="BA24" s="15"/>
      <c r="BB24" s="184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84"/>
      <c r="CE24" s="15"/>
      <c r="CF24" s="15"/>
      <c r="CG24" s="15"/>
      <c r="CH24" s="15"/>
      <c r="CI24" s="15"/>
      <c r="CJ24" s="15"/>
      <c r="CK24" s="184"/>
      <c r="CL24" s="15"/>
      <c r="CM24" s="15"/>
      <c r="CN24" s="15"/>
      <c r="CO24" s="15"/>
      <c r="CP24" s="15"/>
      <c r="CQ24" s="15"/>
      <c r="CR24" s="184"/>
      <c r="CS24" s="15"/>
      <c r="CT24" s="15"/>
      <c r="CU24" s="15"/>
      <c r="CV24" s="15"/>
      <c r="CW24" s="15"/>
      <c r="CX24" s="15"/>
      <c r="CY24" s="184"/>
      <c r="CZ24" s="15"/>
      <c r="DA24" s="15"/>
      <c r="DB24" s="15"/>
      <c r="DC24" s="15"/>
      <c r="DD24" s="15"/>
      <c r="DE24" s="15"/>
      <c r="DF24" s="184"/>
      <c r="DG24" s="15"/>
      <c r="DH24" s="15"/>
      <c r="DI24" s="15"/>
      <c r="DJ24" s="15"/>
      <c r="DK24" s="15"/>
      <c r="DL24" s="15"/>
      <c r="DM24" s="184"/>
      <c r="DN24" s="15"/>
      <c r="DO24" s="15"/>
      <c r="DP24" s="15"/>
      <c r="DQ24" s="15"/>
      <c r="DR24" s="15"/>
      <c r="DS24" s="15"/>
      <c r="DT24" s="184"/>
      <c r="DU24" s="15"/>
      <c r="DV24" s="15"/>
      <c r="DW24" s="15"/>
      <c r="DX24" s="15"/>
      <c r="DY24" s="15"/>
      <c r="DZ24" s="15"/>
      <c r="EA24" s="184"/>
      <c r="EB24" s="15"/>
      <c r="EC24" s="15"/>
      <c r="ED24" s="15"/>
      <c r="EE24" s="15"/>
      <c r="EF24" s="15"/>
      <c r="EG24" s="15"/>
      <c r="EH24" s="184"/>
      <c r="EI24" s="15"/>
      <c r="EJ24" s="15"/>
      <c r="EK24" s="15"/>
      <c r="EL24" s="15"/>
      <c r="EM24" s="15"/>
      <c r="EN24" s="15"/>
      <c r="EO24" s="184"/>
      <c r="EP24" s="15"/>
      <c r="EQ24" s="15"/>
      <c r="ER24" s="15"/>
      <c r="ES24" s="15"/>
      <c r="ET24" s="15"/>
      <c r="EU24" s="15"/>
      <c r="EV24" s="184"/>
      <c r="EW24" s="15"/>
      <c r="EX24" s="15"/>
      <c r="EY24" s="15"/>
      <c r="EZ24" s="15"/>
      <c r="FA24" s="15"/>
      <c r="FB24" s="15"/>
      <c r="FC24" s="184"/>
      <c r="FD24" s="15"/>
      <c r="FE24" s="15"/>
      <c r="FF24" s="15"/>
      <c r="FG24" s="15"/>
      <c r="FH24" s="15"/>
      <c r="FI24" s="15"/>
      <c r="FJ24" s="184"/>
      <c r="FK24" s="15"/>
      <c r="FL24" s="15"/>
      <c r="FM24" s="15"/>
      <c r="FN24" s="15"/>
      <c r="FO24" s="15"/>
      <c r="FP24" s="15"/>
      <c r="FQ24" s="184"/>
      <c r="FR24" s="15"/>
      <c r="FS24" s="15"/>
      <c r="FT24" s="15"/>
      <c r="FU24" s="15"/>
      <c r="FV24" s="15"/>
      <c r="FW24" s="178"/>
      <c r="FX24" s="184"/>
      <c r="FY24" s="181"/>
      <c r="FZ24" s="15"/>
      <c r="GA24" s="15"/>
      <c r="GB24" s="15"/>
      <c r="GC24" s="15"/>
      <c r="GD24" s="15"/>
      <c r="GE24" s="184"/>
      <c r="GF24" s="15"/>
      <c r="GG24" s="15"/>
      <c r="GH24" s="15"/>
      <c r="GI24" s="15"/>
      <c r="GJ24" s="15"/>
      <c r="GK24" s="15"/>
      <c r="GL24" s="184"/>
      <c r="GM24" s="15"/>
      <c r="GN24" s="15"/>
      <c r="GO24" s="15"/>
      <c r="GP24" s="15"/>
      <c r="GQ24" s="15"/>
      <c r="GR24" s="15"/>
      <c r="GS24" s="184"/>
      <c r="GT24" s="15"/>
      <c r="GU24" s="15"/>
      <c r="GV24" s="15"/>
      <c r="GW24" s="15"/>
      <c r="GX24" s="15"/>
      <c r="GY24" s="15"/>
      <c r="GZ24" s="184"/>
      <c r="HA24" s="15"/>
      <c r="HB24" s="15"/>
      <c r="HC24" s="15"/>
      <c r="HD24" s="15"/>
      <c r="HE24" s="15"/>
      <c r="HF24" s="15"/>
      <c r="HG24" s="184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</row>
    <row r="25" spans="2:390" ht="19.5" customHeight="1" x14ac:dyDescent="0.45">
      <c r="B25" s="1">
        <f t="shared" ref="B25:B35" si="88">+B24</f>
        <v>1</v>
      </c>
      <c r="C25" s="1">
        <f>+C24</f>
        <v>4</v>
      </c>
      <c r="D25" s="1">
        <v>1</v>
      </c>
      <c r="E25" s="59" t="str">
        <f t="shared" si="80"/>
        <v>1.4.1</v>
      </c>
      <c r="F25" s="23" t="s">
        <v>26</v>
      </c>
      <c r="G25" s="191">
        <v>2</v>
      </c>
      <c r="H25" s="52" t="s">
        <v>117</v>
      </c>
      <c r="I25" s="52" t="s">
        <v>158</v>
      </c>
      <c r="J25" s="52">
        <v>1</v>
      </c>
      <c r="K25" s="52">
        <v>1</v>
      </c>
      <c r="L25" s="52">
        <f>+J25-K25</f>
        <v>0</v>
      </c>
      <c r="M25" s="20">
        <v>4</v>
      </c>
      <c r="N25" s="20">
        <v>4</v>
      </c>
      <c r="O25" s="51">
        <f t="shared" ref="O25:O33" si="89">+N25*M25</f>
        <v>16</v>
      </c>
      <c r="P25" s="51">
        <f t="shared" ref="P25:P33" si="90">+SUM(AA25:NZ25)</f>
        <v>0</v>
      </c>
      <c r="Q25" s="51">
        <f t="shared" ref="Q25:Q33" si="91">+O25-P25</f>
        <v>16</v>
      </c>
      <c r="R25" s="19"/>
      <c r="S25" s="20"/>
      <c r="T25" s="21" t="str">
        <f t="shared" si="84"/>
        <v/>
      </c>
      <c r="U25" s="22">
        <f t="shared" ref="U25:U33" si="92">+K25/J25</f>
        <v>1</v>
      </c>
      <c r="V25" s="199">
        <f t="shared" si="85"/>
        <v>16</v>
      </c>
      <c r="W25" s="158">
        <f>SUMIFS($AA25:$NZ25, $AA$8:$NZ$8, $W$13)/$O25</f>
        <v>0</v>
      </c>
      <c r="X25" s="159">
        <f t="shared" si="87"/>
        <v>0</v>
      </c>
      <c r="Y25" s="199">
        <f t="shared" si="86"/>
        <v>0</v>
      </c>
      <c r="Z25" s="36"/>
      <c r="AA25" s="15"/>
      <c r="AB25" s="15"/>
      <c r="AC25" s="15"/>
      <c r="AD25" s="15"/>
      <c r="AE25" s="15"/>
      <c r="AF25" s="15"/>
      <c r="AG25" s="184"/>
      <c r="AH25" s="15"/>
      <c r="AI25" s="15"/>
      <c r="AJ25" s="15"/>
      <c r="AK25" s="15"/>
      <c r="AL25" s="15"/>
      <c r="AM25" s="15"/>
      <c r="AN25" s="184"/>
      <c r="AO25" s="15"/>
      <c r="AP25" s="15"/>
      <c r="AQ25" s="15"/>
      <c r="AR25" s="15"/>
      <c r="AS25" s="15"/>
      <c r="AT25" s="15"/>
      <c r="AU25" s="184"/>
      <c r="AV25" s="15"/>
      <c r="AW25" s="15"/>
      <c r="AX25" s="15"/>
      <c r="AY25" s="15"/>
      <c r="AZ25" s="15"/>
      <c r="BA25" s="15"/>
      <c r="BB25" s="184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84"/>
      <c r="CE25" s="15"/>
      <c r="CF25" s="15"/>
      <c r="CG25" s="15"/>
      <c r="CH25" s="15"/>
      <c r="CI25" s="15"/>
      <c r="CJ25" s="15"/>
      <c r="CK25" s="184"/>
      <c r="CL25" s="15"/>
      <c r="CM25" s="15"/>
      <c r="CN25" s="15"/>
      <c r="CO25" s="15"/>
      <c r="CP25" s="15"/>
      <c r="CQ25" s="15"/>
      <c r="CR25" s="184"/>
      <c r="CS25" s="15"/>
      <c r="CT25" s="15"/>
      <c r="CU25" s="15"/>
      <c r="CV25" s="15"/>
      <c r="CW25" s="15"/>
      <c r="CX25" s="15"/>
      <c r="CY25" s="184"/>
      <c r="CZ25" s="15"/>
      <c r="DA25" s="15"/>
      <c r="DB25" s="15"/>
      <c r="DC25" s="15"/>
      <c r="DD25" s="15"/>
      <c r="DE25" s="15"/>
      <c r="DF25" s="184"/>
      <c r="DG25" s="15"/>
      <c r="DH25" s="15"/>
      <c r="DI25" s="15"/>
      <c r="DJ25" s="15"/>
      <c r="DK25" s="15"/>
      <c r="DL25" s="15"/>
      <c r="DM25" s="184"/>
      <c r="DN25" s="15"/>
      <c r="DO25" s="15"/>
      <c r="DP25" s="15"/>
      <c r="DQ25" s="15"/>
      <c r="DR25" s="15"/>
      <c r="DS25" s="15"/>
      <c r="DT25" s="184"/>
      <c r="DU25" s="15"/>
      <c r="DV25" s="15"/>
      <c r="DW25" s="15"/>
      <c r="DX25" s="15"/>
      <c r="DY25" s="15"/>
      <c r="DZ25" s="15"/>
      <c r="EA25" s="184"/>
      <c r="EB25" s="15"/>
      <c r="EC25" s="15"/>
      <c r="ED25" s="15"/>
      <c r="EE25" s="15"/>
      <c r="EF25" s="15"/>
      <c r="EG25" s="15"/>
      <c r="EH25" s="184"/>
      <c r="EI25" s="15"/>
      <c r="EJ25" s="15"/>
      <c r="EK25" s="15"/>
      <c r="EL25" s="15"/>
      <c r="EM25" s="15"/>
      <c r="EN25" s="15"/>
      <c r="EO25" s="184"/>
      <c r="EP25" s="15"/>
      <c r="EQ25" s="15"/>
      <c r="ER25" s="15"/>
      <c r="ES25" s="15"/>
      <c r="ET25" s="15"/>
      <c r="EU25" s="15"/>
      <c r="EV25" s="184"/>
      <c r="EW25" s="15"/>
      <c r="EX25" s="15"/>
      <c r="EY25" s="15"/>
      <c r="EZ25" s="15"/>
      <c r="FA25" s="15"/>
      <c r="FB25" s="15"/>
      <c r="FC25" s="184"/>
      <c r="FD25" s="15"/>
      <c r="FE25" s="15"/>
      <c r="FF25" s="15"/>
      <c r="FG25" s="15"/>
      <c r="FH25" s="15"/>
      <c r="FI25" s="15"/>
      <c r="FJ25" s="184"/>
      <c r="FK25" s="15"/>
      <c r="FL25" s="15"/>
      <c r="FM25" s="15"/>
      <c r="FN25" s="15"/>
      <c r="FO25" s="15"/>
      <c r="FP25" s="15"/>
      <c r="FQ25" s="184"/>
      <c r="FR25" s="15"/>
      <c r="FS25" s="15"/>
      <c r="FT25" s="15"/>
      <c r="FU25" s="15"/>
      <c r="FV25" s="15"/>
      <c r="FW25" s="178"/>
      <c r="FX25" s="184"/>
      <c r="FY25" s="181"/>
      <c r="FZ25" s="15"/>
      <c r="GA25" s="15"/>
      <c r="GB25" s="15"/>
      <c r="GC25" s="15"/>
      <c r="GD25" s="15"/>
      <c r="GE25" s="184"/>
      <c r="GF25" s="15"/>
      <c r="GG25" s="15"/>
      <c r="GH25" s="15"/>
      <c r="GI25" s="15"/>
      <c r="GJ25" s="15"/>
      <c r="GK25" s="15"/>
      <c r="GL25" s="184"/>
      <c r="GM25" s="15"/>
      <c r="GN25" s="15"/>
      <c r="GO25" s="15"/>
      <c r="GP25" s="15"/>
      <c r="GQ25" s="15"/>
      <c r="GR25" s="15"/>
      <c r="GS25" s="184"/>
      <c r="GT25" s="15"/>
      <c r="GU25" s="15"/>
      <c r="GV25" s="15"/>
      <c r="GW25" s="15"/>
      <c r="GX25" s="15"/>
      <c r="GY25" s="15"/>
      <c r="GZ25" s="184"/>
      <c r="HA25" s="15"/>
      <c r="HB25" s="15"/>
      <c r="HC25" s="15"/>
      <c r="HD25" s="15"/>
      <c r="HE25" s="15"/>
      <c r="HF25" s="15"/>
      <c r="HG25" s="184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</row>
    <row r="26" spans="2:390" ht="18.75" customHeight="1" x14ac:dyDescent="0.45">
      <c r="B26" s="1">
        <f t="shared" si="88"/>
        <v>1</v>
      </c>
      <c r="C26" s="1">
        <f>+C25</f>
        <v>4</v>
      </c>
      <c r="D26" s="1">
        <v>2</v>
      </c>
      <c r="E26" s="59" t="str">
        <f t="shared" si="80"/>
        <v>1.4.2</v>
      </c>
      <c r="F26" s="23" t="s">
        <v>27</v>
      </c>
      <c r="G26" s="191">
        <v>2</v>
      </c>
      <c r="H26" s="52" t="s">
        <v>117</v>
      </c>
      <c r="I26" s="52" t="s">
        <v>158</v>
      </c>
      <c r="J26" s="52">
        <v>1</v>
      </c>
      <c r="K26" s="52">
        <v>0</v>
      </c>
      <c r="L26" s="52">
        <f t="shared" ref="L26:L33" si="93">+J26-K26</f>
        <v>1</v>
      </c>
      <c r="M26" s="65">
        <v>4</v>
      </c>
      <c r="N26" s="65">
        <v>2</v>
      </c>
      <c r="O26" s="51">
        <f t="shared" si="89"/>
        <v>8</v>
      </c>
      <c r="P26" s="51">
        <f t="shared" si="90"/>
        <v>8</v>
      </c>
      <c r="Q26" s="51">
        <f t="shared" si="91"/>
        <v>0</v>
      </c>
      <c r="R26" s="19">
        <v>46002</v>
      </c>
      <c r="S26" s="20">
        <v>2</v>
      </c>
      <c r="T26" s="21">
        <f t="shared" si="84"/>
        <v>46003</v>
      </c>
      <c r="U26" s="22">
        <f t="shared" si="92"/>
        <v>0</v>
      </c>
      <c r="V26" s="199">
        <f t="shared" si="85"/>
        <v>0</v>
      </c>
      <c r="W26" s="158">
        <f>SUMIFS($AA26:$NZ26, $AA$8:$NZ$8, $W$13)/$O26</f>
        <v>0</v>
      </c>
      <c r="X26" s="159">
        <f t="shared" si="87"/>
        <v>1</v>
      </c>
      <c r="Y26" s="199">
        <f t="shared" si="86"/>
        <v>8</v>
      </c>
      <c r="Z26" s="36"/>
      <c r="AA26" s="15"/>
      <c r="AB26" s="15"/>
      <c r="AC26" s="15"/>
      <c r="AD26" s="15"/>
      <c r="AE26" s="15"/>
      <c r="AF26" s="15"/>
      <c r="AG26" s="184"/>
      <c r="AH26" s="15"/>
      <c r="AI26" s="15"/>
      <c r="AJ26" s="15"/>
      <c r="AK26" s="15"/>
      <c r="AL26" s="15"/>
      <c r="AM26" s="15"/>
      <c r="AN26" s="184"/>
      <c r="AO26" s="15"/>
      <c r="AP26" s="15"/>
      <c r="AQ26" s="15"/>
      <c r="AR26" s="15">
        <v>4</v>
      </c>
      <c r="AS26" s="15">
        <v>4</v>
      </c>
      <c r="AT26" s="15"/>
      <c r="AU26" s="184"/>
      <c r="AV26" s="15"/>
      <c r="AW26" s="15"/>
      <c r="AX26" s="15"/>
      <c r="AY26" s="15"/>
      <c r="AZ26" s="15"/>
      <c r="BA26" s="15"/>
      <c r="BB26" s="184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84"/>
      <c r="CE26" s="15"/>
      <c r="CF26" s="15"/>
      <c r="CG26" s="15"/>
      <c r="CH26" s="15"/>
      <c r="CI26" s="15"/>
      <c r="CJ26" s="15"/>
      <c r="CK26" s="184"/>
      <c r="CL26" s="15"/>
      <c r="CM26" s="15"/>
      <c r="CN26" s="15"/>
      <c r="CO26" s="15"/>
      <c r="CP26" s="15"/>
      <c r="CQ26" s="15"/>
      <c r="CR26" s="184"/>
      <c r="CS26" s="15"/>
      <c r="CT26" s="15"/>
      <c r="CU26" s="15"/>
      <c r="CV26" s="15"/>
      <c r="CW26" s="15"/>
      <c r="CX26" s="15"/>
      <c r="CY26" s="184"/>
      <c r="CZ26" s="15"/>
      <c r="DA26" s="15"/>
      <c r="DB26" s="15"/>
      <c r="DC26" s="15"/>
      <c r="DD26" s="15"/>
      <c r="DE26" s="15"/>
      <c r="DF26" s="184"/>
      <c r="DG26" s="15"/>
      <c r="DH26" s="15"/>
      <c r="DI26" s="15"/>
      <c r="DJ26" s="15"/>
      <c r="DK26" s="15"/>
      <c r="DL26" s="15"/>
      <c r="DM26" s="184"/>
      <c r="DN26" s="15"/>
      <c r="DO26" s="15"/>
      <c r="DP26" s="15"/>
      <c r="DQ26" s="15"/>
      <c r="DR26" s="15"/>
      <c r="DS26" s="15"/>
      <c r="DT26" s="184"/>
      <c r="DU26" s="15"/>
      <c r="DV26" s="15"/>
      <c r="DW26" s="15"/>
      <c r="DX26" s="15"/>
      <c r="DY26" s="15"/>
      <c r="DZ26" s="15"/>
      <c r="EA26" s="184"/>
      <c r="EB26" s="15"/>
      <c r="EC26" s="15"/>
      <c r="ED26" s="15"/>
      <c r="EE26" s="15"/>
      <c r="EF26" s="15"/>
      <c r="EG26" s="15"/>
      <c r="EH26" s="184"/>
      <c r="EI26" s="15"/>
      <c r="EJ26" s="15"/>
      <c r="EK26" s="15"/>
      <c r="EL26" s="15"/>
      <c r="EM26" s="15"/>
      <c r="EN26" s="15"/>
      <c r="EO26" s="184"/>
      <c r="EP26" s="15"/>
      <c r="EQ26" s="15"/>
      <c r="ER26" s="15"/>
      <c r="ES26" s="15"/>
      <c r="ET26" s="15"/>
      <c r="EU26" s="15"/>
      <c r="EV26" s="184"/>
      <c r="EW26" s="15"/>
      <c r="EX26" s="15"/>
      <c r="EY26" s="15"/>
      <c r="EZ26" s="15"/>
      <c r="FA26" s="15"/>
      <c r="FB26" s="15"/>
      <c r="FC26" s="184"/>
      <c r="FD26" s="15"/>
      <c r="FE26" s="15"/>
      <c r="FF26" s="15"/>
      <c r="FG26" s="15"/>
      <c r="FH26" s="15"/>
      <c r="FI26" s="15"/>
      <c r="FJ26" s="184"/>
      <c r="FK26" s="15"/>
      <c r="FL26" s="15"/>
      <c r="FM26" s="15"/>
      <c r="FN26" s="15"/>
      <c r="FO26" s="15"/>
      <c r="FP26" s="15"/>
      <c r="FQ26" s="184"/>
      <c r="FR26" s="15"/>
      <c r="FS26" s="15"/>
      <c r="FT26" s="15"/>
      <c r="FU26" s="15"/>
      <c r="FV26" s="15"/>
      <c r="FW26" s="178"/>
      <c r="FX26" s="184"/>
      <c r="FY26" s="181"/>
      <c r="FZ26" s="15"/>
      <c r="GA26" s="15"/>
      <c r="GB26" s="15"/>
      <c r="GC26" s="15"/>
      <c r="GD26" s="15"/>
      <c r="GE26" s="184"/>
      <c r="GF26" s="15"/>
      <c r="GG26" s="15"/>
      <c r="GH26" s="15"/>
      <c r="GI26" s="15"/>
      <c r="GJ26" s="15"/>
      <c r="GK26" s="15"/>
      <c r="GL26" s="184"/>
      <c r="GM26" s="15"/>
      <c r="GN26" s="15"/>
      <c r="GO26" s="15"/>
      <c r="GP26" s="15"/>
      <c r="GQ26" s="15"/>
      <c r="GR26" s="15"/>
      <c r="GS26" s="184"/>
      <c r="GT26" s="15"/>
      <c r="GU26" s="15"/>
      <c r="GV26" s="15"/>
      <c r="GW26" s="15"/>
      <c r="GX26" s="15"/>
      <c r="GY26" s="15"/>
      <c r="GZ26" s="184"/>
      <c r="HA26" s="15"/>
      <c r="HB26" s="15"/>
      <c r="HC26" s="15"/>
      <c r="HD26" s="15"/>
      <c r="HE26" s="15"/>
      <c r="HF26" s="15"/>
      <c r="HG26" s="184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</row>
    <row r="27" spans="2:390" ht="19.5" customHeight="1" x14ac:dyDescent="0.45">
      <c r="B27" s="1">
        <f t="shared" si="88"/>
        <v>1</v>
      </c>
      <c r="C27" s="1">
        <f t="shared" ref="C27:C34" si="94">+C26+1</f>
        <v>5</v>
      </c>
      <c r="D27" s="1">
        <v>0</v>
      </c>
      <c r="E27" s="93" t="str">
        <f t="shared" si="80"/>
        <v>1.5.0</v>
      </c>
      <c r="F27" s="94" t="s">
        <v>101</v>
      </c>
      <c r="G27" s="96" t="s">
        <v>145</v>
      </c>
      <c r="H27" s="101" t="s">
        <v>117</v>
      </c>
      <c r="I27" s="101" t="s">
        <v>156</v>
      </c>
      <c r="J27" s="96">
        <v>7</v>
      </c>
      <c r="K27" s="96">
        <v>0</v>
      </c>
      <c r="L27" s="96">
        <f t="shared" si="93"/>
        <v>7</v>
      </c>
      <c r="M27" s="96">
        <v>3</v>
      </c>
      <c r="N27" s="96">
        <v>6</v>
      </c>
      <c r="O27" s="95">
        <f t="shared" si="89"/>
        <v>18</v>
      </c>
      <c r="P27" s="95">
        <f t="shared" si="90"/>
        <v>18</v>
      </c>
      <c r="Q27" s="95">
        <f t="shared" si="91"/>
        <v>0</v>
      </c>
      <c r="R27" s="162">
        <v>46083</v>
      </c>
      <c r="S27" s="96">
        <v>5</v>
      </c>
      <c r="T27" s="163">
        <f t="shared" si="84"/>
        <v>46087</v>
      </c>
      <c r="U27" s="164">
        <f t="shared" si="92"/>
        <v>0</v>
      </c>
      <c r="V27" s="200">
        <f t="shared" si="85"/>
        <v>0</v>
      </c>
      <c r="W27" s="158">
        <f>SUMIFS($AA27:$NZ27, $AA$8:$NZ$8, $W$13)/$O27</f>
        <v>0</v>
      </c>
      <c r="X27" s="159">
        <f t="shared" si="87"/>
        <v>0</v>
      </c>
      <c r="Y27" s="199">
        <f t="shared" si="86"/>
        <v>0</v>
      </c>
      <c r="Z27" s="35"/>
      <c r="AA27" s="15"/>
      <c r="AB27" s="15"/>
      <c r="AC27" s="15"/>
      <c r="AD27" s="15"/>
      <c r="AE27" s="15"/>
      <c r="AF27" s="15"/>
      <c r="AG27" s="184"/>
      <c r="AH27" s="15"/>
      <c r="AI27" s="15"/>
      <c r="AJ27" s="15"/>
      <c r="AK27" s="15"/>
      <c r="AL27" s="15"/>
      <c r="AM27" s="15"/>
      <c r="AN27" s="184"/>
      <c r="AO27" s="15"/>
      <c r="AP27" s="15"/>
      <c r="AQ27" s="15"/>
      <c r="AR27" s="15"/>
      <c r="AS27" s="15"/>
      <c r="AT27" s="15"/>
      <c r="AU27" s="184"/>
      <c r="AV27" s="15"/>
      <c r="AW27" s="15"/>
      <c r="AX27" s="15"/>
      <c r="AY27" s="15"/>
      <c r="AZ27" s="15"/>
      <c r="BA27" s="15"/>
      <c r="BB27" s="184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84"/>
      <c r="CE27" s="15"/>
      <c r="CF27" s="15"/>
      <c r="CG27" s="15"/>
      <c r="CH27" s="15"/>
      <c r="CI27" s="15"/>
      <c r="CJ27" s="15"/>
      <c r="CK27" s="184"/>
      <c r="CL27" s="15"/>
      <c r="CM27" s="15"/>
      <c r="CN27" s="15"/>
      <c r="CO27" s="15"/>
      <c r="CP27" s="15"/>
      <c r="CQ27" s="15"/>
      <c r="CR27" s="184"/>
      <c r="CS27" s="15"/>
      <c r="CT27" s="15"/>
      <c r="CU27" s="15"/>
      <c r="CV27" s="15"/>
      <c r="CW27" s="15"/>
      <c r="CX27" s="15"/>
      <c r="CY27" s="184"/>
      <c r="CZ27" s="15"/>
      <c r="DA27" s="15"/>
      <c r="DB27" s="15"/>
      <c r="DC27" s="15"/>
      <c r="DD27" s="15"/>
      <c r="DE27" s="15"/>
      <c r="DF27" s="184"/>
      <c r="DG27" s="15"/>
      <c r="DH27" s="15"/>
      <c r="DI27" s="15"/>
      <c r="DJ27" s="15"/>
      <c r="DK27" s="15"/>
      <c r="DL27" s="15"/>
      <c r="DM27" s="184"/>
      <c r="DN27" s="15"/>
      <c r="DO27" s="15"/>
      <c r="DP27" s="15"/>
      <c r="DQ27" s="15"/>
      <c r="DR27" s="15"/>
      <c r="DS27" s="15"/>
      <c r="DT27" s="184"/>
      <c r="DU27" s="15">
        <v>3</v>
      </c>
      <c r="DV27" s="15">
        <v>3</v>
      </c>
      <c r="DW27" s="15">
        <v>3</v>
      </c>
      <c r="DX27" s="15">
        <v>3</v>
      </c>
      <c r="DY27" s="15">
        <v>3</v>
      </c>
      <c r="DZ27" s="15">
        <v>3</v>
      </c>
      <c r="EA27" s="184"/>
      <c r="EB27" s="15"/>
      <c r="EC27" s="15"/>
      <c r="ED27" s="15"/>
      <c r="EE27" s="15"/>
      <c r="EF27" s="15"/>
      <c r="EG27" s="15"/>
      <c r="EH27" s="184"/>
      <c r="EI27" s="15"/>
      <c r="EJ27" s="15"/>
      <c r="EK27" s="15"/>
      <c r="EL27" s="15"/>
      <c r="EM27" s="15"/>
      <c r="EN27" s="15"/>
      <c r="EO27" s="184"/>
      <c r="EP27" s="15"/>
      <c r="EQ27" s="15"/>
      <c r="ER27" s="15"/>
      <c r="ES27" s="15"/>
      <c r="ET27" s="15"/>
      <c r="EU27" s="15"/>
      <c r="EV27" s="184"/>
      <c r="EW27" s="15"/>
      <c r="EX27" s="15"/>
      <c r="EY27" s="15"/>
      <c r="EZ27" s="15"/>
      <c r="FA27" s="15"/>
      <c r="FB27" s="15"/>
      <c r="FC27" s="184"/>
      <c r="FD27" s="15"/>
      <c r="FE27" s="15"/>
      <c r="FF27" s="15"/>
      <c r="FG27" s="15"/>
      <c r="FH27" s="15"/>
      <c r="FI27" s="15"/>
      <c r="FJ27" s="184"/>
      <c r="FK27" s="15"/>
      <c r="FL27" s="15"/>
      <c r="FM27" s="15"/>
      <c r="FN27" s="15"/>
      <c r="FO27" s="15"/>
      <c r="FP27" s="15"/>
      <c r="FQ27" s="184"/>
      <c r="FR27" s="15"/>
      <c r="FS27" s="15"/>
      <c r="FT27" s="15"/>
      <c r="FU27" s="15"/>
      <c r="FV27" s="15"/>
      <c r="FW27" s="178"/>
      <c r="FX27" s="184"/>
      <c r="FY27" s="181"/>
      <c r="FZ27" s="15"/>
      <c r="GA27" s="15"/>
      <c r="GB27" s="15"/>
      <c r="GC27" s="15"/>
      <c r="GD27" s="15"/>
      <c r="GE27" s="184"/>
      <c r="GF27" s="15"/>
      <c r="GG27" s="15"/>
      <c r="GH27" s="15"/>
      <c r="GI27" s="15"/>
      <c r="GJ27" s="15"/>
      <c r="GK27" s="15"/>
      <c r="GL27" s="184"/>
      <c r="GM27" s="15"/>
      <c r="GN27" s="15"/>
      <c r="GO27" s="15"/>
      <c r="GP27" s="15"/>
      <c r="GQ27" s="15"/>
      <c r="GR27" s="15"/>
      <c r="GS27" s="184"/>
      <c r="GT27" s="15"/>
      <c r="GU27" s="15"/>
      <c r="GV27" s="15"/>
      <c r="GW27" s="15"/>
      <c r="GX27" s="15"/>
      <c r="GY27" s="15"/>
      <c r="GZ27" s="184"/>
      <c r="HA27" s="15"/>
      <c r="HB27" s="15"/>
      <c r="HC27" s="15"/>
      <c r="HD27" s="15"/>
      <c r="HE27" s="15"/>
      <c r="HF27" s="15"/>
      <c r="HG27" s="184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</row>
    <row r="28" spans="2:390" ht="19.5" customHeight="1" x14ac:dyDescent="0.45">
      <c r="B28" s="1">
        <f t="shared" si="88"/>
        <v>1</v>
      </c>
      <c r="C28" s="1">
        <f t="shared" si="94"/>
        <v>6</v>
      </c>
      <c r="D28" s="1">
        <v>0</v>
      </c>
      <c r="E28" s="93" t="str">
        <f t="shared" si="80"/>
        <v>1.6.0</v>
      </c>
      <c r="F28" s="94" t="s">
        <v>102</v>
      </c>
      <c r="G28" s="96">
        <v>2</v>
      </c>
      <c r="H28" s="101" t="s">
        <v>117</v>
      </c>
      <c r="I28" s="101" t="s">
        <v>156</v>
      </c>
      <c r="J28" s="96">
        <v>30</v>
      </c>
      <c r="K28" s="96">
        <v>30</v>
      </c>
      <c r="L28" s="96">
        <f t="shared" si="93"/>
        <v>0</v>
      </c>
      <c r="M28" s="96">
        <v>2</v>
      </c>
      <c r="N28" s="96">
        <v>6</v>
      </c>
      <c r="O28" s="95">
        <f t="shared" si="89"/>
        <v>12</v>
      </c>
      <c r="P28" s="95">
        <f t="shared" si="90"/>
        <v>12</v>
      </c>
      <c r="Q28" s="95">
        <f t="shared" si="91"/>
        <v>0</v>
      </c>
      <c r="R28" s="162">
        <v>45992</v>
      </c>
      <c r="S28" s="96">
        <v>5</v>
      </c>
      <c r="T28" s="163">
        <f t="shared" si="84"/>
        <v>45996</v>
      </c>
      <c r="U28" s="164">
        <f t="shared" si="92"/>
        <v>1</v>
      </c>
      <c r="V28" s="200">
        <f t="shared" si="85"/>
        <v>12</v>
      </c>
      <c r="W28" s="158">
        <f>SUMIFS($AA28:$NZ28, $AA$8:$NZ$8, $W$13)/$O28</f>
        <v>0</v>
      </c>
      <c r="X28" s="159">
        <f t="shared" si="87"/>
        <v>1</v>
      </c>
      <c r="Y28" s="199">
        <f t="shared" si="86"/>
        <v>12</v>
      </c>
      <c r="Z28" s="35"/>
      <c r="AA28" s="15"/>
      <c r="AB28" s="15"/>
      <c r="AC28" s="15"/>
      <c r="AD28" s="15"/>
      <c r="AE28" s="15"/>
      <c r="AF28" s="15"/>
      <c r="AG28" s="184"/>
      <c r="AH28" s="15">
        <v>2</v>
      </c>
      <c r="AI28" s="15">
        <v>2</v>
      </c>
      <c r="AJ28" s="15">
        <v>2</v>
      </c>
      <c r="AK28" s="15">
        <v>2</v>
      </c>
      <c r="AL28" s="15">
        <v>2</v>
      </c>
      <c r="AM28" s="15">
        <v>2</v>
      </c>
      <c r="AN28" s="184"/>
      <c r="AO28" s="15"/>
      <c r="AP28" s="15"/>
      <c r="AQ28" s="15"/>
      <c r="AR28" s="15"/>
      <c r="AS28" s="15"/>
      <c r="AT28" s="15"/>
      <c r="AU28" s="184"/>
      <c r="AV28" s="15"/>
      <c r="AW28" s="15"/>
      <c r="AX28" s="15"/>
      <c r="AY28" s="15"/>
      <c r="AZ28" s="15"/>
      <c r="BA28" s="15"/>
      <c r="BB28" s="184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84"/>
      <c r="CE28" s="15"/>
      <c r="CF28" s="15"/>
      <c r="CG28" s="15"/>
      <c r="CH28" s="15"/>
      <c r="CI28" s="15"/>
      <c r="CJ28" s="15"/>
      <c r="CK28" s="184"/>
      <c r="CL28" s="15"/>
      <c r="CM28" s="15"/>
      <c r="CN28" s="15"/>
      <c r="CO28" s="15"/>
      <c r="CP28" s="15"/>
      <c r="CQ28" s="15"/>
      <c r="CR28" s="184"/>
      <c r="CS28" s="15"/>
      <c r="CT28" s="15"/>
      <c r="CU28" s="15"/>
      <c r="CV28" s="15"/>
      <c r="CW28" s="15"/>
      <c r="CX28" s="15"/>
      <c r="CY28" s="184"/>
      <c r="CZ28" s="15"/>
      <c r="DA28" s="15"/>
      <c r="DB28" s="15"/>
      <c r="DC28" s="15"/>
      <c r="DD28" s="15"/>
      <c r="DE28" s="15"/>
      <c r="DF28" s="184"/>
      <c r="DG28" s="15"/>
      <c r="DH28" s="15"/>
      <c r="DI28" s="15"/>
      <c r="DJ28" s="15"/>
      <c r="DK28" s="15"/>
      <c r="DL28" s="15"/>
      <c r="DM28" s="184"/>
      <c r="DN28" s="15"/>
      <c r="DO28" s="15"/>
      <c r="DP28" s="15"/>
      <c r="DQ28" s="15"/>
      <c r="DR28" s="15"/>
      <c r="DS28" s="15"/>
      <c r="DT28" s="184"/>
      <c r="DU28" s="15"/>
      <c r="DV28" s="15"/>
      <c r="DW28" s="15"/>
      <c r="DX28" s="15"/>
      <c r="DY28" s="15"/>
      <c r="DZ28" s="15"/>
      <c r="EA28" s="184"/>
      <c r="EB28" s="15"/>
      <c r="EC28" s="15"/>
      <c r="ED28" s="15"/>
      <c r="EE28" s="15"/>
      <c r="EF28" s="15"/>
      <c r="EG28" s="15"/>
      <c r="EH28" s="184"/>
      <c r="EI28" s="15"/>
      <c r="EJ28" s="15"/>
      <c r="EK28" s="15"/>
      <c r="EL28" s="15"/>
      <c r="EM28" s="15"/>
      <c r="EN28" s="15"/>
      <c r="EO28" s="184"/>
      <c r="EP28" s="15"/>
      <c r="EQ28" s="15"/>
      <c r="ER28" s="15"/>
      <c r="ES28" s="15"/>
      <c r="ET28" s="15"/>
      <c r="EU28" s="15"/>
      <c r="EV28" s="184"/>
      <c r="EW28" s="15"/>
      <c r="EX28" s="15"/>
      <c r="EY28" s="15"/>
      <c r="EZ28" s="15"/>
      <c r="FA28" s="15"/>
      <c r="FB28" s="15"/>
      <c r="FC28" s="184"/>
      <c r="FD28" s="15"/>
      <c r="FE28" s="15"/>
      <c r="FF28" s="15"/>
      <c r="FG28" s="15"/>
      <c r="FH28" s="15"/>
      <c r="FI28" s="15"/>
      <c r="FJ28" s="184"/>
      <c r="FK28" s="15"/>
      <c r="FL28" s="15"/>
      <c r="FM28" s="15"/>
      <c r="FN28" s="15"/>
      <c r="FO28" s="15"/>
      <c r="FP28" s="15"/>
      <c r="FQ28" s="184"/>
      <c r="FR28" s="15"/>
      <c r="FS28" s="15"/>
      <c r="FT28" s="15"/>
      <c r="FU28" s="15"/>
      <c r="FV28" s="15"/>
      <c r="FW28" s="178"/>
      <c r="FX28" s="184"/>
      <c r="FY28" s="181"/>
      <c r="FZ28" s="15"/>
      <c r="GA28" s="15"/>
      <c r="GB28" s="15"/>
      <c r="GC28" s="15"/>
      <c r="GD28" s="15"/>
      <c r="GE28" s="184"/>
      <c r="GF28" s="15"/>
      <c r="GG28" s="15"/>
      <c r="GH28" s="15"/>
      <c r="GI28" s="15"/>
      <c r="GJ28" s="15"/>
      <c r="GK28" s="15"/>
      <c r="GL28" s="184"/>
      <c r="GM28" s="15"/>
      <c r="GN28" s="15"/>
      <c r="GO28" s="15"/>
      <c r="GP28" s="15"/>
      <c r="GQ28" s="15"/>
      <c r="GR28" s="15"/>
      <c r="GS28" s="184"/>
      <c r="GT28" s="15"/>
      <c r="GU28" s="15"/>
      <c r="GV28" s="15"/>
      <c r="GW28" s="15"/>
      <c r="GX28" s="15"/>
      <c r="GY28" s="15"/>
      <c r="GZ28" s="184"/>
      <c r="HA28" s="15"/>
      <c r="HB28" s="15"/>
      <c r="HC28" s="15"/>
      <c r="HD28" s="15"/>
      <c r="HE28" s="15"/>
      <c r="HF28" s="15"/>
      <c r="HG28" s="184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</row>
    <row r="29" spans="2:390" ht="19.5" customHeight="1" x14ac:dyDescent="0.45">
      <c r="B29" s="1">
        <f t="shared" si="88"/>
        <v>1</v>
      </c>
      <c r="C29" s="1">
        <f t="shared" si="94"/>
        <v>7</v>
      </c>
      <c r="D29" s="1">
        <v>0</v>
      </c>
      <c r="E29" s="93" t="str">
        <f t="shared" si="80"/>
        <v>1.7.0</v>
      </c>
      <c r="F29" s="94" t="s">
        <v>127</v>
      </c>
      <c r="G29" s="96">
        <v>2</v>
      </c>
      <c r="H29" s="101" t="s">
        <v>117</v>
      </c>
      <c r="I29" s="101" t="s">
        <v>157</v>
      </c>
      <c r="J29" s="96">
        <v>2</v>
      </c>
      <c r="K29" s="96">
        <v>0</v>
      </c>
      <c r="L29" s="96">
        <f t="shared" si="93"/>
        <v>2</v>
      </c>
      <c r="M29" s="96">
        <v>4</v>
      </c>
      <c r="N29" s="96">
        <v>3</v>
      </c>
      <c r="O29" s="95">
        <f t="shared" si="89"/>
        <v>12</v>
      </c>
      <c r="P29" s="95">
        <f t="shared" si="90"/>
        <v>12</v>
      </c>
      <c r="Q29" s="95">
        <f t="shared" si="91"/>
        <v>0</v>
      </c>
      <c r="R29" s="162">
        <v>46083</v>
      </c>
      <c r="S29" s="96">
        <v>3</v>
      </c>
      <c r="T29" s="163">
        <f t="shared" si="84"/>
        <v>46085</v>
      </c>
      <c r="U29" s="164">
        <f t="shared" si="92"/>
        <v>0</v>
      </c>
      <c r="V29" s="200">
        <f t="shared" si="85"/>
        <v>0</v>
      </c>
      <c r="W29" s="158">
        <f>SUMIFS($AA29:$NZ29, $AA$8:$NZ$8, $W$13)/$O29</f>
        <v>0</v>
      </c>
      <c r="X29" s="159">
        <f t="shared" si="87"/>
        <v>0</v>
      </c>
      <c r="Y29" s="199">
        <f t="shared" si="86"/>
        <v>0</v>
      </c>
      <c r="Z29" s="35"/>
      <c r="AA29" s="15"/>
      <c r="AB29" s="15"/>
      <c r="AC29" s="15"/>
      <c r="AD29" s="15"/>
      <c r="AE29" s="15"/>
      <c r="AF29" s="15"/>
      <c r="AG29" s="184"/>
      <c r="AH29" s="15"/>
      <c r="AI29" s="15"/>
      <c r="AJ29" s="15"/>
      <c r="AK29" s="15"/>
      <c r="AL29" s="15"/>
      <c r="AM29" s="15"/>
      <c r="AN29" s="184"/>
      <c r="AO29" s="15"/>
      <c r="AP29" s="15"/>
      <c r="AQ29" s="15"/>
      <c r="AR29" s="15"/>
      <c r="AS29" s="15"/>
      <c r="AT29" s="15"/>
      <c r="AU29" s="184"/>
      <c r="AV29" s="15"/>
      <c r="AW29" s="15"/>
      <c r="AX29" s="15"/>
      <c r="AY29" s="15"/>
      <c r="AZ29" s="15"/>
      <c r="BA29" s="15"/>
      <c r="BB29" s="184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84"/>
      <c r="CE29" s="15"/>
      <c r="CF29" s="15"/>
      <c r="CG29" s="15"/>
      <c r="CH29" s="15"/>
      <c r="CI29" s="15"/>
      <c r="CJ29" s="15"/>
      <c r="CK29" s="184"/>
      <c r="CL29" s="15"/>
      <c r="CM29" s="15"/>
      <c r="CN29" s="15"/>
      <c r="CO29" s="15"/>
      <c r="CP29" s="15"/>
      <c r="CQ29" s="15"/>
      <c r="CR29" s="184"/>
      <c r="CS29" s="15"/>
      <c r="CT29" s="15"/>
      <c r="CU29" s="15"/>
      <c r="CV29" s="15"/>
      <c r="CW29" s="15"/>
      <c r="CX29" s="15"/>
      <c r="CY29" s="184"/>
      <c r="CZ29" s="15"/>
      <c r="DA29" s="15"/>
      <c r="DB29" s="15"/>
      <c r="DC29" s="15"/>
      <c r="DD29" s="15"/>
      <c r="DE29" s="15"/>
      <c r="DF29" s="184"/>
      <c r="DG29" s="15"/>
      <c r="DH29" s="15"/>
      <c r="DI29" s="15"/>
      <c r="DJ29" s="15"/>
      <c r="DK29" s="15"/>
      <c r="DL29" s="15"/>
      <c r="DM29" s="184"/>
      <c r="DN29" s="15"/>
      <c r="DO29" s="15"/>
      <c r="DP29" s="15"/>
      <c r="DQ29" s="15"/>
      <c r="DR29" s="15"/>
      <c r="DS29" s="15"/>
      <c r="DT29" s="184"/>
      <c r="DU29" s="15">
        <v>4</v>
      </c>
      <c r="DV29" s="15">
        <v>4</v>
      </c>
      <c r="DW29" s="15">
        <v>4</v>
      </c>
      <c r="DX29" s="15"/>
      <c r="DY29" s="15"/>
      <c r="DZ29" s="15"/>
      <c r="EA29" s="184"/>
      <c r="EB29" s="15"/>
      <c r="EC29" s="15"/>
      <c r="ED29" s="15"/>
      <c r="EE29" s="15"/>
      <c r="EF29" s="15"/>
      <c r="EG29" s="15"/>
      <c r="EH29" s="184"/>
      <c r="EI29" s="15"/>
      <c r="EJ29" s="15"/>
      <c r="EK29" s="15"/>
      <c r="EL29" s="15"/>
      <c r="EM29" s="15"/>
      <c r="EN29" s="15"/>
      <c r="EO29" s="184"/>
      <c r="EP29" s="15"/>
      <c r="EQ29" s="15"/>
      <c r="ER29" s="15"/>
      <c r="ES29" s="15"/>
      <c r="ET29" s="15"/>
      <c r="EU29" s="15"/>
      <c r="EV29" s="184"/>
      <c r="EW29" s="15"/>
      <c r="EX29" s="15"/>
      <c r="EY29" s="15"/>
      <c r="EZ29" s="15"/>
      <c r="FA29" s="15"/>
      <c r="FB29" s="15"/>
      <c r="FC29" s="184"/>
      <c r="FD29" s="15"/>
      <c r="FE29" s="15"/>
      <c r="FF29" s="15"/>
      <c r="FG29" s="15"/>
      <c r="FH29" s="15"/>
      <c r="FI29" s="15"/>
      <c r="FJ29" s="184"/>
      <c r="FK29" s="15"/>
      <c r="FL29" s="15"/>
      <c r="FM29" s="15"/>
      <c r="FN29" s="15"/>
      <c r="FO29" s="15"/>
      <c r="FP29" s="15"/>
      <c r="FQ29" s="184"/>
      <c r="FR29" s="15"/>
      <c r="FS29" s="15"/>
      <c r="FT29" s="15"/>
      <c r="FU29" s="15"/>
      <c r="FV29" s="15"/>
      <c r="FW29" s="178"/>
      <c r="FX29" s="184"/>
      <c r="FY29" s="181"/>
      <c r="FZ29" s="15"/>
      <c r="GA29" s="15"/>
      <c r="GB29" s="15"/>
      <c r="GC29" s="15"/>
      <c r="GD29" s="15"/>
      <c r="GE29" s="184"/>
      <c r="GF29" s="15"/>
      <c r="GG29" s="15"/>
      <c r="GH29" s="15"/>
      <c r="GI29" s="15"/>
      <c r="GJ29" s="15"/>
      <c r="GK29" s="15"/>
      <c r="GL29" s="184"/>
      <c r="GM29" s="15"/>
      <c r="GN29" s="15"/>
      <c r="GO29" s="15"/>
      <c r="GP29" s="15"/>
      <c r="GQ29" s="15"/>
      <c r="GR29" s="15"/>
      <c r="GS29" s="184"/>
      <c r="GT29" s="15"/>
      <c r="GU29" s="15"/>
      <c r="GV29" s="15"/>
      <c r="GW29" s="15"/>
      <c r="GX29" s="15"/>
      <c r="GY29" s="15"/>
      <c r="GZ29" s="184"/>
      <c r="HA29" s="15"/>
      <c r="HB29" s="15"/>
      <c r="HC29" s="15"/>
      <c r="HD29" s="15"/>
      <c r="HE29" s="15"/>
      <c r="HF29" s="15"/>
      <c r="HG29" s="184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</row>
    <row r="30" spans="2:390" ht="19.5" customHeight="1" x14ac:dyDescent="0.45">
      <c r="B30" s="1">
        <f t="shared" si="88"/>
        <v>1</v>
      </c>
      <c r="C30" s="1">
        <f t="shared" si="94"/>
        <v>8</v>
      </c>
      <c r="D30" s="1">
        <v>0</v>
      </c>
      <c r="E30" s="93" t="str">
        <f t="shared" si="80"/>
        <v>1.8.0</v>
      </c>
      <c r="F30" s="94" t="s">
        <v>126</v>
      </c>
      <c r="G30" s="96">
        <v>2.2999999999999998</v>
      </c>
      <c r="H30" s="101" t="s">
        <v>117</v>
      </c>
      <c r="I30" s="101" t="s">
        <v>158</v>
      </c>
      <c r="J30" s="96">
        <v>60</v>
      </c>
      <c r="K30" s="96">
        <v>0</v>
      </c>
      <c r="L30" s="96">
        <f t="shared" si="93"/>
        <v>60</v>
      </c>
      <c r="M30" s="96">
        <v>4</v>
      </c>
      <c r="N30" s="96">
        <v>6</v>
      </c>
      <c r="O30" s="95">
        <f t="shared" si="89"/>
        <v>24</v>
      </c>
      <c r="P30" s="95">
        <f t="shared" si="90"/>
        <v>24</v>
      </c>
      <c r="Q30" s="95">
        <f t="shared" si="91"/>
        <v>0</v>
      </c>
      <c r="R30" s="162">
        <v>46111</v>
      </c>
      <c r="S30" s="96">
        <v>5</v>
      </c>
      <c r="T30" s="163">
        <f t="shared" si="84"/>
        <v>46115</v>
      </c>
      <c r="U30" s="164">
        <f t="shared" si="92"/>
        <v>0</v>
      </c>
      <c r="V30" s="200">
        <f t="shared" si="85"/>
        <v>0</v>
      </c>
      <c r="W30" s="158">
        <f>SUMIFS($AA30:$NZ30, $AA$8:$NZ$8, $W$13)/$O30</f>
        <v>0</v>
      </c>
      <c r="X30" s="159">
        <f t="shared" si="87"/>
        <v>0</v>
      </c>
      <c r="Y30" s="199">
        <f t="shared" si="86"/>
        <v>0</v>
      </c>
      <c r="Z30" s="35"/>
      <c r="AA30" s="15"/>
      <c r="AB30" s="15"/>
      <c r="AC30" s="15"/>
      <c r="AD30" s="15"/>
      <c r="AE30" s="15"/>
      <c r="AF30" s="15"/>
      <c r="AG30" s="184"/>
      <c r="AH30" s="15"/>
      <c r="AI30" s="15"/>
      <c r="AJ30" s="15"/>
      <c r="AK30" s="15"/>
      <c r="AL30" s="15"/>
      <c r="AM30" s="15"/>
      <c r="AN30" s="184"/>
      <c r="AO30" s="15"/>
      <c r="AP30" s="15"/>
      <c r="AQ30" s="15"/>
      <c r="AR30" s="15"/>
      <c r="AS30" s="15"/>
      <c r="AT30" s="15"/>
      <c r="AU30" s="184"/>
      <c r="AV30" s="15"/>
      <c r="AW30" s="15"/>
      <c r="AX30" s="15"/>
      <c r="AY30" s="15"/>
      <c r="AZ30" s="15"/>
      <c r="BA30" s="15"/>
      <c r="BB30" s="184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84"/>
      <c r="CE30" s="15"/>
      <c r="CF30" s="15"/>
      <c r="CG30" s="15"/>
      <c r="CH30" s="15"/>
      <c r="CI30" s="15"/>
      <c r="CJ30" s="15"/>
      <c r="CK30" s="184"/>
      <c r="CL30" s="15"/>
      <c r="CM30" s="15"/>
      <c r="CN30" s="15"/>
      <c r="CO30" s="15"/>
      <c r="CP30" s="15"/>
      <c r="CQ30" s="15"/>
      <c r="CR30" s="184"/>
      <c r="CS30" s="15"/>
      <c r="CT30" s="15"/>
      <c r="CU30" s="15"/>
      <c r="CV30" s="15"/>
      <c r="CW30" s="15"/>
      <c r="CX30" s="15"/>
      <c r="CY30" s="184"/>
      <c r="CZ30" s="15"/>
      <c r="DA30" s="15"/>
      <c r="DB30" s="15"/>
      <c r="DC30" s="15"/>
      <c r="DD30" s="15"/>
      <c r="DE30" s="15"/>
      <c r="DF30" s="184"/>
      <c r="DG30" s="15"/>
      <c r="DH30" s="15"/>
      <c r="DI30" s="15"/>
      <c r="DJ30" s="15"/>
      <c r="DK30" s="15"/>
      <c r="DL30" s="15"/>
      <c r="DM30" s="184"/>
      <c r="DN30" s="15"/>
      <c r="DO30" s="15"/>
      <c r="DP30" s="15"/>
      <c r="DQ30" s="15"/>
      <c r="DR30" s="15"/>
      <c r="DS30" s="15"/>
      <c r="DT30" s="184"/>
      <c r="DU30" s="15"/>
      <c r="DV30" s="15"/>
      <c r="DW30" s="15"/>
      <c r="DX30" s="15"/>
      <c r="DY30" s="15"/>
      <c r="DZ30" s="15"/>
      <c r="EA30" s="184"/>
      <c r="EB30" s="15"/>
      <c r="EC30" s="15"/>
      <c r="ED30" s="15"/>
      <c r="EE30" s="15"/>
      <c r="EF30" s="15"/>
      <c r="EG30" s="15"/>
      <c r="EH30" s="184"/>
      <c r="EI30" s="15"/>
      <c r="EJ30" s="15"/>
      <c r="EK30" s="15"/>
      <c r="EL30" s="15"/>
      <c r="EM30" s="15"/>
      <c r="EN30" s="15"/>
      <c r="EO30" s="184"/>
      <c r="EP30" s="15"/>
      <c r="EQ30" s="15"/>
      <c r="ER30" s="15"/>
      <c r="ES30" s="15"/>
      <c r="ET30" s="15"/>
      <c r="EU30" s="15"/>
      <c r="EV30" s="184"/>
      <c r="EW30" s="15">
        <v>4</v>
      </c>
      <c r="EX30" s="15">
        <v>4</v>
      </c>
      <c r="EY30" s="15">
        <v>4</v>
      </c>
      <c r="EZ30" s="15">
        <v>4</v>
      </c>
      <c r="FA30" s="15">
        <v>4</v>
      </c>
      <c r="FB30" s="15">
        <v>4</v>
      </c>
      <c r="FC30" s="184"/>
      <c r="FD30" s="15"/>
      <c r="FE30" s="15"/>
      <c r="FF30" s="15"/>
      <c r="FG30" s="15"/>
      <c r="FH30" s="15"/>
      <c r="FI30" s="15"/>
      <c r="FJ30" s="184"/>
      <c r="FK30" s="15"/>
      <c r="FL30" s="15"/>
      <c r="FM30" s="15"/>
      <c r="FN30" s="15"/>
      <c r="FO30" s="15"/>
      <c r="FP30" s="15"/>
      <c r="FQ30" s="184"/>
      <c r="FR30" s="15"/>
      <c r="FS30" s="15"/>
      <c r="FT30" s="15"/>
      <c r="FU30" s="15"/>
      <c r="FV30" s="15"/>
      <c r="FW30" s="178"/>
      <c r="FX30" s="184"/>
      <c r="FY30" s="181"/>
      <c r="FZ30" s="15"/>
      <c r="GA30" s="15"/>
      <c r="GB30" s="15"/>
      <c r="GC30" s="15"/>
      <c r="GD30" s="15"/>
      <c r="GE30" s="184"/>
      <c r="GF30" s="15"/>
      <c r="GG30" s="15"/>
      <c r="GH30" s="15"/>
      <c r="GI30" s="15"/>
      <c r="GJ30" s="15"/>
      <c r="GK30" s="15"/>
      <c r="GL30" s="184"/>
      <c r="GM30" s="15"/>
      <c r="GN30" s="15"/>
      <c r="GO30" s="15"/>
      <c r="GP30" s="15"/>
      <c r="GQ30" s="15"/>
      <c r="GR30" s="15"/>
      <c r="GS30" s="184"/>
      <c r="GT30" s="15"/>
      <c r="GU30" s="15"/>
      <c r="GV30" s="15"/>
      <c r="GW30" s="15"/>
      <c r="GX30" s="15"/>
      <c r="GY30" s="15"/>
      <c r="GZ30" s="184"/>
      <c r="HA30" s="15"/>
      <c r="HB30" s="15"/>
      <c r="HC30" s="15"/>
      <c r="HD30" s="15"/>
      <c r="HE30" s="15"/>
      <c r="HF30" s="15"/>
      <c r="HG30" s="184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</row>
    <row r="31" spans="2:390" ht="19.5" customHeight="1" x14ac:dyDescent="0.45">
      <c r="B31" s="1">
        <f>+B30</f>
        <v>1</v>
      </c>
      <c r="C31" s="1">
        <f t="shared" si="94"/>
        <v>9</v>
      </c>
      <c r="D31" s="1">
        <v>0</v>
      </c>
      <c r="E31" s="93" t="str">
        <f t="shared" si="80"/>
        <v>1.9.0</v>
      </c>
      <c r="F31" s="94" t="s">
        <v>80</v>
      </c>
      <c r="G31" s="96">
        <v>2</v>
      </c>
      <c r="H31" s="101" t="s">
        <v>117</v>
      </c>
      <c r="I31" s="101" t="s">
        <v>158</v>
      </c>
      <c r="J31" s="96">
        <v>2</v>
      </c>
      <c r="K31" s="96">
        <v>0</v>
      </c>
      <c r="L31" s="96">
        <f t="shared" si="93"/>
        <v>2</v>
      </c>
      <c r="M31" s="96">
        <v>2</v>
      </c>
      <c r="N31" s="96">
        <v>4</v>
      </c>
      <c r="O31" s="95">
        <f t="shared" si="89"/>
        <v>8</v>
      </c>
      <c r="P31" s="95">
        <f t="shared" si="90"/>
        <v>12</v>
      </c>
      <c r="Q31" s="95">
        <f t="shared" si="91"/>
        <v>-4</v>
      </c>
      <c r="R31" s="162">
        <v>46086</v>
      </c>
      <c r="S31" s="96">
        <v>2</v>
      </c>
      <c r="T31" s="163">
        <f t="shared" si="84"/>
        <v>46087</v>
      </c>
      <c r="U31" s="164">
        <f t="shared" si="92"/>
        <v>0</v>
      </c>
      <c r="V31" s="200">
        <f t="shared" si="85"/>
        <v>0</v>
      </c>
      <c r="W31" s="158">
        <f>SUMIFS($AA31:$NZ31, $AA$8:$NZ$8, $W$13)/$O31</f>
        <v>0</v>
      </c>
      <c r="X31" s="159">
        <f t="shared" si="87"/>
        <v>0</v>
      </c>
      <c r="Y31" s="199">
        <f t="shared" si="86"/>
        <v>0</v>
      </c>
      <c r="Z31" s="35"/>
      <c r="AA31" s="15"/>
      <c r="AB31" s="15"/>
      <c r="AC31" s="15"/>
      <c r="AD31" s="15"/>
      <c r="AE31" s="15"/>
      <c r="AF31" s="15"/>
      <c r="AG31" s="184"/>
      <c r="AH31" s="15"/>
      <c r="AI31" s="15"/>
      <c r="AJ31" s="15"/>
      <c r="AK31" s="15"/>
      <c r="AL31" s="15"/>
      <c r="AM31" s="15"/>
      <c r="AN31" s="184"/>
      <c r="AO31" s="15"/>
      <c r="AP31" s="15"/>
      <c r="AQ31" s="15"/>
      <c r="AR31" s="15"/>
      <c r="AS31" s="15"/>
      <c r="AT31" s="15"/>
      <c r="AU31" s="184"/>
      <c r="AV31" s="15"/>
      <c r="AW31" s="15"/>
      <c r="AX31" s="15"/>
      <c r="AY31" s="15"/>
      <c r="AZ31" s="15"/>
      <c r="BA31" s="15"/>
      <c r="BB31" s="184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84"/>
      <c r="CE31" s="15"/>
      <c r="CF31" s="15"/>
      <c r="CG31" s="15"/>
      <c r="CH31" s="15"/>
      <c r="CI31" s="15"/>
      <c r="CJ31" s="15"/>
      <c r="CK31" s="184"/>
      <c r="CL31" s="15"/>
      <c r="CM31" s="15"/>
      <c r="CN31" s="15"/>
      <c r="CO31" s="15"/>
      <c r="CP31" s="15"/>
      <c r="CQ31" s="15"/>
      <c r="CR31" s="184"/>
      <c r="CS31" s="15"/>
      <c r="CT31" s="15"/>
      <c r="CU31" s="15"/>
      <c r="CV31" s="15"/>
      <c r="CW31" s="15"/>
      <c r="CX31" s="15"/>
      <c r="CY31" s="184"/>
      <c r="CZ31" s="15"/>
      <c r="DA31" s="15"/>
      <c r="DB31" s="15"/>
      <c r="DC31" s="15"/>
      <c r="DD31" s="15"/>
      <c r="DE31" s="15"/>
      <c r="DF31" s="184"/>
      <c r="DG31" s="15"/>
      <c r="DH31" s="15"/>
      <c r="DI31" s="15"/>
      <c r="DJ31" s="15"/>
      <c r="DK31" s="15"/>
      <c r="DL31" s="15"/>
      <c r="DM31" s="184"/>
      <c r="DN31" s="15"/>
      <c r="DO31" s="15"/>
      <c r="DP31" s="15"/>
      <c r="DQ31" s="15"/>
      <c r="DR31" s="15"/>
      <c r="DS31" s="15"/>
      <c r="DT31" s="184"/>
      <c r="DU31" s="15"/>
      <c r="DV31" s="15"/>
      <c r="DW31" s="15"/>
      <c r="DX31" s="15">
        <v>4</v>
      </c>
      <c r="DY31" s="15">
        <v>4</v>
      </c>
      <c r="DZ31" s="15">
        <v>4</v>
      </c>
      <c r="EA31" s="184"/>
      <c r="EB31" s="15"/>
      <c r="EC31" s="15"/>
      <c r="ED31" s="15"/>
      <c r="EE31" s="15"/>
      <c r="EF31" s="15"/>
      <c r="EG31" s="15"/>
      <c r="EH31" s="184"/>
      <c r="EI31" s="15"/>
      <c r="EJ31" s="15"/>
      <c r="EK31" s="15"/>
      <c r="EL31" s="15"/>
      <c r="EM31" s="15"/>
      <c r="EN31" s="15"/>
      <c r="EO31" s="184"/>
      <c r="EP31" s="15"/>
      <c r="EQ31" s="15"/>
      <c r="ER31" s="15"/>
      <c r="ES31" s="15"/>
      <c r="ET31" s="15"/>
      <c r="EU31" s="15"/>
      <c r="EV31" s="184"/>
      <c r="EW31" s="15"/>
      <c r="EX31" s="15"/>
      <c r="EY31" s="15"/>
      <c r="EZ31" s="15"/>
      <c r="FA31" s="15"/>
      <c r="FB31" s="15"/>
      <c r="FC31" s="184"/>
      <c r="FD31" s="15"/>
      <c r="FE31" s="15"/>
      <c r="FF31" s="15"/>
      <c r="FG31" s="15"/>
      <c r="FH31" s="15"/>
      <c r="FI31" s="15"/>
      <c r="FJ31" s="184"/>
      <c r="FK31" s="15"/>
      <c r="FL31" s="15"/>
      <c r="FM31" s="15"/>
      <c r="FN31" s="15"/>
      <c r="FO31" s="15"/>
      <c r="FP31" s="15"/>
      <c r="FQ31" s="184"/>
      <c r="FR31" s="15"/>
      <c r="FS31" s="15"/>
      <c r="FT31" s="15"/>
      <c r="FU31" s="15"/>
      <c r="FV31" s="15"/>
      <c r="FW31" s="178"/>
      <c r="FX31" s="184"/>
      <c r="FY31" s="181"/>
      <c r="FZ31" s="15"/>
      <c r="GA31" s="15"/>
      <c r="GB31" s="15"/>
      <c r="GC31" s="15"/>
      <c r="GD31" s="15"/>
      <c r="GE31" s="184"/>
      <c r="GF31" s="15"/>
      <c r="GG31" s="15"/>
      <c r="GH31" s="15"/>
      <c r="GI31" s="15"/>
      <c r="GJ31" s="15"/>
      <c r="GK31" s="15"/>
      <c r="GL31" s="184"/>
      <c r="GM31" s="15"/>
      <c r="GN31" s="15"/>
      <c r="GO31" s="15"/>
      <c r="GP31" s="15"/>
      <c r="GQ31" s="15"/>
      <c r="GR31" s="15"/>
      <c r="GS31" s="184"/>
      <c r="GT31" s="15"/>
      <c r="GU31" s="15"/>
      <c r="GV31" s="15"/>
      <c r="GW31" s="15"/>
      <c r="GX31" s="15"/>
      <c r="GY31" s="15"/>
      <c r="GZ31" s="184"/>
      <c r="HA31" s="15"/>
      <c r="HB31" s="15"/>
      <c r="HC31" s="15"/>
      <c r="HD31" s="15"/>
      <c r="HE31" s="15"/>
      <c r="HF31" s="15"/>
      <c r="HG31" s="184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</row>
    <row r="32" spans="2:390" ht="19.5" customHeight="1" x14ac:dyDescent="0.45">
      <c r="B32" s="1">
        <f>+B31</f>
        <v>1</v>
      </c>
      <c r="C32" s="1">
        <f t="shared" si="94"/>
        <v>10</v>
      </c>
      <c r="D32" s="1">
        <v>0</v>
      </c>
      <c r="E32" s="93" t="str">
        <f t="shared" si="80"/>
        <v>1.10.0</v>
      </c>
      <c r="F32" s="94" t="s">
        <v>125</v>
      </c>
      <c r="G32" s="96">
        <v>2</v>
      </c>
      <c r="H32" s="101" t="s">
        <v>117</v>
      </c>
      <c r="I32" s="101" t="s">
        <v>156</v>
      </c>
      <c r="J32" s="96">
        <v>1</v>
      </c>
      <c r="K32" s="96">
        <v>1</v>
      </c>
      <c r="L32" s="96">
        <f>+J32-K32</f>
        <v>0</v>
      </c>
      <c r="M32" s="96">
        <v>2</v>
      </c>
      <c r="N32" s="96">
        <v>6</v>
      </c>
      <c r="O32" s="95">
        <f>+N32*M32</f>
        <v>12</v>
      </c>
      <c r="P32" s="95">
        <f t="shared" si="90"/>
        <v>12</v>
      </c>
      <c r="Q32" s="95">
        <f t="shared" si="91"/>
        <v>0</v>
      </c>
      <c r="R32" s="162">
        <v>45992</v>
      </c>
      <c r="S32" s="96">
        <v>5</v>
      </c>
      <c r="T32" s="163">
        <f t="shared" si="84"/>
        <v>45996</v>
      </c>
      <c r="U32" s="164">
        <f t="shared" si="92"/>
        <v>1</v>
      </c>
      <c r="V32" s="200">
        <f t="shared" si="85"/>
        <v>12</v>
      </c>
      <c r="W32" s="158">
        <f>SUMIFS($AA32:$NZ32, $AA$8:$NZ$8, $W$13)/$O32</f>
        <v>0</v>
      </c>
      <c r="X32" s="159">
        <f t="shared" si="87"/>
        <v>1</v>
      </c>
      <c r="Y32" s="199">
        <f t="shared" si="86"/>
        <v>12</v>
      </c>
      <c r="Z32" s="35"/>
      <c r="AA32" s="15"/>
      <c r="AB32" s="15"/>
      <c r="AC32" s="15"/>
      <c r="AD32" s="15"/>
      <c r="AE32" s="15"/>
      <c r="AF32" s="15"/>
      <c r="AG32" s="184"/>
      <c r="AH32" s="15">
        <v>2</v>
      </c>
      <c r="AI32" s="15">
        <v>2</v>
      </c>
      <c r="AJ32" s="15">
        <v>2</v>
      </c>
      <c r="AK32" s="15">
        <v>2</v>
      </c>
      <c r="AL32" s="15">
        <v>2</v>
      </c>
      <c r="AM32" s="15">
        <v>2</v>
      </c>
      <c r="AN32" s="184"/>
      <c r="AO32" s="15"/>
      <c r="AP32" s="15"/>
      <c r="AQ32" s="15"/>
      <c r="AR32" s="15"/>
      <c r="AS32" s="15"/>
      <c r="AT32" s="15"/>
      <c r="AU32" s="184"/>
      <c r="AV32" s="15"/>
      <c r="AW32" s="15"/>
      <c r="AX32" s="15"/>
      <c r="AY32" s="15"/>
      <c r="AZ32" s="15"/>
      <c r="BA32" s="15"/>
      <c r="BB32" s="184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84"/>
      <c r="CE32" s="15"/>
      <c r="CF32" s="15"/>
      <c r="CG32" s="15"/>
      <c r="CH32" s="15"/>
      <c r="CI32" s="15"/>
      <c r="CJ32" s="15"/>
      <c r="CK32" s="184"/>
      <c r="CL32" s="15"/>
      <c r="CM32" s="15"/>
      <c r="CN32" s="15"/>
      <c r="CO32" s="15"/>
      <c r="CP32" s="15"/>
      <c r="CQ32" s="15"/>
      <c r="CR32" s="184"/>
      <c r="CS32" s="15"/>
      <c r="CT32" s="15"/>
      <c r="CU32" s="15"/>
      <c r="CV32" s="15"/>
      <c r="CW32" s="15"/>
      <c r="CX32" s="15"/>
      <c r="CY32" s="184"/>
      <c r="CZ32" s="15"/>
      <c r="DA32" s="15"/>
      <c r="DB32" s="15"/>
      <c r="DC32" s="15"/>
      <c r="DD32" s="15"/>
      <c r="DE32" s="15"/>
      <c r="DF32" s="184"/>
      <c r="DG32" s="15"/>
      <c r="DH32" s="15"/>
      <c r="DI32" s="15"/>
      <c r="DJ32" s="15"/>
      <c r="DK32" s="15"/>
      <c r="DL32" s="15"/>
      <c r="DM32" s="184"/>
      <c r="DN32" s="15"/>
      <c r="DO32" s="15"/>
      <c r="DP32" s="15"/>
      <c r="DQ32" s="15"/>
      <c r="DR32" s="15"/>
      <c r="DS32" s="15"/>
      <c r="DT32" s="184"/>
      <c r="DU32" s="15"/>
      <c r="DV32" s="15"/>
      <c r="DW32" s="15"/>
      <c r="DX32" s="15"/>
      <c r="DY32" s="15"/>
      <c r="DZ32" s="15"/>
      <c r="EA32" s="184"/>
      <c r="EB32" s="15"/>
      <c r="EC32" s="15"/>
      <c r="ED32" s="15"/>
      <c r="EE32" s="15"/>
      <c r="EF32" s="15"/>
      <c r="EG32" s="15"/>
      <c r="EH32" s="184"/>
      <c r="EI32" s="15"/>
      <c r="EJ32" s="15"/>
      <c r="EK32" s="15"/>
      <c r="EL32" s="15"/>
      <c r="EM32" s="15"/>
      <c r="EN32" s="15"/>
      <c r="EO32" s="184"/>
      <c r="EP32" s="15"/>
      <c r="EQ32" s="15"/>
      <c r="ER32" s="15"/>
      <c r="ES32" s="15"/>
      <c r="ET32" s="15"/>
      <c r="EU32" s="15"/>
      <c r="EV32" s="184"/>
      <c r="EW32" s="15"/>
      <c r="EX32" s="15"/>
      <c r="EY32" s="15"/>
      <c r="EZ32" s="15"/>
      <c r="FA32" s="15"/>
      <c r="FB32" s="15"/>
      <c r="FC32" s="184"/>
      <c r="FD32" s="15"/>
      <c r="FE32" s="15"/>
      <c r="FF32" s="15"/>
      <c r="FG32" s="15"/>
      <c r="FH32" s="15"/>
      <c r="FI32" s="15"/>
      <c r="FJ32" s="184"/>
      <c r="FK32" s="15"/>
      <c r="FL32" s="15"/>
      <c r="FM32" s="15"/>
      <c r="FN32" s="15"/>
      <c r="FO32" s="15"/>
      <c r="FP32" s="15"/>
      <c r="FQ32" s="184"/>
      <c r="FR32" s="15"/>
      <c r="FS32" s="15"/>
      <c r="FT32" s="15"/>
      <c r="FU32" s="15"/>
      <c r="FV32" s="15"/>
      <c r="FW32" s="178"/>
      <c r="FX32" s="184"/>
      <c r="FY32" s="181"/>
      <c r="FZ32" s="15"/>
      <c r="GA32" s="15"/>
      <c r="GB32" s="15"/>
      <c r="GC32" s="15"/>
      <c r="GD32" s="15"/>
      <c r="GE32" s="184"/>
      <c r="GF32" s="15"/>
      <c r="GG32" s="15"/>
      <c r="GH32" s="15"/>
      <c r="GI32" s="15"/>
      <c r="GJ32" s="15"/>
      <c r="GK32" s="15"/>
      <c r="GL32" s="184"/>
      <c r="GM32" s="15"/>
      <c r="GN32" s="15"/>
      <c r="GO32" s="15"/>
      <c r="GP32" s="15"/>
      <c r="GQ32" s="15"/>
      <c r="GR32" s="15"/>
      <c r="GS32" s="184"/>
      <c r="GT32" s="15"/>
      <c r="GU32" s="15"/>
      <c r="GV32" s="15"/>
      <c r="GW32" s="15"/>
      <c r="GX32" s="15"/>
      <c r="GY32" s="15"/>
      <c r="GZ32" s="184"/>
      <c r="HA32" s="15"/>
      <c r="HB32" s="15"/>
      <c r="HC32" s="15"/>
      <c r="HD32" s="15"/>
      <c r="HE32" s="15"/>
      <c r="HF32" s="15"/>
      <c r="HG32" s="184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</row>
    <row r="33" spans="2:390" ht="19.5" customHeight="1" x14ac:dyDescent="0.45">
      <c r="B33" s="1">
        <f>+B32</f>
        <v>1</v>
      </c>
      <c r="C33" s="1">
        <f t="shared" si="94"/>
        <v>11</v>
      </c>
      <c r="D33" s="1">
        <v>0</v>
      </c>
      <c r="E33" s="93" t="str">
        <f t="shared" si="80"/>
        <v>1.11.0</v>
      </c>
      <c r="F33" s="94" t="s">
        <v>28</v>
      </c>
      <c r="G33" s="96" t="s">
        <v>145</v>
      </c>
      <c r="H33" s="97" t="s">
        <v>117</v>
      </c>
      <c r="I33" s="97" t="s">
        <v>158</v>
      </c>
      <c r="J33" s="96">
        <v>9</v>
      </c>
      <c r="K33" s="96">
        <v>0</v>
      </c>
      <c r="L33" s="96">
        <f t="shared" si="93"/>
        <v>9</v>
      </c>
      <c r="M33" s="98">
        <v>4</v>
      </c>
      <c r="N33" s="98">
        <v>5</v>
      </c>
      <c r="O33" s="95">
        <f t="shared" si="89"/>
        <v>20</v>
      </c>
      <c r="P33" s="95">
        <f t="shared" si="90"/>
        <v>0</v>
      </c>
      <c r="Q33" s="95">
        <f t="shared" si="91"/>
        <v>20</v>
      </c>
      <c r="R33" s="153"/>
      <c r="S33" s="154"/>
      <c r="T33" s="155" t="str">
        <f t="shared" si="84"/>
        <v/>
      </c>
      <c r="U33" s="164">
        <f t="shared" si="92"/>
        <v>0</v>
      </c>
      <c r="V33" s="200">
        <f t="shared" si="85"/>
        <v>0</v>
      </c>
      <c r="W33" s="158">
        <f>SUMIFS($AA33:$NZ33, $AA$8:$NZ$8, $W$13)/$O33</f>
        <v>0</v>
      </c>
      <c r="X33" s="159">
        <f t="shared" si="87"/>
        <v>0</v>
      </c>
      <c r="Y33" s="199">
        <f t="shared" si="86"/>
        <v>0</v>
      </c>
      <c r="Z33" s="35"/>
      <c r="AA33" s="15"/>
      <c r="AB33" s="15"/>
      <c r="AC33" s="15"/>
      <c r="AD33" s="15"/>
      <c r="AE33" s="15"/>
      <c r="AF33" s="15"/>
      <c r="AG33" s="184"/>
      <c r="AH33" s="15"/>
      <c r="AI33" s="15"/>
      <c r="AJ33" s="15"/>
      <c r="AK33" s="15"/>
      <c r="AL33" s="15"/>
      <c r="AM33" s="15"/>
      <c r="AN33" s="184"/>
      <c r="AO33" s="15"/>
      <c r="AP33" s="15"/>
      <c r="AQ33" s="15"/>
      <c r="AR33" s="15"/>
      <c r="AS33" s="15"/>
      <c r="AT33" s="15"/>
      <c r="AU33" s="184"/>
      <c r="AV33" s="15"/>
      <c r="AW33" s="15"/>
      <c r="AX33" s="15"/>
      <c r="AY33" s="15"/>
      <c r="AZ33" s="15"/>
      <c r="BA33" s="15"/>
      <c r="BB33" s="184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84"/>
      <c r="CE33" s="15"/>
      <c r="CF33" s="15"/>
      <c r="CG33" s="15"/>
      <c r="CH33" s="15"/>
      <c r="CI33" s="15"/>
      <c r="CJ33" s="15"/>
      <c r="CK33" s="184"/>
      <c r="CL33" s="15"/>
      <c r="CM33" s="15"/>
      <c r="CN33" s="15"/>
      <c r="CO33" s="15"/>
      <c r="CP33" s="15"/>
      <c r="CQ33" s="15"/>
      <c r="CR33" s="184"/>
      <c r="CS33" s="15"/>
      <c r="CT33" s="15"/>
      <c r="CU33" s="15"/>
      <c r="CV33" s="15"/>
      <c r="CW33" s="15"/>
      <c r="CX33" s="15"/>
      <c r="CY33" s="184"/>
      <c r="CZ33" s="15"/>
      <c r="DA33" s="15"/>
      <c r="DB33" s="15"/>
      <c r="DC33" s="15"/>
      <c r="DD33" s="15"/>
      <c r="DE33" s="15"/>
      <c r="DF33" s="184"/>
      <c r="DG33" s="15"/>
      <c r="DH33" s="15"/>
      <c r="DI33" s="15"/>
      <c r="DJ33" s="15"/>
      <c r="DK33" s="15"/>
      <c r="DL33" s="15"/>
      <c r="DM33" s="184"/>
      <c r="DN33" s="15"/>
      <c r="DO33" s="15"/>
      <c r="DP33" s="15"/>
      <c r="DQ33" s="15"/>
      <c r="DR33" s="15"/>
      <c r="DS33" s="15"/>
      <c r="DT33" s="184"/>
      <c r="DU33" s="15"/>
      <c r="DV33" s="15"/>
      <c r="DW33" s="15"/>
      <c r="DX33" s="15"/>
      <c r="DY33" s="15"/>
      <c r="DZ33" s="15"/>
      <c r="EA33" s="184"/>
      <c r="EB33" s="15"/>
      <c r="EC33" s="15"/>
      <c r="ED33" s="15"/>
      <c r="EE33" s="15"/>
      <c r="EF33" s="15"/>
      <c r="EG33" s="15"/>
      <c r="EH33" s="184"/>
      <c r="EI33" s="15"/>
      <c r="EJ33" s="15"/>
      <c r="EK33" s="15"/>
      <c r="EL33" s="15"/>
      <c r="EM33" s="15"/>
      <c r="EN33" s="15"/>
      <c r="EO33" s="184"/>
      <c r="EP33" s="15"/>
      <c r="EQ33" s="15"/>
      <c r="ER33" s="15"/>
      <c r="ES33" s="15"/>
      <c r="ET33" s="15"/>
      <c r="EU33" s="15"/>
      <c r="EV33" s="184"/>
      <c r="EW33" s="15"/>
      <c r="EX33" s="15"/>
      <c r="EY33" s="15"/>
      <c r="EZ33" s="15"/>
      <c r="FA33" s="15"/>
      <c r="FB33" s="15"/>
      <c r="FC33" s="184"/>
      <c r="FD33" s="15"/>
      <c r="FE33" s="15"/>
      <c r="FF33" s="15"/>
      <c r="FG33" s="15"/>
      <c r="FH33" s="15"/>
      <c r="FI33" s="15"/>
      <c r="FJ33" s="184"/>
      <c r="FK33" s="15"/>
      <c r="FL33" s="15"/>
      <c r="FM33" s="15"/>
      <c r="FN33" s="15"/>
      <c r="FO33" s="15"/>
      <c r="FP33" s="15"/>
      <c r="FQ33" s="184"/>
      <c r="FR33" s="15"/>
      <c r="FS33" s="15"/>
      <c r="FT33" s="15"/>
      <c r="FU33" s="15"/>
      <c r="FV33" s="15"/>
      <c r="FW33" s="178"/>
      <c r="FX33" s="184"/>
      <c r="FY33" s="181"/>
      <c r="FZ33" s="15"/>
      <c r="GA33" s="15"/>
      <c r="GB33" s="15"/>
      <c r="GC33" s="15"/>
      <c r="GD33" s="15"/>
      <c r="GE33" s="184"/>
      <c r="GF33" s="15"/>
      <c r="GG33" s="15"/>
      <c r="GH33" s="15"/>
      <c r="GI33" s="15"/>
      <c r="GJ33" s="15"/>
      <c r="GK33" s="15"/>
      <c r="GL33" s="184"/>
      <c r="GM33" s="15"/>
      <c r="GN33" s="15"/>
      <c r="GO33" s="15"/>
      <c r="GP33" s="15"/>
      <c r="GQ33" s="15"/>
      <c r="GR33" s="15"/>
      <c r="GS33" s="184"/>
      <c r="GT33" s="15"/>
      <c r="GU33" s="15"/>
      <c r="GV33" s="15"/>
      <c r="GW33" s="15"/>
      <c r="GX33" s="15"/>
      <c r="GY33" s="15"/>
      <c r="GZ33" s="184"/>
      <c r="HA33" s="15"/>
      <c r="HB33" s="15"/>
      <c r="HC33" s="15"/>
      <c r="HD33" s="15"/>
      <c r="HE33" s="15"/>
      <c r="HF33" s="15"/>
      <c r="HG33" s="184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</row>
    <row r="34" spans="2:390" ht="19.5" customHeight="1" x14ac:dyDescent="0.45">
      <c r="B34" s="1">
        <f t="shared" si="88"/>
        <v>1</v>
      </c>
      <c r="C34" s="1">
        <f t="shared" si="94"/>
        <v>12</v>
      </c>
      <c r="D34" s="1">
        <v>0</v>
      </c>
      <c r="E34" s="93" t="str">
        <f t="shared" si="80"/>
        <v>1.12.0</v>
      </c>
      <c r="F34" s="94" t="s">
        <v>8</v>
      </c>
      <c r="G34" s="108"/>
      <c r="H34" s="109"/>
      <c r="I34" s="109"/>
      <c r="J34" s="110"/>
      <c r="K34" s="110"/>
      <c r="L34" s="110"/>
      <c r="M34" s="108"/>
      <c r="N34" s="108"/>
      <c r="O34" s="95">
        <f>SUM(O35:O36)</f>
        <v>504</v>
      </c>
      <c r="P34" s="95"/>
      <c r="Q34" s="95"/>
      <c r="R34" s="166"/>
      <c r="S34" s="167"/>
      <c r="T34" s="163" t="str">
        <f t="shared" si="84"/>
        <v/>
      </c>
      <c r="U34" s="164">
        <f>+SUMPRODUCT(U35:U36,O35:O36)/O34</f>
        <v>0</v>
      </c>
      <c r="V34" s="200">
        <f t="shared" si="85"/>
        <v>0</v>
      </c>
      <c r="W34" s="158">
        <f>SUMIFS($AA34:$NZ34, $AA$8:$NZ$8, $W$13)/$O34</f>
        <v>0</v>
      </c>
      <c r="X34" s="159">
        <f t="shared" si="87"/>
        <v>0</v>
      </c>
      <c r="Y34" s="199">
        <f t="shared" si="86"/>
        <v>0</v>
      </c>
      <c r="Z34" s="35"/>
      <c r="AA34" s="15"/>
      <c r="AB34" s="15"/>
      <c r="AC34" s="15"/>
      <c r="AD34" s="15"/>
      <c r="AE34" s="15"/>
      <c r="AF34" s="15"/>
      <c r="AG34" s="184"/>
      <c r="AH34" s="15"/>
      <c r="AI34" s="15"/>
      <c r="AJ34" s="15"/>
      <c r="AK34" s="15"/>
      <c r="AL34" s="15"/>
      <c r="AM34" s="15"/>
      <c r="AN34" s="184"/>
      <c r="AO34" s="15"/>
      <c r="AP34" s="15"/>
      <c r="AQ34" s="15"/>
      <c r="AR34" s="15"/>
      <c r="AS34" s="15"/>
      <c r="AT34" s="15"/>
      <c r="AU34" s="184"/>
      <c r="AV34" s="15"/>
      <c r="AW34" s="15"/>
      <c r="AX34" s="15"/>
      <c r="AY34" s="15"/>
      <c r="AZ34" s="15"/>
      <c r="BA34" s="15"/>
      <c r="BB34" s="184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84"/>
      <c r="CE34" s="15"/>
      <c r="CF34" s="15"/>
      <c r="CG34" s="15"/>
      <c r="CH34" s="15"/>
      <c r="CI34" s="15"/>
      <c r="CJ34" s="15"/>
      <c r="CK34" s="184"/>
      <c r="CL34" s="15"/>
      <c r="CM34" s="15"/>
      <c r="CN34" s="15"/>
      <c r="CO34" s="15"/>
      <c r="CP34" s="15"/>
      <c r="CQ34" s="15"/>
      <c r="CR34" s="184"/>
      <c r="CS34" s="15"/>
      <c r="CT34" s="15"/>
      <c r="CU34" s="15"/>
      <c r="CV34" s="15"/>
      <c r="CW34" s="15"/>
      <c r="CX34" s="15"/>
      <c r="CY34" s="184"/>
      <c r="CZ34" s="15"/>
      <c r="DA34" s="15"/>
      <c r="DB34" s="15"/>
      <c r="DC34" s="15"/>
      <c r="DD34" s="15"/>
      <c r="DE34" s="15"/>
      <c r="DF34" s="184"/>
      <c r="DG34" s="15"/>
      <c r="DH34" s="15"/>
      <c r="DI34" s="15"/>
      <c r="DJ34" s="15"/>
      <c r="DK34" s="15"/>
      <c r="DL34" s="15"/>
      <c r="DM34" s="184"/>
      <c r="DN34" s="15"/>
      <c r="DO34" s="15"/>
      <c r="DP34" s="15"/>
      <c r="DQ34" s="15"/>
      <c r="DR34" s="15"/>
      <c r="DS34" s="15"/>
      <c r="DT34" s="184"/>
      <c r="DU34" s="15"/>
      <c r="DV34" s="15"/>
      <c r="DW34" s="15"/>
      <c r="DX34" s="15"/>
      <c r="DY34" s="15"/>
      <c r="DZ34" s="15"/>
      <c r="EA34" s="184"/>
      <c r="EB34" s="15"/>
      <c r="EC34" s="15"/>
      <c r="ED34" s="15"/>
      <c r="EE34" s="15"/>
      <c r="EF34" s="15"/>
      <c r="EG34" s="15"/>
      <c r="EH34" s="184"/>
      <c r="EI34" s="15"/>
      <c r="EJ34" s="15"/>
      <c r="EK34" s="15"/>
      <c r="EL34" s="15"/>
      <c r="EM34" s="15"/>
      <c r="EN34" s="15"/>
      <c r="EO34" s="184"/>
      <c r="EP34" s="15"/>
      <c r="EQ34" s="15"/>
      <c r="ER34" s="15"/>
      <c r="ES34" s="15"/>
      <c r="ET34" s="15"/>
      <c r="EU34" s="15"/>
      <c r="EV34" s="184"/>
      <c r="EW34" s="15"/>
      <c r="EX34" s="15"/>
      <c r="EY34" s="15"/>
      <c r="EZ34" s="15"/>
      <c r="FA34" s="15"/>
      <c r="FB34" s="15"/>
      <c r="FC34" s="184"/>
      <c r="FD34" s="15"/>
      <c r="FE34" s="15"/>
      <c r="FF34" s="15"/>
      <c r="FG34" s="15"/>
      <c r="FH34" s="15"/>
      <c r="FI34" s="15"/>
      <c r="FJ34" s="184"/>
      <c r="FK34" s="15"/>
      <c r="FL34" s="15"/>
      <c r="FM34" s="15"/>
      <c r="FN34" s="15"/>
      <c r="FO34" s="15"/>
      <c r="FP34" s="15"/>
      <c r="FQ34" s="184"/>
      <c r="FR34" s="15"/>
      <c r="FS34" s="15"/>
      <c r="FT34" s="15"/>
      <c r="FU34" s="15"/>
      <c r="FV34" s="15"/>
      <c r="FW34" s="178"/>
      <c r="FX34" s="184"/>
      <c r="FY34" s="181"/>
      <c r="FZ34" s="15"/>
      <c r="GA34" s="15"/>
      <c r="GB34" s="15"/>
      <c r="GC34" s="15"/>
      <c r="GD34" s="15"/>
      <c r="GE34" s="184"/>
      <c r="GF34" s="15"/>
      <c r="GG34" s="15"/>
      <c r="GH34" s="15"/>
      <c r="GI34" s="15"/>
      <c r="GJ34" s="15"/>
      <c r="GK34" s="15"/>
      <c r="GL34" s="184"/>
      <c r="GM34" s="15"/>
      <c r="GN34" s="15"/>
      <c r="GO34" s="15"/>
      <c r="GP34" s="15"/>
      <c r="GQ34" s="15"/>
      <c r="GR34" s="15"/>
      <c r="GS34" s="184"/>
      <c r="GT34" s="15"/>
      <c r="GU34" s="15"/>
      <c r="GV34" s="15"/>
      <c r="GW34" s="15"/>
      <c r="GX34" s="15"/>
      <c r="GY34" s="15"/>
      <c r="GZ34" s="184"/>
      <c r="HA34" s="15"/>
      <c r="HB34" s="15"/>
      <c r="HC34" s="15"/>
      <c r="HD34" s="15"/>
      <c r="HE34" s="15"/>
      <c r="HF34" s="15"/>
      <c r="HG34" s="184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</row>
    <row r="35" spans="2:390" ht="19.5" customHeight="1" x14ac:dyDescent="0.45">
      <c r="B35" s="1">
        <f t="shared" si="88"/>
        <v>1</v>
      </c>
      <c r="C35" s="1">
        <f>+C34</f>
        <v>12</v>
      </c>
      <c r="D35" s="1">
        <v>1</v>
      </c>
      <c r="E35" s="59" t="str">
        <f t="shared" si="80"/>
        <v>1.12.1</v>
      </c>
      <c r="F35" s="23" t="s">
        <v>29</v>
      </c>
      <c r="G35" s="191">
        <v>2.5</v>
      </c>
      <c r="H35" s="52" t="s">
        <v>117</v>
      </c>
      <c r="I35" s="52" t="s">
        <v>156</v>
      </c>
      <c r="J35" s="61">
        <v>1</v>
      </c>
      <c r="K35" s="61">
        <v>0</v>
      </c>
      <c r="L35" s="61">
        <f>+J35-K35</f>
        <v>1</v>
      </c>
      <c r="M35" s="20">
        <v>10</v>
      </c>
      <c r="N35" s="20">
        <v>48</v>
      </c>
      <c r="O35" s="51">
        <f>+N35*M35</f>
        <v>480</v>
      </c>
      <c r="P35" s="51">
        <f>+SUM(AA35:NZ35)</f>
        <v>480</v>
      </c>
      <c r="Q35" s="51">
        <f>+O35-P35</f>
        <v>0</v>
      </c>
      <c r="R35" s="79">
        <v>46055</v>
      </c>
      <c r="S35" s="80">
        <v>40</v>
      </c>
      <c r="T35" s="21">
        <f t="shared" si="84"/>
        <v>46108</v>
      </c>
      <c r="U35" s="22">
        <f>+K35/J35</f>
        <v>0</v>
      </c>
      <c r="V35" s="199">
        <f t="shared" si="85"/>
        <v>0</v>
      </c>
      <c r="W35" s="158">
        <f>SUMIFS($AA35:$NZ35, $AA$8:$NZ$8, $W$13)/$O35</f>
        <v>0</v>
      </c>
      <c r="X35" s="159">
        <f t="shared" si="87"/>
        <v>0</v>
      </c>
      <c r="Y35" s="199">
        <f t="shared" si="86"/>
        <v>0</v>
      </c>
      <c r="Z35" s="35"/>
      <c r="AA35" s="15"/>
      <c r="AB35" s="15"/>
      <c r="AC35" s="15"/>
      <c r="AD35" s="15"/>
      <c r="AE35" s="15"/>
      <c r="AF35" s="15"/>
      <c r="AG35" s="184"/>
      <c r="AH35" s="15"/>
      <c r="AI35" s="15"/>
      <c r="AJ35" s="15"/>
      <c r="AK35" s="15"/>
      <c r="AL35" s="15"/>
      <c r="AM35" s="15"/>
      <c r="AN35" s="184"/>
      <c r="AO35" s="15"/>
      <c r="AP35" s="15"/>
      <c r="AQ35" s="15"/>
      <c r="AR35" s="15"/>
      <c r="AS35" s="15"/>
      <c r="AT35" s="15"/>
      <c r="AU35" s="184"/>
      <c r="AV35" s="15"/>
      <c r="AW35" s="15"/>
      <c r="AX35" s="15"/>
      <c r="AY35" s="15"/>
      <c r="AZ35" s="15"/>
      <c r="BA35" s="15"/>
      <c r="BB35" s="184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84"/>
      <c r="CE35" s="15"/>
      <c r="CF35" s="15"/>
      <c r="CG35" s="15"/>
      <c r="CH35" s="15"/>
      <c r="CI35" s="15"/>
      <c r="CJ35" s="15"/>
      <c r="CK35" s="184"/>
      <c r="CL35" s="15"/>
      <c r="CM35" s="15"/>
      <c r="CN35" s="15"/>
      <c r="CO35" s="15"/>
      <c r="CP35" s="15"/>
      <c r="CQ35" s="15"/>
      <c r="CR35" s="184"/>
      <c r="CS35" s="15">
        <v>10</v>
      </c>
      <c r="CT35" s="15">
        <v>10</v>
      </c>
      <c r="CU35" s="15">
        <v>10</v>
      </c>
      <c r="CV35" s="15">
        <v>10</v>
      </c>
      <c r="CW35" s="15">
        <v>10</v>
      </c>
      <c r="CX35" s="15">
        <v>10</v>
      </c>
      <c r="CY35" s="184"/>
      <c r="CZ35" s="15">
        <v>10</v>
      </c>
      <c r="DA35" s="15">
        <v>10</v>
      </c>
      <c r="DB35" s="15">
        <v>10</v>
      </c>
      <c r="DC35" s="15">
        <v>10</v>
      </c>
      <c r="DD35" s="15">
        <v>10</v>
      </c>
      <c r="DE35" s="15">
        <v>10</v>
      </c>
      <c r="DF35" s="184"/>
      <c r="DG35" s="15">
        <v>10</v>
      </c>
      <c r="DH35" s="15">
        <v>10</v>
      </c>
      <c r="DI35" s="15">
        <v>10</v>
      </c>
      <c r="DJ35" s="15">
        <v>10</v>
      </c>
      <c r="DK35" s="15">
        <v>10</v>
      </c>
      <c r="DL35" s="15">
        <v>10</v>
      </c>
      <c r="DM35" s="184"/>
      <c r="DN35" s="15">
        <v>10</v>
      </c>
      <c r="DO35" s="15">
        <v>10</v>
      </c>
      <c r="DP35" s="15">
        <v>10</v>
      </c>
      <c r="DQ35" s="15">
        <v>10</v>
      </c>
      <c r="DR35" s="15">
        <v>10</v>
      </c>
      <c r="DS35" s="15">
        <v>10</v>
      </c>
      <c r="DT35" s="184"/>
      <c r="DU35" s="15">
        <v>10</v>
      </c>
      <c r="DV35" s="15">
        <v>10</v>
      </c>
      <c r="DW35" s="15">
        <v>10</v>
      </c>
      <c r="DX35" s="15">
        <v>10</v>
      </c>
      <c r="DY35" s="15">
        <v>10</v>
      </c>
      <c r="DZ35" s="15">
        <v>10</v>
      </c>
      <c r="EA35" s="184"/>
      <c r="EB35" s="15">
        <v>10</v>
      </c>
      <c r="EC35" s="15">
        <v>10</v>
      </c>
      <c r="ED35" s="15">
        <v>10</v>
      </c>
      <c r="EE35" s="15">
        <v>10</v>
      </c>
      <c r="EF35" s="15">
        <v>10</v>
      </c>
      <c r="EG35" s="15">
        <v>10</v>
      </c>
      <c r="EH35" s="184"/>
      <c r="EI35" s="15">
        <v>10</v>
      </c>
      <c r="EJ35" s="15">
        <v>10</v>
      </c>
      <c r="EK35" s="15">
        <v>10</v>
      </c>
      <c r="EL35" s="15">
        <v>10</v>
      </c>
      <c r="EM35" s="15">
        <v>10</v>
      </c>
      <c r="EN35" s="15">
        <v>10</v>
      </c>
      <c r="EO35" s="184"/>
      <c r="EP35" s="15">
        <v>10</v>
      </c>
      <c r="EQ35" s="15">
        <v>10</v>
      </c>
      <c r="ER35" s="15">
        <v>10</v>
      </c>
      <c r="ES35" s="15">
        <v>10</v>
      </c>
      <c r="ET35" s="15">
        <v>10</v>
      </c>
      <c r="EU35" s="15">
        <v>10</v>
      </c>
      <c r="EV35" s="184"/>
      <c r="EW35" s="15"/>
      <c r="EX35" s="15"/>
      <c r="EY35" s="15"/>
      <c r="EZ35" s="15"/>
      <c r="FA35" s="15"/>
      <c r="FB35" s="15"/>
      <c r="FC35" s="184"/>
      <c r="FD35" s="15"/>
      <c r="FE35" s="15"/>
      <c r="FF35" s="15"/>
      <c r="FG35" s="15"/>
      <c r="FH35" s="15"/>
      <c r="FI35" s="15"/>
      <c r="FJ35" s="184"/>
      <c r="FK35" s="15"/>
      <c r="FL35" s="15"/>
      <c r="FM35" s="15"/>
      <c r="FN35" s="15"/>
      <c r="FO35" s="15"/>
      <c r="FP35" s="15"/>
      <c r="FQ35" s="184"/>
      <c r="FR35" s="15"/>
      <c r="FS35" s="15"/>
      <c r="FT35" s="15"/>
      <c r="FU35" s="15"/>
      <c r="FV35" s="15"/>
      <c r="FW35" s="178"/>
      <c r="FX35" s="184"/>
      <c r="FY35" s="181"/>
      <c r="FZ35" s="15"/>
      <c r="GA35" s="15"/>
      <c r="GB35" s="15"/>
      <c r="GC35" s="15"/>
      <c r="GD35" s="15"/>
      <c r="GE35" s="184"/>
      <c r="GF35" s="15"/>
      <c r="GG35" s="15"/>
      <c r="GH35" s="15"/>
      <c r="GI35" s="15"/>
      <c r="GJ35" s="15"/>
      <c r="GK35" s="15"/>
      <c r="GL35" s="184"/>
      <c r="GM35" s="15"/>
      <c r="GN35" s="15"/>
      <c r="GO35" s="15"/>
      <c r="GP35" s="15"/>
      <c r="GQ35" s="15"/>
      <c r="GR35" s="15"/>
      <c r="GS35" s="184"/>
      <c r="GT35" s="15"/>
      <c r="GU35" s="15"/>
      <c r="GV35" s="15"/>
      <c r="GW35" s="15"/>
      <c r="GX35" s="15"/>
      <c r="GY35" s="15"/>
      <c r="GZ35" s="184"/>
      <c r="HA35" s="15"/>
      <c r="HB35" s="15"/>
      <c r="HC35" s="15"/>
      <c r="HD35" s="15"/>
      <c r="HE35" s="15"/>
      <c r="HF35" s="15"/>
      <c r="HG35" s="184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</row>
    <row r="36" spans="2:390" ht="19.5" customHeight="1" x14ac:dyDescent="0.45">
      <c r="B36" s="1">
        <f>+B35</f>
        <v>1</v>
      </c>
      <c r="C36" s="1">
        <f>+C35</f>
        <v>12</v>
      </c>
      <c r="D36" s="1">
        <v>2</v>
      </c>
      <c r="E36" s="59" t="str">
        <f t="shared" si="80"/>
        <v>1.12.2</v>
      </c>
      <c r="F36" s="23" t="s">
        <v>71</v>
      </c>
      <c r="G36" s="191" t="s">
        <v>147</v>
      </c>
      <c r="H36" s="52" t="s">
        <v>117</v>
      </c>
      <c r="I36" s="52" t="s">
        <v>158</v>
      </c>
      <c r="J36" s="52">
        <v>1</v>
      </c>
      <c r="K36" s="52">
        <v>0</v>
      </c>
      <c r="L36" s="52">
        <f>+J36-K36</f>
        <v>1</v>
      </c>
      <c r="M36" s="20">
        <v>4</v>
      </c>
      <c r="N36" s="20">
        <v>6</v>
      </c>
      <c r="O36" s="51">
        <f>+N36*M36</f>
        <v>24</v>
      </c>
      <c r="P36" s="51">
        <f>+SUM(AA36:NZ36)</f>
        <v>24</v>
      </c>
      <c r="Q36" s="51">
        <f>+O36-P36</f>
        <v>0</v>
      </c>
      <c r="R36" s="79">
        <v>46104</v>
      </c>
      <c r="S36" s="80">
        <v>5</v>
      </c>
      <c r="T36" s="21">
        <f t="shared" si="84"/>
        <v>46108</v>
      </c>
      <c r="U36" s="22">
        <f>+K36/J36</f>
        <v>0</v>
      </c>
      <c r="V36" s="199">
        <f t="shared" si="85"/>
        <v>0</v>
      </c>
      <c r="W36" s="158">
        <f>SUMIFS($AA36:$NZ36, $AA$8:$NZ$8, $W$13)/$O36</f>
        <v>0</v>
      </c>
      <c r="X36" s="159">
        <f t="shared" si="87"/>
        <v>0</v>
      </c>
      <c r="Y36" s="199">
        <f t="shared" si="86"/>
        <v>0</v>
      </c>
      <c r="Z36" s="35"/>
      <c r="AA36" s="15"/>
      <c r="AB36" s="15"/>
      <c r="AC36" s="15"/>
      <c r="AD36" s="15"/>
      <c r="AE36" s="15"/>
      <c r="AF36" s="15"/>
      <c r="AG36" s="184"/>
      <c r="AH36" s="15"/>
      <c r="AI36" s="15"/>
      <c r="AJ36" s="15"/>
      <c r="AK36" s="15"/>
      <c r="AL36" s="15"/>
      <c r="AM36" s="15"/>
      <c r="AN36" s="184"/>
      <c r="AO36" s="15"/>
      <c r="AP36" s="15"/>
      <c r="AQ36" s="15"/>
      <c r="AR36" s="15"/>
      <c r="AS36" s="15"/>
      <c r="AT36" s="15"/>
      <c r="AU36" s="184"/>
      <c r="AV36" s="15"/>
      <c r="AW36" s="15"/>
      <c r="AX36" s="15"/>
      <c r="AY36" s="15"/>
      <c r="AZ36" s="15"/>
      <c r="BA36" s="15"/>
      <c r="BB36" s="184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84"/>
      <c r="CE36" s="15"/>
      <c r="CF36" s="15"/>
      <c r="CG36" s="15"/>
      <c r="CH36" s="15"/>
      <c r="CI36" s="15"/>
      <c r="CJ36" s="15"/>
      <c r="CK36" s="184"/>
      <c r="CL36" s="15"/>
      <c r="CM36" s="15"/>
      <c r="CN36" s="15"/>
      <c r="CO36" s="15"/>
      <c r="CP36" s="15"/>
      <c r="CQ36" s="15"/>
      <c r="CR36" s="184"/>
      <c r="CS36" s="15"/>
      <c r="CT36" s="15"/>
      <c r="CU36" s="15"/>
      <c r="CV36" s="15"/>
      <c r="CW36" s="15"/>
      <c r="CX36" s="15"/>
      <c r="CY36" s="184"/>
      <c r="CZ36" s="15"/>
      <c r="DA36" s="15"/>
      <c r="DB36" s="15"/>
      <c r="DC36" s="15"/>
      <c r="DD36" s="15"/>
      <c r="DE36" s="15"/>
      <c r="DF36" s="184"/>
      <c r="DG36" s="15"/>
      <c r="DH36" s="15"/>
      <c r="DI36" s="15"/>
      <c r="DJ36" s="15"/>
      <c r="DK36" s="15"/>
      <c r="DL36" s="15"/>
      <c r="DM36" s="184"/>
      <c r="DN36" s="15"/>
      <c r="DO36" s="15"/>
      <c r="DP36" s="15"/>
      <c r="DQ36" s="15"/>
      <c r="DR36" s="15"/>
      <c r="DS36" s="15"/>
      <c r="DT36" s="184"/>
      <c r="DU36" s="15"/>
      <c r="DV36" s="15"/>
      <c r="DW36" s="15"/>
      <c r="DX36" s="15"/>
      <c r="DY36" s="15"/>
      <c r="DZ36" s="15"/>
      <c r="EA36" s="184"/>
      <c r="EB36" s="15"/>
      <c r="EC36" s="15"/>
      <c r="ED36" s="15"/>
      <c r="EE36" s="15"/>
      <c r="EF36" s="15"/>
      <c r="EG36" s="15"/>
      <c r="EH36" s="184"/>
      <c r="EI36" s="15"/>
      <c r="EJ36" s="15"/>
      <c r="EK36" s="15"/>
      <c r="EL36" s="15"/>
      <c r="EM36" s="15"/>
      <c r="EN36" s="15"/>
      <c r="EO36" s="184"/>
      <c r="EP36" s="15">
        <v>4</v>
      </c>
      <c r="EQ36" s="15">
        <v>4</v>
      </c>
      <c r="ER36" s="15">
        <v>4</v>
      </c>
      <c r="ES36" s="15">
        <v>4</v>
      </c>
      <c r="ET36" s="15">
        <v>4</v>
      </c>
      <c r="EU36" s="15">
        <v>4</v>
      </c>
      <c r="EV36" s="184"/>
      <c r="EW36" s="15"/>
      <c r="EX36" s="15"/>
      <c r="EY36" s="15"/>
      <c r="EZ36" s="15"/>
      <c r="FA36" s="15"/>
      <c r="FB36" s="15"/>
      <c r="FC36" s="184"/>
      <c r="FD36" s="15"/>
      <c r="FE36" s="15"/>
      <c r="FF36" s="15"/>
      <c r="FG36" s="15"/>
      <c r="FH36" s="15"/>
      <c r="FI36" s="15"/>
      <c r="FJ36" s="184"/>
      <c r="FK36" s="15"/>
      <c r="FL36" s="15"/>
      <c r="FM36" s="15"/>
      <c r="FN36" s="15"/>
      <c r="FO36" s="15"/>
      <c r="FP36" s="15"/>
      <c r="FQ36" s="184"/>
      <c r="FR36" s="15"/>
      <c r="FS36" s="15"/>
      <c r="FT36" s="15"/>
      <c r="FU36" s="15"/>
      <c r="FV36" s="15"/>
      <c r="FW36" s="178"/>
      <c r="FX36" s="184"/>
      <c r="FY36" s="181"/>
      <c r="FZ36" s="15"/>
      <c r="GA36" s="15"/>
      <c r="GB36" s="15"/>
      <c r="GC36" s="15"/>
      <c r="GD36" s="15"/>
      <c r="GE36" s="184"/>
      <c r="GF36" s="15"/>
      <c r="GG36" s="15"/>
      <c r="GH36" s="15"/>
      <c r="GI36" s="15"/>
      <c r="GJ36" s="15"/>
      <c r="GK36" s="15"/>
      <c r="GL36" s="184"/>
      <c r="GM36" s="15"/>
      <c r="GN36" s="15"/>
      <c r="GO36" s="15"/>
      <c r="GP36" s="15"/>
      <c r="GQ36" s="15"/>
      <c r="GR36" s="15"/>
      <c r="GS36" s="184"/>
      <c r="GT36" s="15"/>
      <c r="GU36" s="15"/>
      <c r="GV36" s="15"/>
      <c r="GW36" s="15"/>
      <c r="GX36" s="15"/>
      <c r="GY36" s="15"/>
      <c r="GZ36" s="184"/>
      <c r="HA36" s="15"/>
      <c r="HB36" s="15"/>
      <c r="HC36" s="15"/>
      <c r="HD36" s="15"/>
      <c r="HE36" s="15"/>
      <c r="HF36" s="15"/>
      <c r="HG36" s="184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</row>
    <row r="37" spans="2:390" ht="19.5" customHeight="1" x14ac:dyDescent="0.45">
      <c r="B37" s="1">
        <f>+B36</f>
        <v>1</v>
      </c>
      <c r="C37" s="1">
        <f>+C36+1</f>
        <v>13</v>
      </c>
      <c r="D37" s="1">
        <v>0</v>
      </c>
      <c r="E37" s="93" t="str">
        <f t="shared" si="80"/>
        <v>1.13.0</v>
      </c>
      <c r="F37" s="94" t="s">
        <v>61</v>
      </c>
      <c r="G37" s="108"/>
      <c r="H37" s="109"/>
      <c r="I37" s="109"/>
      <c r="J37" s="110"/>
      <c r="K37" s="110"/>
      <c r="L37" s="110"/>
      <c r="M37" s="108"/>
      <c r="N37" s="108"/>
      <c r="O37" s="95">
        <f>SUM(O38:O40)</f>
        <v>252</v>
      </c>
      <c r="P37" s="95"/>
      <c r="Q37" s="95"/>
      <c r="R37" s="166"/>
      <c r="S37" s="167"/>
      <c r="T37" s="163" t="str">
        <f t="shared" si="84"/>
        <v/>
      </c>
      <c r="U37" s="164">
        <f>+SUMPRODUCT(U38:U39,O38:O39)/O37</f>
        <v>0</v>
      </c>
      <c r="V37" s="200">
        <f t="shared" si="85"/>
        <v>0</v>
      </c>
      <c r="W37" s="158">
        <f>SUMIFS($AA37:$NZ37, $AA$8:$NZ$8, $W$13)/$O37</f>
        <v>0</v>
      </c>
      <c r="X37" s="159">
        <f t="shared" si="87"/>
        <v>0</v>
      </c>
      <c r="Y37" s="199">
        <f t="shared" si="86"/>
        <v>0</v>
      </c>
      <c r="Z37" s="36"/>
      <c r="AA37" s="15"/>
      <c r="AB37" s="15"/>
      <c r="AC37" s="15"/>
      <c r="AD37" s="15"/>
      <c r="AE37" s="15"/>
      <c r="AF37" s="15"/>
      <c r="AG37" s="184"/>
      <c r="AH37" s="15"/>
      <c r="AI37" s="15"/>
      <c r="AJ37" s="15"/>
      <c r="AK37" s="15"/>
      <c r="AL37" s="15"/>
      <c r="AM37" s="15"/>
      <c r="AN37" s="184"/>
      <c r="AO37" s="15"/>
      <c r="AP37" s="15"/>
      <c r="AQ37" s="15"/>
      <c r="AR37" s="15"/>
      <c r="AS37" s="15"/>
      <c r="AT37" s="15"/>
      <c r="AU37" s="184"/>
      <c r="AV37" s="15"/>
      <c r="AW37" s="15"/>
      <c r="AX37" s="15"/>
      <c r="AY37" s="15"/>
      <c r="AZ37" s="15"/>
      <c r="BA37" s="15"/>
      <c r="BB37" s="184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84"/>
      <c r="CE37" s="15"/>
      <c r="CF37" s="15"/>
      <c r="CG37" s="15"/>
      <c r="CH37" s="15"/>
      <c r="CI37" s="15"/>
      <c r="CJ37" s="15"/>
      <c r="CK37" s="184"/>
      <c r="CL37" s="15"/>
      <c r="CM37" s="15"/>
      <c r="CN37" s="15"/>
      <c r="CO37" s="15"/>
      <c r="CP37" s="15"/>
      <c r="CQ37" s="15"/>
      <c r="CR37" s="184"/>
      <c r="CS37" s="15"/>
      <c r="CT37" s="15"/>
      <c r="CU37" s="15"/>
      <c r="CV37" s="15"/>
      <c r="CW37" s="15"/>
      <c r="CX37" s="15"/>
      <c r="CY37" s="184"/>
      <c r="CZ37" s="15"/>
      <c r="DA37" s="15"/>
      <c r="DB37" s="15"/>
      <c r="DC37" s="15"/>
      <c r="DD37" s="15"/>
      <c r="DE37" s="15"/>
      <c r="DF37" s="184"/>
      <c r="DG37" s="15"/>
      <c r="DH37" s="15"/>
      <c r="DI37" s="15"/>
      <c r="DJ37" s="15"/>
      <c r="DK37" s="15"/>
      <c r="DL37" s="15"/>
      <c r="DM37" s="184"/>
      <c r="DN37" s="15"/>
      <c r="DO37" s="15"/>
      <c r="DP37" s="15"/>
      <c r="DQ37" s="15"/>
      <c r="DR37" s="15"/>
      <c r="DS37" s="15"/>
      <c r="DT37" s="184"/>
      <c r="DU37" s="15"/>
      <c r="DV37" s="15"/>
      <c r="DW37" s="15"/>
      <c r="DX37" s="15"/>
      <c r="DY37" s="15"/>
      <c r="DZ37" s="15"/>
      <c r="EA37" s="184"/>
      <c r="EB37" s="15"/>
      <c r="EC37" s="15"/>
      <c r="ED37" s="15"/>
      <c r="EE37" s="15"/>
      <c r="EF37" s="15"/>
      <c r="EG37" s="15"/>
      <c r="EH37" s="184"/>
      <c r="EI37" s="15"/>
      <c r="EJ37" s="15"/>
      <c r="EK37" s="15"/>
      <c r="EL37" s="15"/>
      <c r="EM37" s="15"/>
      <c r="EN37" s="15"/>
      <c r="EO37" s="184"/>
      <c r="EP37" s="15"/>
      <c r="EQ37" s="15"/>
      <c r="ER37" s="15"/>
      <c r="ES37" s="15"/>
      <c r="ET37" s="15"/>
      <c r="EU37" s="15"/>
      <c r="EV37" s="184"/>
      <c r="EW37" s="15"/>
      <c r="EX37" s="15"/>
      <c r="EY37" s="15"/>
      <c r="EZ37" s="15"/>
      <c r="FA37" s="15"/>
      <c r="FB37" s="15"/>
      <c r="FC37" s="184"/>
      <c r="FD37" s="15"/>
      <c r="FE37" s="15"/>
      <c r="FF37" s="15"/>
      <c r="FG37" s="15"/>
      <c r="FH37" s="15"/>
      <c r="FI37" s="15"/>
      <c r="FJ37" s="184"/>
      <c r="FK37" s="15"/>
      <c r="FL37" s="15"/>
      <c r="FM37" s="15"/>
      <c r="FN37" s="15"/>
      <c r="FO37" s="15"/>
      <c r="FP37" s="15"/>
      <c r="FQ37" s="184"/>
      <c r="FR37" s="15"/>
      <c r="FS37" s="15"/>
      <c r="FT37" s="15"/>
      <c r="FU37" s="15"/>
      <c r="FV37" s="15"/>
      <c r="FW37" s="178"/>
      <c r="FX37" s="184"/>
      <c r="FY37" s="181"/>
      <c r="FZ37" s="15"/>
      <c r="GA37" s="15"/>
      <c r="GB37" s="15"/>
      <c r="GC37" s="15"/>
      <c r="GD37" s="15"/>
      <c r="GE37" s="184"/>
      <c r="GF37" s="15"/>
      <c r="GG37" s="15"/>
      <c r="GH37" s="15"/>
      <c r="GI37" s="15"/>
      <c r="GJ37" s="15"/>
      <c r="GK37" s="15"/>
      <c r="GL37" s="184"/>
      <c r="GM37" s="15"/>
      <c r="GN37" s="15"/>
      <c r="GO37" s="15"/>
      <c r="GP37" s="15"/>
      <c r="GQ37" s="15"/>
      <c r="GR37" s="15"/>
      <c r="GS37" s="184"/>
      <c r="GT37" s="15"/>
      <c r="GU37" s="15"/>
      <c r="GV37" s="15"/>
      <c r="GW37" s="15"/>
      <c r="GX37" s="15"/>
      <c r="GY37" s="15"/>
      <c r="GZ37" s="184"/>
      <c r="HA37" s="15"/>
      <c r="HB37" s="15"/>
      <c r="HC37" s="15"/>
      <c r="HD37" s="15"/>
      <c r="HE37" s="15"/>
      <c r="HF37" s="15"/>
      <c r="HG37" s="184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</row>
    <row r="38" spans="2:390" ht="19.5" customHeight="1" x14ac:dyDescent="0.45">
      <c r="B38" s="1">
        <f>+B37</f>
        <v>1</v>
      </c>
      <c r="C38" s="1">
        <f>+C37</f>
        <v>13</v>
      </c>
      <c r="D38" s="1">
        <f>+D37+1</f>
        <v>1</v>
      </c>
      <c r="E38" s="59" t="str">
        <f t="shared" si="80"/>
        <v>1.13.1</v>
      </c>
      <c r="F38" s="23" t="s">
        <v>59</v>
      </c>
      <c r="G38" s="191" t="s">
        <v>147</v>
      </c>
      <c r="H38" s="52" t="s">
        <v>117</v>
      </c>
      <c r="I38" s="52" t="s">
        <v>157</v>
      </c>
      <c r="J38" s="62">
        <v>1</v>
      </c>
      <c r="K38" s="62">
        <v>0</v>
      </c>
      <c r="L38" s="63">
        <f>+J38-K38</f>
        <v>1</v>
      </c>
      <c r="M38" s="20">
        <v>4</v>
      </c>
      <c r="N38" s="20">
        <v>18</v>
      </c>
      <c r="O38" s="51">
        <f>+N38*M38</f>
        <v>72</v>
      </c>
      <c r="P38" s="51">
        <f>+SUM(AA38:NZ38)</f>
        <v>72</v>
      </c>
      <c r="Q38" s="51">
        <f>+O38-P38</f>
        <v>0</v>
      </c>
      <c r="R38" s="153">
        <v>46076</v>
      </c>
      <c r="S38" s="154">
        <v>15</v>
      </c>
      <c r="T38" s="155">
        <f t="shared" si="84"/>
        <v>46094</v>
      </c>
      <c r="U38" s="164">
        <f>+K38/J38</f>
        <v>0</v>
      </c>
      <c r="V38" s="200">
        <f t="shared" si="85"/>
        <v>0</v>
      </c>
      <c r="W38" s="158">
        <f>SUMIFS($AA38:$NZ38, $AA$8:$NZ$8, $W$13)/$O38</f>
        <v>0</v>
      </c>
      <c r="X38" s="159">
        <f t="shared" si="87"/>
        <v>0</v>
      </c>
      <c r="Y38" s="199">
        <f t="shared" si="86"/>
        <v>0</v>
      </c>
      <c r="Z38" s="36"/>
      <c r="AA38" s="15"/>
      <c r="AB38" s="15"/>
      <c r="AC38" s="15"/>
      <c r="AD38" s="15"/>
      <c r="AE38" s="15"/>
      <c r="AF38" s="15"/>
      <c r="AG38" s="184"/>
      <c r="AH38" s="15"/>
      <c r="AI38" s="15"/>
      <c r="AJ38" s="15"/>
      <c r="AK38" s="15"/>
      <c r="AL38" s="15"/>
      <c r="AM38" s="15"/>
      <c r="AN38" s="184"/>
      <c r="AO38" s="15"/>
      <c r="AP38" s="15"/>
      <c r="AQ38" s="15"/>
      <c r="AR38" s="15"/>
      <c r="AS38" s="15"/>
      <c r="AT38" s="15"/>
      <c r="AU38" s="184"/>
      <c r="AV38" s="15"/>
      <c r="AW38" s="15"/>
      <c r="AX38" s="15"/>
      <c r="AY38" s="15"/>
      <c r="AZ38" s="15"/>
      <c r="BA38" s="15"/>
      <c r="BB38" s="184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84"/>
      <c r="CE38" s="15"/>
      <c r="CF38" s="15"/>
      <c r="CG38" s="15"/>
      <c r="CH38" s="15"/>
      <c r="CI38" s="15"/>
      <c r="CJ38" s="15"/>
      <c r="CK38" s="184"/>
      <c r="CL38" s="15"/>
      <c r="CM38" s="15"/>
      <c r="CN38" s="15"/>
      <c r="CO38" s="15"/>
      <c r="CP38" s="15"/>
      <c r="CQ38" s="15"/>
      <c r="CR38" s="184"/>
      <c r="CS38" s="15"/>
      <c r="CT38" s="15"/>
      <c r="CU38" s="15"/>
      <c r="CV38" s="15"/>
      <c r="CW38" s="15"/>
      <c r="CX38" s="15"/>
      <c r="CY38" s="184"/>
      <c r="CZ38" s="15"/>
      <c r="DA38" s="15"/>
      <c r="DB38" s="15"/>
      <c r="DC38" s="15"/>
      <c r="DD38" s="15"/>
      <c r="DE38" s="15"/>
      <c r="DF38" s="184"/>
      <c r="DG38" s="15"/>
      <c r="DH38" s="15"/>
      <c r="DI38" s="15"/>
      <c r="DJ38" s="15"/>
      <c r="DK38" s="15"/>
      <c r="DL38" s="15"/>
      <c r="DM38" s="184"/>
      <c r="DN38" s="15">
        <v>4</v>
      </c>
      <c r="DO38" s="15">
        <v>4</v>
      </c>
      <c r="DP38" s="15">
        <v>4</v>
      </c>
      <c r="DQ38" s="15">
        <v>4</v>
      </c>
      <c r="DR38" s="15">
        <v>4</v>
      </c>
      <c r="DS38" s="15">
        <v>4</v>
      </c>
      <c r="DT38" s="184"/>
      <c r="DU38" s="15">
        <v>4</v>
      </c>
      <c r="DV38" s="15">
        <v>4</v>
      </c>
      <c r="DW38" s="15">
        <v>4</v>
      </c>
      <c r="DX38" s="15">
        <v>4</v>
      </c>
      <c r="DY38" s="15">
        <v>4</v>
      </c>
      <c r="DZ38" s="15">
        <v>4</v>
      </c>
      <c r="EA38" s="184"/>
      <c r="EB38" s="15">
        <v>4</v>
      </c>
      <c r="EC38" s="15">
        <v>4</v>
      </c>
      <c r="ED38" s="15">
        <v>4</v>
      </c>
      <c r="EE38" s="15">
        <v>4</v>
      </c>
      <c r="EF38" s="15">
        <v>4</v>
      </c>
      <c r="EG38" s="15">
        <v>4</v>
      </c>
      <c r="EH38" s="184"/>
      <c r="EI38" s="15"/>
      <c r="EJ38" s="15"/>
      <c r="EK38" s="15"/>
      <c r="EL38" s="15"/>
      <c r="EM38" s="15"/>
      <c r="EN38" s="15"/>
      <c r="EO38" s="184"/>
      <c r="EP38" s="15"/>
      <c r="EQ38" s="15"/>
      <c r="ER38" s="15"/>
      <c r="ES38" s="15"/>
      <c r="ET38" s="15"/>
      <c r="EU38" s="15"/>
      <c r="EV38" s="184"/>
      <c r="EW38" s="15"/>
      <c r="EX38" s="15"/>
      <c r="EY38" s="15"/>
      <c r="EZ38" s="15"/>
      <c r="FA38" s="15"/>
      <c r="FB38" s="15"/>
      <c r="FC38" s="184"/>
      <c r="FD38" s="15"/>
      <c r="FE38" s="15"/>
      <c r="FF38" s="15"/>
      <c r="FG38" s="15"/>
      <c r="FH38" s="15"/>
      <c r="FI38" s="15"/>
      <c r="FJ38" s="184"/>
      <c r="FK38" s="15"/>
      <c r="FL38" s="15"/>
      <c r="FM38" s="15"/>
      <c r="FN38" s="15"/>
      <c r="FO38" s="15"/>
      <c r="FP38" s="15"/>
      <c r="FQ38" s="184"/>
      <c r="FR38" s="15"/>
      <c r="FS38" s="15"/>
      <c r="FT38" s="15"/>
      <c r="FU38" s="15"/>
      <c r="FV38" s="15"/>
      <c r="FW38" s="178"/>
      <c r="FX38" s="184"/>
      <c r="FY38" s="181"/>
      <c r="FZ38" s="15"/>
      <c r="GA38" s="15"/>
      <c r="GB38" s="15"/>
      <c r="GC38" s="15"/>
      <c r="GD38" s="15"/>
      <c r="GE38" s="184"/>
      <c r="GF38" s="15"/>
      <c r="GG38" s="15"/>
      <c r="GH38" s="15"/>
      <c r="GI38" s="15"/>
      <c r="GJ38" s="15"/>
      <c r="GK38" s="15"/>
      <c r="GL38" s="184"/>
      <c r="GM38" s="15"/>
      <c r="GN38" s="15"/>
      <c r="GO38" s="15"/>
      <c r="GP38" s="15"/>
      <c r="GQ38" s="15"/>
      <c r="GR38" s="15"/>
      <c r="GS38" s="184"/>
      <c r="GT38" s="15"/>
      <c r="GU38" s="15"/>
      <c r="GV38" s="15"/>
      <c r="GW38" s="15"/>
      <c r="GX38" s="15"/>
      <c r="GY38" s="15"/>
      <c r="GZ38" s="184"/>
      <c r="HA38" s="15"/>
      <c r="HB38" s="15"/>
      <c r="HC38" s="15"/>
      <c r="HD38" s="15"/>
      <c r="HE38" s="15"/>
      <c r="HF38" s="15"/>
      <c r="HG38" s="184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</row>
    <row r="39" spans="2:390" ht="19.5" customHeight="1" x14ac:dyDescent="0.45">
      <c r="B39" s="1">
        <f t="shared" ref="B39:B44" si="95">+B38</f>
        <v>1</v>
      </c>
      <c r="C39" s="1">
        <f>+C38</f>
        <v>13</v>
      </c>
      <c r="D39" s="1">
        <f>+D38+1</f>
        <v>2</v>
      </c>
      <c r="E39" s="59" t="str">
        <f t="shared" si="80"/>
        <v>1.13.2</v>
      </c>
      <c r="F39" s="23" t="s">
        <v>60</v>
      </c>
      <c r="G39" s="191" t="s">
        <v>147</v>
      </c>
      <c r="H39" s="52" t="s">
        <v>117</v>
      </c>
      <c r="I39" s="52" t="s">
        <v>157</v>
      </c>
      <c r="J39" s="62">
        <v>1</v>
      </c>
      <c r="K39" s="62">
        <v>0</v>
      </c>
      <c r="L39" s="63">
        <f>+J39-K39</f>
        <v>1</v>
      </c>
      <c r="M39" s="20">
        <v>4</v>
      </c>
      <c r="N39" s="20">
        <v>18</v>
      </c>
      <c r="O39" s="51">
        <f>+N39*M39</f>
        <v>72</v>
      </c>
      <c r="P39" s="51">
        <f>+SUM(AA39:NZ39)</f>
        <v>72</v>
      </c>
      <c r="Q39" s="51">
        <f>+O39-P39</f>
        <v>0</v>
      </c>
      <c r="R39" s="153">
        <v>46090</v>
      </c>
      <c r="S39" s="154">
        <v>15</v>
      </c>
      <c r="T39" s="155">
        <f t="shared" si="84"/>
        <v>46108</v>
      </c>
      <c r="U39" s="164">
        <f>+K39/J39</f>
        <v>0</v>
      </c>
      <c r="V39" s="200">
        <f t="shared" si="85"/>
        <v>0</v>
      </c>
      <c r="W39" s="158">
        <f>SUMIFS($AA39:$NZ39, $AA$8:$NZ$8, $W$13)/$O39</f>
        <v>0</v>
      </c>
      <c r="X39" s="159">
        <f t="shared" si="87"/>
        <v>0</v>
      </c>
      <c r="Y39" s="199">
        <f t="shared" si="86"/>
        <v>0</v>
      </c>
      <c r="Z39" s="36"/>
      <c r="AA39" s="15"/>
      <c r="AB39" s="15"/>
      <c r="AC39" s="15"/>
      <c r="AD39" s="15"/>
      <c r="AE39" s="15"/>
      <c r="AF39" s="15"/>
      <c r="AG39" s="184"/>
      <c r="AH39" s="15"/>
      <c r="AI39" s="15"/>
      <c r="AJ39" s="15"/>
      <c r="AK39" s="15"/>
      <c r="AL39" s="15"/>
      <c r="AM39" s="15"/>
      <c r="AN39" s="184"/>
      <c r="AO39" s="15"/>
      <c r="AP39" s="15"/>
      <c r="AQ39" s="15"/>
      <c r="AR39" s="15"/>
      <c r="AS39" s="15"/>
      <c r="AT39" s="15"/>
      <c r="AU39" s="184"/>
      <c r="AV39" s="15"/>
      <c r="AW39" s="15"/>
      <c r="AX39" s="15"/>
      <c r="AY39" s="15"/>
      <c r="AZ39" s="15"/>
      <c r="BA39" s="15"/>
      <c r="BB39" s="184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84"/>
      <c r="CE39" s="15"/>
      <c r="CF39" s="15"/>
      <c r="CG39" s="15"/>
      <c r="CH39" s="15"/>
      <c r="CI39" s="15"/>
      <c r="CJ39" s="15"/>
      <c r="CK39" s="184"/>
      <c r="CL39" s="15"/>
      <c r="CM39" s="15"/>
      <c r="CN39" s="15"/>
      <c r="CO39" s="15"/>
      <c r="CP39" s="15"/>
      <c r="CQ39" s="15"/>
      <c r="CR39" s="184"/>
      <c r="CS39" s="15"/>
      <c r="CT39" s="15"/>
      <c r="CU39" s="15"/>
      <c r="CV39" s="15"/>
      <c r="CW39" s="15"/>
      <c r="CX39" s="15"/>
      <c r="CY39" s="184"/>
      <c r="CZ39" s="15"/>
      <c r="DA39" s="15"/>
      <c r="DB39" s="15"/>
      <c r="DC39" s="15"/>
      <c r="DD39" s="15"/>
      <c r="DE39" s="15"/>
      <c r="DF39" s="184"/>
      <c r="DG39" s="15"/>
      <c r="DH39" s="15"/>
      <c r="DI39" s="15"/>
      <c r="DJ39" s="15"/>
      <c r="DK39" s="15"/>
      <c r="DL39" s="15"/>
      <c r="DM39" s="184"/>
      <c r="DN39" s="15"/>
      <c r="DO39" s="15"/>
      <c r="DP39" s="15"/>
      <c r="DQ39" s="15"/>
      <c r="DR39" s="15"/>
      <c r="DS39" s="15"/>
      <c r="DT39" s="184"/>
      <c r="DU39" s="15"/>
      <c r="DV39" s="15"/>
      <c r="DW39" s="15"/>
      <c r="DX39" s="15"/>
      <c r="DY39" s="15"/>
      <c r="DZ39" s="15"/>
      <c r="EA39" s="184"/>
      <c r="EB39" s="15">
        <v>4</v>
      </c>
      <c r="EC39" s="15">
        <v>4</v>
      </c>
      <c r="ED39" s="15">
        <v>4</v>
      </c>
      <c r="EE39" s="15">
        <v>4</v>
      </c>
      <c r="EF39" s="15">
        <v>4</v>
      </c>
      <c r="EG39" s="15">
        <v>4</v>
      </c>
      <c r="EH39" s="184"/>
      <c r="EI39" s="15">
        <v>4</v>
      </c>
      <c r="EJ39" s="15">
        <v>4</v>
      </c>
      <c r="EK39" s="15">
        <v>4</v>
      </c>
      <c r="EL39" s="15">
        <v>4</v>
      </c>
      <c r="EM39" s="15">
        <v>4</v>
      </c>
      <c r="EN39" s="15">
        <v>4</v>
      </c>
      <c r="EO39" s="184"/>
      <c r="EP39" s="15">
        <v>4</v>
      </c>
      <c r="EQ39" s="15">
        <v>4</v>
      </c>
      <c r="ER39" s="15">
        <v>4</v>
      </c>
      <c r="ES39" s="15">
        <v>4</v>
      </c>
      <c r="ET39" s="15">
        <v>4</v>
      </c>
      <c r="EU39" s="15">
        <v>4</v>
      </c>
      <c r="EV39" s="184"/>
      <c r="EW39" s="15"/>
      <c r="EX39" s="15"/>
      <c r="EY39" s="15"/>
      <c r="EZ39" s="15"/>
      <c r="FA39" s="15"/>
      <c r="FB39" s="15"/>
      <c r="FC39" s="184"/>
      <c r="FD39" s="15"/>
      <c r="FE39" s="15"/>
      <c r="FF39" s="15"/>
      <c r="FG39" s="15"/>
      <c r="FH39" s="15"/>
      <c r="FI39" s="15"/>
      <c r="FJ39" s="184"/>
      <c r="FK39" s="15"/>
      <c r="FL39" s="15"/>
      <c r="FM39" s="15"/>
      <c r="FN39" s="15"/>
      <c r="FO39" s="15"/>
      <c r="FP39" s="15"/>
      <c r="FQ39" s="184"/>
      <c r="FR39" s="15"/>
      <c r="FS39" s="15"/>
      <c r="FT39" s="15"/>
      <c r="FU39" s="15"/>
      <c r="FV39" s="15"/>
      <c r="FW39" s="178"/>
      <c r="FX39" s="184"/>
      <c r="FY39" s="181"/>
      <c r="FZ39" s="15"/>
      <c r="GA39" s="15"/>
      <c r="GB39" s="15"/>
      <c r="GC39" s="15"/>
      <c r="GD39" s="15"/>
      <c r="GE39" s="184"/>
      <c r="GF39" s="15"/>
      <c r="GG39" s="15"/>
      <c r="GH39" s="15"/>
      <c r="GI39" s="15"/>
      <c r="GJ39" s="15"/>
      <c r="GK39" s="15"/>
      <c r="GL39" s="184"/>
      <c r="GM39" s="15"/>
      <c r="GN39" s="15"/>
      <c r="GO39" s="15"/>
      <c r="GP39" s="15"/>
      <c r="GQ39" s="15"/>
      <c r="GR39" s="15"/>
      <c r="GS39" s="184"/>
      <c r="GT39" s="15"/>
      <c r="GU39" s="15"/>
      <c r="GV39" s="15"/>
      <c r="GW39" s="15"/>
      <c r="GX39" s="15"/>
      <c r="GY39" s="15"/>
      <c r="GZ39" s="184"/>
      <c r="HA39" s="15"/>
      <c r="HB39" s="15"/>
      <c r="HC39" s="15"/>
      <c r="HD39" s="15"/>
      <c r="HE39" s="15"/>
      <c r="HF39" s="15"/>
      <c r="HG39" s="184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</row>
    <row r="40" spans="2:390" ht="19.5" customHeight="1" x14ac:dyDescent="0.45">
      <c r="B40" s="1">
        <f t="shared" si="95"/>
        <v>1</v>
      </c>
      <c r="C40" s="1">
        <f>+C39</f>
        <v>13</v>
      </c>
      <c r="D40" s="1">
        <f>+D39+1</f>
        <v>3</v>
      </c>
      <c r="E40" s="59" t="str">
        <f t="shared" si="80"/>
        <v>1.13.3</v>
      </c>
      <c r="F40" s="23" t="s">
        <v>34</v>
      </c>
      <c r="G40" s="191" t="s">
        <v>147</v>
      </c>
      <c r="H40" s="52" t="s">
        <v>117</v>
      </c>
      <c r="I40" s="52" t="s">
        <v>157</v>
      </c>
      <c r="J40" s="62">
        <v>1</v>
      </c>
      <c r="K40" s="62">
        <v>0</v>
      </c>
      <c r="L40" s="63">
        <f>+J40-K40</f>
        <v>1</v>
      </c>
      <c r="M40" s="20">
        <v>6</v>
      </c>
      <c r="N40" s="20">
        <v>18</v>
      </c>
      <c r="O40" s="51">
        <f>+N40*M40</f>
        <v>108</v>
      </c>
      <c r="P40" s="51">
        <f>+SUM(AA40:NZ40)</f>
        <v>108</v>
      </c>
      <c r="Q40" s="51">
        <f>+O40-P40</f>
        <v>0</v>
      </c>
      <c r="R40" s="153">
        <v>46097</v>
      </c>
      <c r="S40" s="154">
        <v>15</v>
      </c>
      <c r="T40" s="155">
        <f t="shared" si="84"/>
        <v>46115</v>
      </c>
      <c r="U40" s="164">
        <f>+K40/J40</f>
        <v>0</v>
      </c>
      <c r="V40" s="200">
        <f t="shared" si="85"/>
        <v>0</v>
      </c>
      <c r="W40" s="158">
        <f>SUMIFS($AA40:$NZ40, $AA$8:$NZ$8, $W$13)/$O40</f>
        <v>0</v>
      </c>
      <c r="X40" s="159">
        <f t="shared" si="87"/>
        <v>0</v>
      </c>
      <c r="Y40" s="199">
        <f t="shared" si="86"/>
        <v>0</v>
      </c>
      <c r="Z40" s="36"/>
      <c r="AA40" s="15"/>
      <c r="AB40" s="15"/>
      <c r="AC40" s="15"/>
      <c r="AD40" s="15"/>
      <c r="AE40" s="15"/>
      <c r="AF40" s="15"/>
      <c r="AG40" s="184"/>
      <c r="AH40" s="15"/>
      <c r="AI40" s="15"/>
      <c r="AJ40" s="15"/>
      <c r="AK40" s="15"/>
      <c r="AL40" s="15"/>
      <c r="AM40" s="15"/>
      <c r="AN40" s="184"/>
      <c r="AO40" s="15"/>
      <c r="AP40" s="15"/>
      <c r="AQ40" s="15"/>
      <c r="AR40" s="15"/>
      <c r="AS40" s="15"/>
      <c r="AT40" s="15"/>
      <c r="AU40" s="184"/>
      <c r="AV40" s="15"/>
      <c r="AW40" s="15"/>
      <c r="AX40" s="15"/>
      <c r="AY40" s="15"/>
      <c r="AZ40" s="15"/>
      <c r="BA40" s="15"/>
      <c r="BB40" s="184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84"/>
      <c r="CE40" s="15"/>
      <c r="CF40" s="15"/>
      <c r="CG40" s="15"/>
      <c r="CH40" s="15"/>
      <c r="CI40" s="15"/>
      <c r="CJ40" s="15"/>
      <c r="CK40" s="184"/>
      <c r="CL40" s="15"/>
      <c r="CM40" s="15"/>
      <c r="CN40" s="15"/>
      <c r="CO40" s="15"/>
      <c r="CP40" s="15"/>
      <c r="CQ40" s="15"/>
      <c r="CR40" s="184"/>
      <c r="CS40" s="15"/>
      <c r="CT40" s="15"/>
      <c r="CU40" s="15"/>
      <c r="CV40" s="15"/>
      <c r="CW40" s="15"/>
      <c r="CX40" s="15"/>
      <c r="CY40" s="184"/>
      <c r="CZ40" s="15"/>
      <c r="DA40" s="15"/>
      <c r="DB40" s="15"/>
      <c r="DC40" s="15"/>
      <c r="DD40" s="15"/>
      <c r="DE40" s="15"/>
      <c r="DF40" s="184"/>
      <c r="DG40" s="15"/>
      <c r="DH40" s="15"/>
      <c r="DI40" s="15"/>
      <c r="DJ40" s="15"/>
      <c r="DK40" s="15"/>
      <c r="DL40" s="15"/>
      <c r="DM40" s="184"/>
      <c r="DN40" s="15"/>
      <c r="DO40" s="15"/>
      <c r="DP40" s="15"/>
      <c r="DQ40" s="15"/>
      <c r="DR40" s="15"/>
      <c r="DS40" s="15"/>
      <c r="DT40" s="184"/>
      <c r="DU40" s="15"/>
      <c r="DV40" s="15"/>
      <c r="DW40" s="15"/>
      <c r="DX40" s="15"/>
      <c r="DY40" s="15"/>
      <c r="DZ40" s="15"/>
      <c r="EA40" s="184"/>
      <c r="EB40" s="15"/>
      <c r="EC40" s="15"/>
      <c r="ED40" s="15"/>
      <c r="EE40" s="15"/>
      <c r="EF40" s="15"/>
      <c r="EG40" s="15"/>
      <c r="EH40" s="184"/>
      <c r="EI40" s="15">
        <v>6</v>
      </c>
      <c r="EJ40" s="15">
        <v>6</v>
      </c>
      <c r="EK40" s="15">
        <v>6</v>
      </c>
      <c r="EL40" s="15">
        <v>6</v>
      </c>
      <c r="EM40" s="15">
        <v>6</v>
      </c>
      <c r="EN40" s="15">
        <v>6</v>
      </c>
      <c r="EO40" s="184"/>
      <c r="EP40" s="15">
        <v>6</v>
      </c>
      <c r="EQ40" s="15">
        <v>6</v>
      </c>
      <c r="ER40" s="15">
        <v>6</v>
      </c>
      <c r="ES40" s="15">
        <v>6</v>
      </c>
      <c r="ET40" s="15">
        <v>6</v>
      </c>
      <c r="EU40" s="15">
        <v>6</v>
      </c>
      <c r="EV40" s="184"/>
      <c r="EW40" s="15">
        <v>6</v>
      </c>
      <c r="EX40" s="15">
        <v>6</v>
      </c>
      <c r="EY40" s="15">
        <v>6</v>
      </c>
      <c r="EZ40" s="15">
        <v>6</v>
      </c>
      <c r="FA40" s="15">
        <v>6</v>
      </c>
      <c r="FB40" s="15">
        <v>6</v>
      </c>
      <c r="FC40" s="184"/>
      <c r="FD40" s="15"/>
      <c r="FE40" s="15"/>
      <c r="FF40" s="15"/>
      <c r="FG40" s="15"/>
      <c r="FH40" s="15"/>
      <c r="FI40" s="15"/>
      <c r="FJ40" s="184"/>
      <c r="FK40" s="15"/>
      <c r="FL40" s="15"/>
      <c r="FM40" s="15"/>
      <c r="FN40" s="15"/>
      <c r="FO40" s="15"/>
      <c r="FP40" s="15"/>
      <c r="FQ40" s="184"/>
      <c r="FR40" s="15"/>
      <c r="FS40" s="15"/>
      <c r="FT40" s="15"/>
      <c r="FU40" s="15"/>
      <c r="FV40" s="15"/>
      <c r="FW40" s="178"/>
      <c r="FX40" s="184"/>
      <c r="FY40" s="181"/>
      <c r="FZ40" s="15"/>
      <c r="GA40" s="15"/>
      <c r="GB40" s="15"/>
      <c r="GC40" s="15"/>
      <c r="GD40" s="15"/>
      <c r="GE40" s="184"/>
      <c r="GF40" s="15"/>
      <c r="GG40" s="15"/>
      <c r="GH40" s="15"/>
      <c r="GI40" s="15"/>
      <c r="GJ40" s="15"/>
      <c r="GK40" s="15"/>
      <c r="GL40" s="184"/>
      <c r="GM40" s="15"/>
      <c r="GN40" s="15"/>
      <c r="GO40" s="15"/>
      <c r="GP40" s="15"/>
      <c r="GQ40" s="15"/>
      <c r="GR40" s="15"/>
      <c r="GS40" s="184"/>
      <c r="GT40" s="15"/>
      <c r="GU40" s="15"/>
      <c r="GV40" s="15"/>
      <c r="GW40" s="15"/>
      <c r="GX40" s="15"/>
      <c r="GY40" s="15"/>
      <c r="GZ40" s="184"/>
      <c r="HA40" s="15"/>
      <c r="HB40" s="15"/>
      <c r="HC40" s="15"/>
      <c r="HD40" s="15"/>
      <c r="HE40" s="15"/>
      <c r="HF40" s="15"/>
      <c r="HG40" s="184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</row>
    <row r="41" spans="2:390" ht="19.5" customHeight="1" x14ac:dyDescent="0.45">
      <c r="B41" s="1">
        <f t="shared" si="95"/>
        <v>1</v>
      </c>
      <c r="C41" s="1">
        <f>+C40+1</f>
        <v>14</v>
      </c>
      <c r="D41" s="1">
        <v>0</v>
      </c>
      <c r="E41" s="77" t="str">
        <f t="shared" si="80"/>
        <v>1.14.0</v>
      </c>
      <c r="F41" s="78" t="s">
        <v>103</v>
      </c>
      <c r="G41" s="78"/>
      <c r="H41" s="81"/>
      <c r="I41" s="81"/>
      <c r="J41" s="74"/>
      <c r="K41" s="74"/>
      <c r="L41" s="74"/>
      <c r="M41" s="78"/>
      <c r="N41" s="78"/>
      <c r="O41" s="88"/>
      <c r="P41" s="88"/>
      <c r="Q41" s="88"/>
      <c r="R41" s="79"/>
      <c r="S41" s="80"/>
      <c r="T41" s="89" t="str">
        <f t="shared" si="84"/>
        <v/>
      </c>
      <c r="U41" s="90"/>
      <c r="V41" s="201">
        <f t="shared" si="85"/>
        <v>0</v>
      </c>
      <c r="W41" s="22"/>
      <c r="X41" s="22"/>
      <c r="Y41" s="199">
        <f t="shared" si="86"/>
        <v>0</v>
      </c>
      <c r="Z41" s="36"/>
      <c r="AA41" s="15"/>
      <c r="AB41" s="15"/>
      <c r="AC41" s="15"/>
      <c r="AD41" s="15"/>
      <c r="AE41" s="15"/>
      <c r="AF41" s="15"/>
      <c r="AG41" s="184"/>
      <c r="AH41" s="15"/>
      <c r="AI41" s="15"/>
      <c r="AJ41" s="15"/>
      <c r="AK41" s="15"/>
      <c r="AL41" s="15"/>
      <c r="AM41" s="15"/>
      <c r="AN41" s="184"/>
      <c r="AO41" s="15"/>
      <c r="AP41" s="15"/>
      <c r="AQ41" s="15"/>
      <c r="AR41" s="15"/>
      <c r="AS41" s="15"/>
      <c r="AT41" s="15"/>
      <c r="AU41" s="184"/>
      <c r="AV41" s="15"/>
      <c r="AW41" s="15"/>
      <c r="AX41" s="15"/>
      <c r="AY41" s="15"/>
      <c r="AZ41" s="15"/>
      <c r="BA41" s="15"/>
      <c r="BB41" s="184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84"/>
      <c r="CE41" s="15"/>
      <c r="CF41" s="15"/>
      <c r="CG41" s="15"/>
      <c r="CH41" s="15"/>
      <c r="CI41" s="15"/>
      <c r="CJ41" s="15"/>
      <c r="CK41" s="184"/>
      <c r="CL41" s="15"/>
      <c r="CM41" s="15"/>
      <c r="CN41" s="15"/>
      <c r="CO41" s="15"/>
      <c r="CP41" s="15"/>
      <c r="CQ41" s="15"/>
      <c r="CR41" s="184"/>
      <c r="CS41" s="15"/>
      <c r="CT41" s="15"/>
      <c r="CU41" s="15"/>
      <c r="CV41" s="15"/>
      <c r="CW41" s="15"/>
      <c r="CX41" s="15"/>
      <c r="CY41" s="184"/>
      <c r="CZ41" s="15"/>
      <c r="DA41" s="15"/>
      <c r="DB41" s="15"/>
      <c r="DC41" s="15"/>
      <c r="DD41" s="15"/>
      <c r="DE41" s="15"/>
      <c r="DF41" s="184"/>
      <c r="DG41" s="15"/>
      <c r="DH41" s="15"/>
      <c r="DI41" s="15"/>
      <c r="DJ41" s="15"/>
      <c r="DK41" s="15"/>
      <c r="DL41" s="15"/>
      <c r="DM41" s="184"/>
      <c r="DN41" s="15"/>
      <c r="DO41" s="15"/>
      <c r="DP41" s="15"/>
      <c r="DQ41" s="15"/>
      <c r="DR41" s="15"/>
      <c r="DS41" s="15"/>
      <c r="DT41" s="184"/>
      <c r="DU41" s="15"/>
      <c r="DV41" s="15"/>
      <c r="DW41" s="15"/>
      <c r="DX41" s="15"/>
      <c r="DY41" s="15"/>
      <c r="DZ41" s="15"/>
      <c r="EA41" s="184"/>
      <c r="EB41" s="15"/>
      <c r="EC41" s="15"/>
      <c r="ED41" s="15"/>
      <c r="EE41" s="15"/>
      <c r="EF41" s="15"/>
      <c r="EG41" s="15"/>
      <c r="EH41" s="184"/>
      <c r="EI41" s="15"/>
      <c r="EJ41" s="15"/>
      <c r="EK41" s="15"/>
      <c r="EL41" s="15"/>
      <c r="EM41" s="15"/>
      <c r="EN41" s="15"/>
      <c r="EO41" s="184"/>
      <c r="EP41" s="15"/>
      <c r="EQ41" s="15"/>
      <c r="ER41" s="15"/>
      <c r="ES41" s="15"/>
      <c r="ET41" s="15"/>
      <c r="EU41" s="15"/>
      <c r="EV41" s="184"/>
      <c r="EW41" s="15"/>
      <c r="EX41" s="15"/>
      <c r="EY41" s="15"/>
      <c r="EZ41" s="15"/>
      <c r="FA41" s="15"/>
      <c r="FB41" s="15"/>
      <c r="FC41" s="184"/>
      <c r="FD41" s="15"/>
      <c r="FE41" s="15"/>
      <c r="FF41" s="15"/>
      <c r="FG41" s="15"/>
      <c r="FH41" s="15"/>
      <c r="FI41" s="15"/>
      <c r="FJ41" s="184"/>
      <c r="FK41" s="15"/>
      <c r="FL41" s="15"/>
      <c r="FM41" s="15"/>
      <c r="FN41" s="15"/>
      <c r="FO41" s="15"/>
      <c r="FP41" s="15"/>
      <c r="FQ41" s="184"/>
      <c r="FR41" s="15"/>
      <c r="FS41" s="15"/>
      <c r="FT41" s="15"/>
      <c r="FU41" s="15"/>
      <c r="FV41" s="15"/>
      <c r="FW41" s="178"/>
      <c r="FX41" s="184"/>
      <c r="FY41" s="181"/>
      <c r="FZ41" s="15"/>
      <c r="GA41" s="15"/>
      <c r="GB41" s="15"/>
      <c r="GC41" s="15"/>
      <c r="GD41" s="15"/>
      <c r="GE41" s="184"/>
      <c r="GF41" s="15"/>
      <c r="GG41" s="15"/>
      <c r="GH41" s="15"/>
      <c r="GI41" s="15"/>
      <c r="GJ41" s="15"/>
      <c r="GK41" s="15"/>
      <c r="GL41" s="184"/>
      <c r="GM41" s="15"/>
      <c r="GN41" s="15"/>
      <c r="GO41" s="15"/>
      <c r="GP41" s="15"/>
      <c r="GQ41" s="15"/>
      <c r="GR41" s="15"/>
      <c r="GS41" s="184"/>
      <c r="GT41" s="15"/>
      <c r="GU41" s="15"/>
      <c r="GV41" s="15"/>
      <c r="GW41" s="15"/>
      <c r="GX41" s="15"/>
      <c r="GY41" s="15"/>
      <c r="GZ41" s="184"/>
      <c r="HA41" s="15"/>
      <c r="HB41" s="15"/>
      <c r="HC41" s="15"/>
      <c r="HD41" s="15"/>
      <c r="HE41" s="15"/>
      <c r="HF41" s="15"/>
      <c r="HG41" s="184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</row>
    <row r="42" spans="2:390" ht="19.5" customHeight="1" x14ac:dyDescent="0.45">
      <c r="B42" s="1">
        <f t="shared" si="95"/>
        <v>1</v>
      </c>
      <c r="C42" s="1">
        <f>+C41</f>
        <v>14</v>
      </c>
      <c r="D42" s="1">
        <f>+D41+1</f>
        <v>1</v>
      </c>
      <c r="E42" s="91" t="str">
        <f t="shared" si="80"/>
        <v>1.14.1</v>
      </c>
      <c r="F42" s="82" t="s">
        <v>104</v>
      </c>
      <c r="G42" s="82"/>
      <c r="H42" s="83" t="s">
        <v>117</v>
      </c>
      <c r="I42" s="83"/>
      <c r="J42" s="83"/>
      <c r="K42" s="83"/>
      <c r="L42" s="74"/>
      <c r="M42" s="80">
        <v>0</v>
      </c>
      <c r="N42" s="80">
        <v>0</v>
      </c>
      <c r="O42" s="88">
        <f>+N42*M42</f>
        <v>0</v>
      </c>
      <c r="P42" s="88"/>
      <c r="Q42" s="88"/>
      <c r="R42" s="79"/>
      <c r="S42" s="80"/>
      <c r="T42" s="89" t="str">
        <f t="shared" si="84"/>
        <v/>
      </c>
      <c r="U42" s="90"/>
      <c r="V42" s="201">
        <f t="shared" si="85"/>
        <v>0</v>
      </c>
      <c r="W42" s="22"/>
      <c r="X42" s="22"/>
      <c r="Y42" s="199">
        <f t="shared" si="86"/>
        <v>0</v>
      </c>
      <c r="Z42" s="36"/>
      <c r="AA42" s="15"/>
      <c r="AB42" s="15"/>
      <c r="AC42" s="15"/>
      <c r="AD42" s="15"/>
      <c r="AE42" s="15"/>
      <c r="AF42" s="15"/>
      <c r="AG42" s="184"/>
      <c r="AH42" s="15"/>
      <c r="AI42" s="15"/>
      <c r="AJ42" s="15"/>
      <c r="AK42" s="15"/>
      <c r="AL42" s="15"/>
      <c r="AM42" s="15"/>
      <c r="AN42" s="184"/>
      <c r="AO42" s="15"/>
      <c r="AP42" s="15"/>
      <c r="AQ42" s="15"/>
      <c r="AR42" s="15"/>
      <c r="AS42" s="15"/>
      <c r="AT42" s="15"/>
      <c r="AU42" s="184"/>
      <c r="AV42" s="15"/>
      <c r="AW42" s="15"/>
      <c r="AX42" s="15"/>
      <c r="AY42" s="15"/>
      <c r="AZ42" s="15"/>
      <c r="BA42" s="15"/>
      <c r="BB42" s="184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84"/>
      <c r="CE42" s="15"/>
      <c r="CF42" s="15"/>
      <c r="CG42" s="15"/>
      <c r="CH42" s="15"/>
      <c r="CI42" s="15"/>
      <c r="CJ42" s="15"/>
      <c r="CK42" s="184"/>
      <c r="CL42" s="15"/>
      <c r="CM42" s="15"/>
      <c r="CN42" s="15"/>
      <c r="CO42" s="15"/>
      <c r="CP42" s="15"/>
      <c r="CQ42" s="15"/>
      <c r="CR42" s="184"/>
      <c r="CS42" s="15"/>
      <c r="CT42" s="15"/>
      <c r="CU42" s="15"/>
      <c r="CV42" s="15"/>
      <c r="CW42" s="15"/>
      <c r="CX42" s="15"/>
      <c r="CY42" s="184"/>
      <c r="CZ42" s="15"/>
      <c r="DA42" s="15"/>
      <c r="DB42" s="15"/>
      <c r="DC42" s="15"/>
      <c r="DD42" s="15"/>
      <c r="DE42" s="15"/>
      <c r="DF42" s="184"/>
      <c r="DG42" s="15"/>
      <c r="DH42" s="15"/>
      <c r="DI42" s="15"/>
      <c r="DJ42" s="15"/>
      <c r="DK42" s="15"/>
      <c r="DL42" s="15"/>
      <c r="DM42" s="184"/>
      <c r="DN42" s="15"/>
      <c r="DO42" s="15"/>
      <c r="DP42" s="15"/>
      <c r="DQ42" s="15"/>
      <c r="DR42" s="15"/>
      <c r="DS42" s="15"/>
      <c r="DT42" s="184"/>
      <c r="DU42" s="15"/>
      <c r="DV42" s="15"/>
      <c r="DW42" s="15"/>
      <c r="DX42" s="15"/>
      <c r="DY42" s="15"/>
      <c r="DZ42" s="15"/>
      <c r="EA42" s="184"/>
      <c r="EB42" s="15"/>
      <c r="EC42" s="15"/>
      <c r="ED42" s="15"/>
      <c r="EE42" s="15"/>
      <c r="EF42" s="15"/>
      <c r="EG42" s="15"/>
      <c r="EH42" s="184"/>
      <c r="EI42" s="15"/>
      <c r="EJ42" s="15"/>
      <c r="EK42" s="15"/>
      <c r="EL42" s="15"/>
      <c r="EM42" s="15"/>
      <c r="EN42" s="15"/>
      <c r="EO42" s="184"/>
      <c r="EP42" s="15"/>
      <c r="EQ42" s="15"/>
      <c r="ER42" s="15"/>
      <c r="ES42" s="15"/>
      <c r="ET42" s="15"/>
      <c r="EU42" s="15"/>
      <c r="EV42" s="184"/>
      <c r="EW42" s="15"/>
      <c r="EX42" s="15"/>
      <c r="EY42" s="15"/>
      <c r="EZ42" s="15"/>
      <c r="FA42" s="15"/>
      <c r="FB42" s="15"/>
      <c r="FC42" s="184"/>
      <c r="FD42" s="15"/>
      <c r="FE42" s="15"/>
      <c r="FF42" s="15"/>
      <c r="FG42" s="15"/>
      <c r="FH42" s="15"/>
      <c r="FI42" s="15"/>
      <c r="FJ42" s="184"/>
      <c r="FK42" s="15"/>
      <c r="FL42" s="15"/>
      <c r="FM42" s="15"/>
      <c r="FN42" s="15"/>
      <c r="FO42" s="15"/>
      <c r="FP42" s="15"/>
      <c r="FQ42" s="184"/>
      <c r="FR42" s="15"/>
      <c r="FS42" s="15"/>
      <c r="FT42" s="15"/>
      <c r="FU42" s="15"/>
      <c r="FV42" s="15"/>
      <c r="FW42" s="178"/>
      <c r="FX42" s="184"/>
      <c r="FY42" s="181"/>
      <c r="FZ42" s="15"/>
      <c r="GA42" s="15"/>
      <c r="GB42" s="15"/>
      <c r="GC42" s="15"/>
      <c r="GD42" s="15"/>
      <c r="GE42" s="184"/>
      <c r="GF42" s="15"/>
      <c r="GG42" s="15"/>
      <c r="GH42" s="15"/>
      <c r="GI42" s="15"/>
      <c r="GJ42" s="15"/>
      <c r="GK42" s="15"/>
      <c r="GL42" s="184"/>
      <c r="GM42" s="15"/>
      <c r="GN42" s="15"/>
      <c r="GO42" s="15"/>
      <c r="GP42" s="15"/>
      <c r="GQ42" s="15"/>
      <c r="GR42" s="15"/>
      <c r="GS42" s="184"/>
      <c r="GT42" s="15"/>
      <c r="GU42" s="15"/>
      <c r="GV42" s="15"/>
      <c r="GW42" s="15"/>
      <c r="GX42" s="15"/>
      <c r="GY42" s="15"/>
      <c r="GZ42" s="184"/>
      <c r="HA42" s="15"/>
      <c r="HB42" s="15"/>
      <c r="HC42" s="15"/>
      <c r="HD42" s="15"/>
      <c r="HE42" s="15"/>
      <c r="HF42" s="15"/>
      <c r="HG42" s="184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</row>
    <row r="43" spans="2:390" ht="19.5" customHeight="1" x14ac:dyDescent="0.45">
      <c r="B43" s="1">
        <f t="shared" si="95"/>
        <v>1</v>
      </c>
      <c r="C43" s="1">
        <f>+C42</f>
        <v>14</v>
      </c>
      <c r="D43" s="1">
        <f>+D42+1</f>
        <v>2</v>
      </c>
      <c r="E43" s="91" t="str">
        <f t="shared" si="80"/>
        <v>1.14.2</v>
      </c>
      <c r="F43" s="82" t="s">
        <v>105</v>
      </c>
      <c r="G43" s="82"/>
      <c r="H43" s="83" t="s">
        <v>117</v>
      </c>
      <c r="I43" s="83"/>
      <c r="J43" s="83"/>
      <c r="K43" s="83"/>
      <c r="L43" s="74"/>
      <c r="M43" s="80">
        <v>0</v>
      </c>
      <c r="N43" s="80">
        <v>0</v>
      </c>
      <c r="O43" s="88">
        <f>+N43*M43</f>
        <v>0</v>
      </c>
      <c r="P43" s="88"/>
      <c r="Q43" s="88"/>
      <c r="R43" s="79"/>
      <c r="S43" s="80"/>
      <c r="T43" s="89" t="str">
        <f t="shared" si="84"/>
        <v/>
      </c>
      <c r="U43" s="90"/>
      <c r="V43" s="201">
        <f t="shared" si="85"/>
        <v>0</v>
      </c>
      <c r="W43" s="22"/>
      <c r="X43" s="22"/>
      <c r="Y43" s="199">
        <f t="shared" si="86"/>
        <v>0</v>
      </c>
      <c r="Z43" s="36"/>
      <c r="AA43" s="15"/>
      <c r="AB43" s="15"/>
      <c r="AC43" s="15"/>
      <c r="AD43" s="15"/>
      <c r="AE43" s="15"/>
      <c r="AF43" s="15"/>
      <c r="AG43" s="184"/>
      <c r="AH43" s="15"/>
      <c r="AI43" s="15"/>
      <c r="AJ43" s="15"/>
      <c r="AK43" s="15"/>
      <c r="AL43" s="15"/>
      <c r="AM43" s="15"/>
      <c r="AN43" s="184"/>
      <c r="AO43" s="15"/>
      <c r="AP43" s="15"/>
      <c r="AQ43" s="15"/>
      <c r="AR43" s="15"/>
      <c r="AS43" s="15"/>
      <c r="AT43" s="15"/>
      <c r="AU43" s="184"/>
      <c r="AV43" s="15"/>
      <c r="AW43" s="15"/>
      <c r="AX43" s="15"/>
      <c r="AY43" s="15"/>
      <c r="AZ43" s="15"/>
      <c r="BA43" s="15"/>
      <c r="BB43" s="184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84"/>
      <c r="CE43" s="15"/>
      <c r="CF43" s="15"/>
      <c r="CG43" s="15"/>
      <c r="CH43" s="15"/>
      <c r="CI43" s="15"/>
      <c r="CJ43" s="15"/>
      <c r="CK43" s="184"/>
      <c r="CL43" s="15"/>
      <c r="CM43" s="15"/>
      <c r="CN43" s="15"/>
      <c r="CO43" s="15"/>
      <c r="CP43" s="15"/>
      <c r="CQ43" s="15"/>
      <c r="CR43" s="184"/>
      <c r="CS43" s="15"/>
      <c r="CT43" s="15"/>
      <c r="CU43" s="15"/>
      <c r="CV43" s="15"/>
      <c r="CW43" s="15"/>
      <c r="CX43" s="15"/>
      <c r="CY43" s="184"/>
      <c r="CZ43" s="15"/>
      <c r="DA43" s="15"/>
      <c r="DB43" s="15"/>
      <c r="DC43" s="15"/>
      <c r="DD43" s="15"/>
      <c r="DE43" s="15"/>
      <c r="DF43" s="184"/>
      <c r="DG43" s="15"/>
      <c r="DH43" s="15"/>
      <c r="DI43" s="15"/>
      <c r="DJ43" s="15"/>
      <c r="DK43" s="15"/>
      <c r="DL43" s="15"/>
      <c r="DM43" s="184"/>
      <c r="DN43" s="15"/>
      <c r="DO43" s="15"/>
      <c r="DP43" s="15"/>
      <c r="DQ43" s="15"/>
      <c r="DR43" s="15"/>
      <c r="DS43" s="15"/>
      <c r="DT43" s="184"/>
      <c r="DU43" s="15"/>
      <c r="DV43" s="15"/>
      <c r="DW43" s="15"/>
      <c r="DX43" s="15"/>
      <c r="DY43" s="15"/>
      <c r="DZ43" s="15"/>
      <c r="EA43" s="184"/>
      <c r="EB43" s="15"/>
      <c r="EC43" s="15"/>
      <c r="ED43" s="15"/>
      <c r="EE43" s="15"/>
      <c r="EF43" s="15"/>
      <c r="EG43" s="15"/>
      <c r="EH43" s="184"/>
      <c r="EI43" s="15"/>
      <c r="EJ43" s="15"/>
      <c r="EK43" s="15"/>
      <c r="EL43" s="15"/>
      <c r="EM43" s="15"/>
      <c r="EN43" s="15"/>
      <c r="EO43" s="184"/>
      <c r="EP43" s="15"/>
      <c r="EQ43" s="15"/>
      <c r="ER43" s="15"/>
      <c r="ES43" s="15"/>
      <c r="ET43" s="15"/>
      <c r="EU43" s="15"/>
      <c r="EV43" s="184"/>
      <c r="EW43" s="15"/>
      <c r="EX43" s="15"/>
      <c r="EY43" s="15"/>
      <c r="EZ43" s="15"/>
      <c r="FA43" s="15"/>
      <c r="FB43" s="15"/>
      <c r="FC43" s="184"/>
      <c r="FD43" s="15"/>
      <c r="FE43" s="15"/>
      <c r="FF43" s="15"/>
      <c r="FG43" s="15"/>
      <c r="FH43" s="15"/>
      <c r="FI43" s="15"/>
      <c r="FJ43" s="184"/>
      <c r="FK43" s="15"/>
      <c r="FL43" s="15"/>
      <c r="FM43" s="15"/>
      <c r="FN43" s="15"/>
      <c r="FO43" s="15"/>
      <c r="FP43" s="15"/>
      <c r="FQ43" s="184"/>
      <c r="FR43" s="15"/>
      <c r="FS43" s="15"/>
      <c r="FT43" s="15"/>
      <c r="FU43" s="15"/>
      <c r="FV43" s="15"/>
      <c r="FW43" s="178"/>
      <c r="FX43" s="184"/>
      <c r="FY43" s="181"/>
      <c r="FZ43" s="15"/>
      <c r="GA43" s="15"/>
      <c r="GB43" s="15"/>
      <c r="GC43" s="15"/>
      <c r="GD43" s="15"/>
      <c r="GE43" s="184"/>
      <c r="GF43" s="15"/>
      <c r="GG43" s="15"/>
      <c r="GH43" s="15"/>
      <c r="GI43" s="15"/>
      <c r="GJ43" s="15"/>
      <c r="GK43" s="15"/>
      <c r="GL43" s="184"/>
      <c r="GM43" s="15"/>
      <c r="GN43" s="15"/>
      <c r="GO43" s="15"/>
      <c r="GP43" s="15"/>
      <c r="GQ43" s="15"/>
      <c r="GR43" s="15"/>
      <c r="GS43" s="184"/>
      <c r="GT43" s="15"/>
      <c r="GU43" s="15"/>
      <c r="GV43" s="15"/>
      <c r="GW43" s="15"/>
      <c r="GX43" s="15"/>
      <c r="GY43" s="15"/>
      <c r="GZ43" s="184"/>
      <c r="HA43" s="15"/>
      <c r="HB43" s="15"/>
      <c r="HC43" s="15"/>
      <c r="HD43" s="15"/>
      <c r="HE43" s="15"/>
      <c r="HF43" s="15"/>
      <c r="HG43" s="184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</row>
    <row r="44" spans="2:390" ht="19.5" customHeight="1" x14ac:dyDescent="0.45">
      <c r="B44" s="1">
        <f t="shared" si="95"/>
        <v>1</v>
      </c>
      <c r="C44" s="1">
        <f>+C43</f>
        <v>14</v>
      </c>
      <c r="D44" s="1">
        <f>+D43+1</f>
        <v>3</v>
      </c>
      <c r="E44" s="91" t="str">
        <f t="shared" si="80"/>
        <v>1.14.3</v>
      </c>
      <c r="F44" s="82" t="s">
        <v>106</v>
      </c>
      <c r="G44" s="82"/>
      <c r="H44" s="83" t="s">
        <v>117</v>
      </c>
      <c r="I44" s="83"/>
      <c r="J44" s="83"/>
      <c r="K44" s="83"/>
      <c r="L44" s="74"/>
      <c r="M44" s="80">
        <v>0</v>
      </c>
      <c r="N44" s="80">
        <v>0</v>
      </c>
      <c r="O44" s="88">
        <f>+N44*M44</f>
        <v>0</v>
      </c>
      <c r="P44" s="88"/>
      <c r="Q44" s="88"/>
      <c r="R44" s="79"/>
      <c r="S44" s="80"/>
      <c r="T44" s="89" t="str">
        <f t="shared" si="84"/>
        <v/>
      </c>
      <c r="U44" s="90"/>
      <c r="V44" s="201">
        <f t="shared" si="85"/>
        <v>0</v>
      </c>
      <c r="W44" s="22"/>
      <c r="X44" s="22"/>
      <c r="Y44" s="199">
        <f t="shared" si="86"/>
        <v>0</v>
      </c>
      <c r="Z44" s="36"/>
      <c r="AA44" s="15"/>
      <c r="AB44" s="15"/>
      <c r="AC44" s="15"/>
      <c r="AD44" s="15"/>
      <c r="AE44" s="15"/>
      <c r="AF44" s="15"/>
      <c r="AG44" s="184"/>
      <c r="AH44" s="15"/>
      <c r="AI44" s="15"/>
      <c r="AJ44" s="15"/>
      <c r="AK44" s="15"/>
      <c r="AL44" s="15"/>
      <c r="AM44" s="15"/>
      <c r="AN44" s="184"/>
      <c r="AO44" s="15"/>
      <c r="AP44" s="15"/>
      <c r="AQ44" s="15"/>
      <c r="AR44" s="15"/>
      <c r="AS44" s="15"/>
      <c r="AT44" s="15"/>
      <c r="AU44" s="184"/>
      <c r="AV44" s="15"/>
      <c r="AW44" s="15"/>
      <c r="AX44" s="15"/>
      <c r="AY44" s="15"/>
      <c r="AZ44" s="15"/>
      <c r="BA44" s="15"/>
      <c r="BB44" s="184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84"/>
      <c r="CE44" s="15"/>
      <c r="CF44" s="15"/>
      <c r="CG44" s="15"/>
      <c r="CH44" s="15"/>
      <c r="CI44" s="15"/>
      <c r="CJ44" s="15"/>
      <c r="CK44" s="184"/>
      <c r="CL44" s="15"/>
      <c r="CM44" s="15"/>
      <c r="CN44" s="15"/>
      <c r="CO44" s="15"/>
      <c r="CP44" s="15"/>
      <c r="CQ44" s="15"/>
      <c r="CR44" s="184"/>
      <c r="CS44" s="15"/>
      <c r="CT44" s="15"/>
      <c r="CU44" s="15"/>
      <c r="CV44" s="15"/>
      <c r="CW44" s="15"/>
      <c r="CX44" s="15"/>
      <c r="CY44" s="184"/>
      <c r="CZ44" s="15"/>
      <c r="DA44" s="15"/>
      <c r="DB44" s="15"/>
      <c r="DC44" s="15"/>
      <c r="DD44" s="15"/>
      <c r="DE44" s="15"/>
      <c r="DF44" s="184"/>
      <c r="DG44" s="15"/>
      <c r="DH44" s="15"/>
      <c r="DI44" s="15"/>
      <c r="DJ44" s="15"/>
      <c r="DK44" s="15"/>
      <c r="DL44" s="15"/>
      <c r="DM44" s="184"/>
      <c r="DN44" s="15"/>
      <c r="DO44" s="15"/>
      <c r="DP44" s="15"/>
      <c r="DQ44" s="15"/>
      <c r="DR44" s="15"/>
      <c r="DS44" s="15"/>
      <c r="DT44" s="184"/>
      <c r="DU44" s="15"/>
      <c r="DV44" s="15"/>
      <c r="DW44" s="15"/>
      <c r="DX44" s="15"/>
      <c r="DY44" s="15"/>
      <c r="DZ44" s="15"/>
      <c r="EA44" s="184"/>
      <c r="EB44" s="15"/>
      <c r="EC44" s="15"/>
      <c r="ED44" s="15"/>
      <c r="EE44" s="15"/>
      <c r="EF44" s="15"/>
      <c r="EG44" s="15"/>
      <c r="EH44" s="184"/>
      <c r="EI44" s="15"/>
      <c r="EJ44" s="15"/>
      <c r="EK44" s="15"/>
      <c r="EL44" s="15"/>
      <c r="EM44" s="15"/>
      <c r="EN44" s="15"/>
      <c r="EO44" s="184"/>
      <c r="EP44" s="15"/>
      <c r="EQ44" s="15"/>
      <c r="ER44" s="15"/>
      <c r="ES44" s="15"/>
      <c r="ET44" s="15"/>
      <c r="EU44" s="15"/>
      <c r="EV44" s="184"/>
      <c r="EW44" s="15"/>
      <c r="EX44" s="15"/>
      <c r="EY44" s="15"/>
      <c r="EZ44" s="15"/>
      <c r="FA44" s="15"/>
      <c r="FB44" s="15"/>
      <c r="FC44" s="184"/>
      <c r="FD44" s="15"/>
      <c r="FE44" s="15"/>
      <c r="FF44" s="15"/>
      <c r="FG44" s="15"/>
      <c r="FH44" s="15"/>
      <c r="FI44" s="15"/>
      <c r="FJ44" s="184"/>
      <c r="FK44" s="15"/>
      <c r="FL44" s="15"/>
      <c r="FM44" s="15"/>
      <c r="FN44" s="15"/>
      <c r="FO44" s="15"/>
      <c r="FP44" s="15"/>
      <c r="FQ44" s="184"/>
      <c r="FR44" s="15"/>
      <c r="FS44" s="15"/>
      <c r="FT44" s="15"/>
      <c r="FU44" s="15"/>
      <c r="FV44" s="15"/>
      <c r="FW44" s="178"/>
      <c r="FX44" s="184"/>
      <c r="FY44" s="181"/>
      <c r="FZ44" s="15"/>
      <c r="GA44" s="15"/>
      <c r="GB44" s="15"/>
      <c r="GC44" s="15"/>
      <c r="GD44" s="15"/>
      <c r="GE44" s="184"/>
      <c r="GF44" s="15"/>
      <c r="GG44" s="15"/>
      <c r="GH44" s="15"/>
      <c r="GI44" s="15"/>
      <c r="GJ44" s="15"/>
      <c r="GK44" s="15"/>
      <c r="GL44" s="184"/>
      <c r="GM44" s="15"/>
      <c r="GN44" s="15"/>
      <c r="GO44" s="15"/>
      <c r="GP44" s="15"/>
      <c r="GQ44" s="15"/>
      <c r="GR44" s="15"/>
      <c r="GS44" s="184"/>
      <c r="GT44" s="15"/>
      <c r="GU44" s="15"/>
      <c r="GV44" s="15"/>
      <c r="GW44" s="15"/>
      <c r="GX44" s="15"/>
      <c r="GY44" s="15"/>
      <c r="GZ44" s="184"/>
      <c r="HA44" s="15"/>
      <c r="HB44" s="15"/>
      <c r="HC44" s="15"/>
      <c r="HD44" s="15"/>
      <c r="HE44" s="15"/>
      <c r="HF44" s="15"/>
      <c r="HG44" s="184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</row>
    <row r="45" spans="2:390" ht="19.5" customHeight="1" thickBot="1" x14ac:dyDescent="0.5">
      <c r="E45" s="29"/>
      <c r="F45" s="30"/>
      <c r="G45" s="30"/>
      <c r="H45" s="71"/>
      <c r="I45" s="71"/>
      <c r="J45" s="54"/>
      <c r="K45" s="54"/>
      <c r="L45" s="54"/>
      <c r="M45" s="30"/>
      <c r="N45" s="30"/>
      <c r="O45" s="30"/>
      <c r="P45" s="30"/>
      <c r="Q45" s="30"/>
      <c r="R45" s="19"/>
      <c r="S45" s="20"/>
      <c r="T45" s="21" t="str">
        <f t="shared" si="84"/>
        <v/>
      </c>
      <c r="U45" s="22"/>
      <c r="V45" s="199">
        <f t="shared" si="85"/>
        <v>0</v>
      </c>
      <c r="W45" s="22"/>
      <c r="X45" s="22"/>
      <c r="Y45" s="199">
        <f t="shared" si="86"/>
        <v>0</v>
      </c>
      <c r="Z45" s="35"/>
      <c r="AA45" s="15"/>
      <c r="AB45" s="15"/>
      <c r="AC45" s="15"/>
      <c r="AD45" s="15"/>
      <c r="AE45" s="15"/>
      <c r="AF45" s="15"/>
      <c r="AG45" s="184"/>
      <c r="AH45" s="15"/>
      <c r="AI45" s="15"/>
      <c r="AJ45" s="15"/>
      <c r="AK45" s="15"/>
      <c r="AL45" s="15"/>
      <c r="AM45" s="15"/>
      <c r="AN45" s="184"/>
      <c r="AO45" s="15"/>
      <c r="AP45" s="15"/>
      <c r="AQ45" s="15"/>
      <c r="AR45" s="15"/>
      <c r="AS45" s="15"/>
      <c r="AT45" s="15"/>
      <c r="AU45" s="184"/>
      <c r="AV45" s="15"/>
      <c r="AW45" s="15"/>
      <c r="AX45" s="15"/>
      <c r="AY45" s="15"/>
      <c r="AZ45" s="15"/>
      <c r="BA45" s="15"/>
      <c r="BB45" s="184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84"/>
      <c r="CE45" s="15"/>
      <c r="CF45" s="15"/>
      <c r="CG45" s="15"/>
      <c r="CH45" s="15"/>
      <c r="CI45" s="15"/>
      <c r="CJ45" s="15"/>
      <c r="CK45" s="184"/>
      <c r="CL45" s="15"/>
      <c r="CM45" s="15"/>
      <c r="CN45" s="15"/>
      <c r="CO45" s="15"/>
      <c r="CP45" s="15"/>
      <c r="CQ45" s="15"/>
      <c r="CR45" s="184"/>
      <c r="CS45" s="15"/>
      <c r="CT45" s="15"/>
      <c r="CU45" s="15"/>
      <c r="CV45" s="15"/>
      <c r="CW45" s="15"/>
      <c r="CX45" s="15"/>
      <c r="CY45" s="184"/>
      <c r="CZ45" s="15"/>
      <c r="DA45" s="15"/>
      <c r="DB45" s="15"/>
      <c r="DC45" s="15"/>
      <c r="DD45" s="15"/>
      <c r="DE45" s="15"/>
      <c r="DF45" s="184"/>
      <c r="DG45" s="15"/>
      <c r="DH45" s="15"/>
      <c r="DI45" s="15"/>
      <c r="DJ45" s="15"/>
      <c r="DK45" s="15"/>
      <c r="DL45" s="15"/>
      <c r="DM45" s="184"/>
      <c r="DN45" s="15"/>
      <c r="DO45" s="15"/>
      <c r="DP45" s="15"/>
      <c r="DQ45" s="15"/>
      <c r="DR45" s="15"/>
      <c r="DS45" s="15"/>
      <c r="DT45" s="184"/>
      <c r="DU45" s="15"/>
      <c r="DV45" s="15"/>
      <c r="DW45" s="15"/>
      <c r="DX45" s="15"/>
      <c r="DY45" s="15"/>
      <c r="DZ45" s="15"/>
      <c r="EA45" s="184"/>
      <c r="EB45" s="15"/>
      <c r="EC45" s="15"/>
      <c r="ED45" s="15"/>
      <c r="EE45" s="15"/>
      <c r="EF45" s="15"/>
      <c r="EG45" s="15"/>
      <c r="EH45" s="184"/>
      <c r="EI45" s="15"/>
      <c r="EJ45" s="15"/>
      <c r="EK45" s="15"/>
      <c r="EL45" s="15"/>
      <c r="EM45" s="15"/>
      <c r="EN45" s="15"/>
      <c r="EO45" s="184"/>
      <c r="EP45" s="15"/>
      <c r="EQ45" s="15"/>
      <c r="ER45" s="15"/>
      <c r="ES45" s="15"/>
      <c r="ET45" s="15"/>
      <c r="EU45" s="15"/>
      <c r="EV45" s="184"/>
      <c r="EW45" s="15"/>
      <c r="EX45" s="15"/>
      <c r="EY45" s="15"/>
      <c r="EZ45" s="15"/>
      <c r="FA45" s="15"/>
      <c r="FB45" s="15"/>
      <c r="FC45" s="184"/>
      <c r="FD45" s="15"/>
      <c r="FE45" s="15"/>
      <c r="FF45" s="15"/>
      <c r="FG45" s="15"/>
      <c r="FH45" s="15"/>
      <c r="FI45" s="15"/>
      <c r="FJ45" s="184"/>
      <c r="FK45" s="15"/>
      <c r="FL45" s="15"/>
      <c r="FM45" s="15"/>
      <c r="FN45" s="15"/>
      <c r="FO45" s="15"/>
      <c r="FP45" s="15"/>
      <c r="FQ45" s="184"/>
      <c r="FR45" s="15"/>
      <c r="FS45" s="15"/>
      <c r="FT45" s="15"/>
      <c r="FU45" s="15"/>
      <c r="FV45" s="15"/>
      <c r="FW45" s="178"/>
      <c r="FX45" s="184"/>
      <c r="FY45" s="181"/>
      <c r="FZ45" s="15"/>
      <c r="GA45" s="15"/>
      <c r="GB45" s="15"/>
      <c r="GC45" s="15"/>
      <c r="GD45" s="15"/>
      <c r="GE45" s="184"/>
      <c r="GF45" s="15"/>
      <c r="GG45" s="15"/>
      <c r="GH45" s="15"/>
      <c r="GI45" s="15"/>
      <c r="GJ45" s="15"/>
      <c r="GK45" s="15"/>
      <c r="GL45" s="184"/>
      <c r="GM45" s="15"/>
      <c r="GN45" s="15"/>
      <c r="GO45" s="15"/>
      <c r="GP45" s="15"/>
      <c r="GQ45" s="15"/>
      <c r="GR45" s="15"/>
      <c r="GS45" s="184"/>
      <c r="GT45" s="15"/>
      <c r="GU45" s="15"/>
      <c r="GV45" s="15"/>
      <c r="GW45" s="15"/>
      <c r="GX45" s="15"/>
      <c r="GY45" s="15"/>
      <c r="GZ45" s="184"/>
      <c r="HA45" s="15"/>
      <c r="HB45" s="15"/>
      <c r="HC45" s="15"/>
      <c r="HD45" s="15"/>
      <c r="HE45" s="15"/>
      <c r="HF45" s="15"/>
      <c r="HG45" s="184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</row>
    <row r="46" spans="2:390" ht="19.5" customHeight="1" x14ac:dyDescent="0.45">
      <c r="B46" s="1">
        <f>+B13+1</f>
        <v>2</v>
      </c>
      <c r="C46" s="1">
        <v>0</v>
      </c>
      <c r="D46" s="1">
        <v>0</v>
      </c>
      <c r="E46" s="112" t="str">
        <f t="shared" ref="E46:E60" si="96">B46&amp;"."&amp;C46&amp;"."&amp;D46</f>
        <v>2.0.0</v>
      </c>
      <c r="F46" s="103" t="s">
        <v>22</v>
      </c>
      <c r="G46" s="103"/>
      <c r="H46" s="104"/>
      <c r="I46" s="104"/>
      <c r="J46" s="105"/>
      <c r="K46" s="105"/>
      <c r="L46" s="105"/>
      <c r="M46" s="103"/>
      <c r="N46" s="103"/>
      <c r="O46" s="106">
        <f>+SUM(O47,O51,O53,O57,O64,O65,O69,O70,O75,O80,O81,O82,O86)</f>
        <v>1101</v>
      </c>
      <c r="P46" s="106"/>
      <c r="Q46" s="106"/>
      <c r="R46" s="107"/>
      <c r="S46" s="107"/>
      <c r="T46" s="194">
        <f>+MAX(T47:T88)</f>
        <v>46129</v>
      </c>
      <c r="U46" s="160">
        <f>+SUM(O47*U47,O51*U51,O53*U53,O57*U57,O64*U64,O65*U65,O69*U69,O75*U75,O80*U80,O81*U81,O82*U82,O86*U86,O70*U70)/O46</f>
        <v>0.14232837408256815</v>
      </c>
      <c r="V46" s="202">
        <f t="shared" si="85"/>
        <v>156.70353986490753</v>
      </c>
      <c r="W46" s="32"/>
      <c r="X46" s="32"/>
      <c r="Y46" s="106">
        <f>+SUM(Y47,Y51,Y53,Y57,Y64,Y65,Y69,Y70,Y75,Y80,Y81,Y82,Y86)</f>
        <v>12</v>
      </c>
      <c r="Z46" s="38"/>
      <c r="AA46" s="15"/>
      <c r="AB46" s="15"/>
      <c r="AC46" s="15"/>
      <c r="AD46" s="15"/>
      <c r="AE46" s="15"/>
      <c r="AF46" s="15"/>
      <c r="AG46" s="184"/>
      <c r="AH46" s="15"/>
      <c r="AI46" s="15"/>
      <c r="AJ46" s="15"/>
      <c r="AK46" s="15"/>
      <c r="AL46" s="15"/>
      <c r="AM46" s="15"/>
      <c r="AN46" s="184"/>
      <c r="AO46" s="15"/>
      <c r="AP46" s="15"/>
      <c r="AQ46" s="15"/>
      <c r="AR46" s="15"/>
      <c r="AS46" s="15"/>
      <c r="AT46" s="15"/>
      <c r="AU46" s="184"/>
      <c r="AV46" s="15"/>
      <c r="AW46" s="15"/>
      <c r="AX46" s="15"/>
      <c r="AY46" s="15"/>
      <c r="AZ46" s="15"/>
      <c r="BA46" s="15"/>
      <c r="BB46" s="184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84"/>
      <c r="CE46" s="15"/>
      <c r="CF46" s="15"/>
      <c r="CG46" s="15"/>
      <c r="CH46" s="15"/>
      <c r="CI46" s="15"/>
      <c r="CJ46" s="15"/>
      <c r="CK46" s="184"/>
      <c r="CL46" s="15"/>
      <c r="CM46" s="15"/>
      <c r="CN46" s="15"/>
      <c r="CO46" s="15"/>
      <c r="CP46" s="15"/>
      <c r="CQ46" s="15"/>
      <c r="CR46" s="184"/>
      <c r="CS46" s="15"/>
      <c r="CT46" s="15"/>
      <c r="CU46" s="15"/>
      <c r="CV46" s="15"/>
      <c r="CW46" s="15"/>
      <c r="CX46" s="15"/>
      <c r="CY46" s="184"/>
      <c r="CZ46" s="15"/>
      <c r="DA46" s="15"/>
      <c r="DB46" s="15"/>
      <c r="DC46" s="15"/>
      <c r="DD46" s="15"/>
      <c r="DE46" s="15"/>
      <c r="DF46" s="184"/>
      <c r="DG46" s="15"/>
      <c r="DH46" s="15"/>
      <c r="DI46" s="15"/>
      <c r="DJ46" s="15"/>
      <c r="DK46" s="15"/>
      <c r="DL46" s="15"/>
      <c r="DM46" s="184"/>
      <c r="DN46" s="15"/>
      <c r="DO46" s="15"/>
      <c r="DP46" s="15"/>
      <c r="DQ46" s="15"/>
      <c r="DR46" s="15"/>
      <c r="DS46" s="15"/>
      <c r="DT46" s="184"/>
      <c r="DU46" s="15"/>
      <c r="DV46" s="15"/>
      <c r="DW46" s="15"/>
      <c r="DX46" s="15"/>
      <c r="DY46" s="15"/>
      <c r="DZ46" s="15"/>
      <c r="EA46" s="184"/>
      <c r="EB46" s="15"/>
      <c r="EC46" s="15"/>
      <c r="ED46" s="15"/>
      <c r="EE46" s="15"/>
      <c r="EF46" s="15"/>
      <c r="EG46" s="15"/>
      <c r="EH46" s="184"/>
      <c r="EI46" s="15"/>
      <c r="EJ46" s="15"/>
      <c r="EK46" s="15"/>
      <c r="EL46" s="15"/>
      <c r="EM46" s="15"/>
      <c r="EN46" s="15"/>
      <c r="EO46" s="184"/>
      <c r="EP46" s="15"/>
      <c r="EQ46" s="15"/>
      <c r="ER46" s="15"/>
      <c r="ES46" s="15"/>
      <c r="ET46" s="15"/>
      <c r="EU46" s="15"/>
      <c r="EV46" s="184"/>
      <c r="EW46" s="15"/>
      <c r="EX46" s="15"/>
      <c r="EY46" s="15"/>
      <c r="EZ46" s="15"/>
      <c r="FA46" s="15"/>
      <c r="FB46" s="15"/>
      <c r="FC46" s="184"/>
      <c r="FD46" s="15"/>
      <c r="FE46" s="15"/>
      <c r="FF46" s="15"/>
      <c r="FG46" s="15"/>
      <c r="FH46" s="15"/>
      <c r="FI46" s="15"/>
      <c r="FJ46" s="184"/>
      <c r="FK46" s="15"/>
      <c r="FL46" s="15"/>
      <c r="FM46" s="15"/>
      <c r="FN46" s="15"/>
      <c r="FO46" s="15"/>
      <c r="FP46" s="15"/>
      <c r="FQ46" s="184"/>
      <c r="FR46" s="15"/>
      <c r="FS46" s="15"/>
      <c r="FT46" s="15"/>
      <c r="FU46" s="15"/>
      <c r="FV46" s="15"/>
      <c r="FW46" s="178"/>
      <c r="FX46" s="184"/>
      <c r="FY46" s="181"/>
      <c r="FZ46" s="15"/>
      <c r="GA46" s="15"/>
      <c r="GB46" s="15"/>
      <c r="GC46" s="15"/>
      <c r="GD46" s="15"/>
      <c r="GE46" s="184"/>
      <c r="GF46" s="15"/>
      <c r="GG46" s="15"/>
      <c r="GH46" s="15"/>
      <c r="GI46" s="15"/>
      <c r="GJ46" s="15"/>
      <c r="GK46" s="15"/>
      <c r="GL46" s="184"/>
      <c r="GM46" s="15"/>
      <c r="GN46" s="15"/>
      <c r="GO46" s="15"/>
      <c r="GP46" s="15"/>
      <c r="GQ46" s="15"/>
      <c r="GR46" s="15"/>
      <c r="GS46" s="184"/>
      <c r="GT46" s="15"/>
      <c r="GU46" s="15"/>
      <c r="GV46" s="15"/>
      <c r="GW46" s="15"/>
      <c r="GX46" s="15"/>
      <c r="GY46" s="15"/>
      <c r="GZ46" s="184"/>
      <c r="HA46" s="15"/>
      <c r="HB46" s="15"/>
      <c r="HC46" s="15"/>
      <c r="HD46" s="15"/>
      <c r="HE46" s="15"/>
      <c r="HF46" s="15"/>
      <c r="HG46" s="184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</row>
    <row r="47" spans="2:390" ht="19.5" customHeight="1" x14ac:dyDescent="0.45">
      <c r="B47" s="1">
        <f t="shared" ref="B47:B56" si="97">+B46</f>
        <v>2</v>
      </c>
      <c r="C47" s="1">
        <v>1</v>
      </c>
      <c r="D47" s="1">
        <v>0</v>
      </c>
      <c r="E47" s="93" t="str">
        <f t="shared" si="96"/>
        <v>2.1.0</v>
      </c>
      <c r="F47" s="113" t="s">
        <v>9</v>
      </c>
      <c r="G47" s="114"/>
      <c r="H47" s="115"/>
      <c r="I47" s="115"/>
      <c r="J47" s="111"/>
      <c r="K47" s="111"/>
      <c r="L47" s="111"/>
      <c r="M47" s="114"/>
      <c r="N47" s="114"/>
      <c r="O47" s="95">
        <f>SUM(O48:O50)</f>
        <v>15</v>
      </c>
      <c r="P47" s="95"/>
      <c r="Q47" s="95"/>
      <c r="R47" s="168"/>
      <c r="S47" s="98"/>
      <c r="T47" s="163" t="str">
        <f t="shared" si="84"/>
        <v/>
      </c>
      <c r="U47" s="164">
        <f>+SUMPRODUCT(U48:U50,O48:O50)/O47</f>
        <v>0.97642857142857153</v>
      </c>
      <c r="V47" s="200">
        <f t="shared" si="85"/>
        <v>14.646428571428572</v>
      </c>
      <c r="W47" s="158">
        <f>SUMIFS($AA47:$NZ47, $AA$8:$NZ$8, $W$13)/$O47</f>
        <v>0</v>
      </c>
      <c r="X47" s="159">
        <f>SUMIF($AA$9:$NZ$9, "&lt;=" &amp; $W$11,$AA47:$NZ47)/$O47</f>
        <v>0</v>
      </c>
      <c r="Y47" s="206">
        <f t="shared" si="86"/>
        <v>0</v>
      </c>
      <c r="Z47" s="34"/>
      <c r="AA47" s="15"/>
      <c r="AB47" s="15"/>
      <c r="AC47" s="15"/>
      <c r="AD47" s="15"/>
      <c r="AE47" s="15"/>
      <c r="AF47" s="15"/>
      <c r="AG47" s="184"/>
      <c r="AH47" s="15"/>
      <c r="AI47" s="15"/>
      <c r="AJ47" s="15"/>
      <c r="AK47" s="15"/>
      <c r="AL47" s="15"/>
      <c r="AM47" s="15"/>
      <c r="AN47" s="184"/>
      <c r="AO47" s="15"/>
      <c r="AP47" s="15"/>
      <c r="AQ47" s="15"/>
      <c r="AR47" s="15"/>
      <c r="AS47" s="15"/>
      <c r="AT47" s="15"/>
      <c r="AU47" s="184"/>
      <c r="AV47" s="15"/>
      <c r="AW47" s="15"/>
      <c r="AX47" s="15"/>
      <c r="AY47" s="15"/>
      <c r="AZ47" s="15"/>
      <c r="BA47" s="15"/>
      <c r="BB47" s="184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84"/>
      <c r="CE47" s="15"/>
      <c r="CF47" s="15"/>
      <c r="CG47" s="15"/>
      <c r="CH47" s="15"/>
      <c r="CI47" s="15"/>
      <c r="CJ47" s="15"/>
      <c r="CK47" s="184"/>
      <c r="CL47" s="15"/>
      <c r="CM47" s="15"/>
      <c r="CN47" s="15"/>
      <c r="CO47" s="15"/>
      <c r="CP47" s="15"/>
      <c r="CQ47" s="15"/>
      <c r="CR47" s="184"/>
      <c r="CS47" s="15"/>
      <c r="CT47" s="15"/>
      <c r="CU47" s="15"/>
      <c r="CV47" s="15"/>
      <c r="CW47" s="15"/>
      <c r="CX47" s="15"/>
      <c r="CY47" s="184"/>
      <c r="CZ47" s="15"/>
      <c r="DA47" s="15"/>
      <c r="DB47" s="15"/>
      <c r="DC47" s="15"/>
      <c r="DD47" s="15"/>
      <c r="DE47" s="15"/>
      <c r="DF47" s="184"/>
      <c r="DG47" s="15"/>
      <c r="DH47" s="15"/>
      <c r="DI47" s="15"/>
      <c r="DJ47" s="15"/>
      <c r="DK47" s="15"/>
      <c r="DL47" s="15"/>
      <c r="DM47" s="184"/>
      <c r="DN47" s="15"/>
      <c r="DO47" s="15"/>
      <c r="DP47" s="15"/>
      <c r="DQ47" s="15"/>
      <c r="DR47" s="15"/>
      <c r="DS47" s="15"/>
      <c r="DT47" s="184"/>
      <c r="DU47" s="15"/>
      <c r="DV47" s="15"/>
      <c r="DW47" s="15"/>
      <c r="DX47" s="15"/>
      <c r="DY47" s="15"/>
      <c r="DZ47" s="15"/>
      <c r="EA47" s="184"/>
      <c r="EB47" s="15"/>
      <c r="EC47" s="15"/>
      <c r="ED47" s="15"/>
      <c r="EE47" s="15"/>
      <c r="EF47" s="15"/>
      <c r="EG47" s="15"/>
      <c r="EH47" s="184"/>
      <c r="EI47" s="15"/>
      <c r="EJ47" s="15"/>
      <c r="EK47" s="15"/>
      <c r="EL47" s="15"/>
      <c r="EM47" s="15"/>
      <c r="EN47" s="15"/>
      <c r="EO47" s="184"/>
      <c r="EP47" s="15"/>
      <c r="EQ47" s="15"/>
      <c r="ER47" s="15"/>
      <c r="ES47" s="15"/>
      <c r="ET47" s="15"/>
      <c r="EU47" s="15"/>
      <c r="EV47" s="184"/>
      <c r="EW47" s="15"/>
      <c r="EX47" s="15"/>
      <c r="EY47" s="15"/>
      <c r="EZ47" s="15"/>
      <c r="FA47" s="15"/>
      <c r="FB47" s="15"/>
      <c r="FC47" s="184"/>
      <c r="FD47" s="15"/>
      <c r="FE47" s="15"/>
      <c r="FF47" s="15"/>
      <c r="FG47" s="15"/>
      <c r="FH47" s="15"/>
      <c r="FI47" s="15"/>
      <c r="FJ47" s="184"/>
      <c r="FK47" s="15"/>
      <c r="FL47" s="15"/>
      <c r="FM47" s="15"/>
      <c r="FN47" s="15"/>
      <c r="FO47" s="15"/>
      <c r="FP47" s="15"/>
      <c r="FQ47" s="184"/>
      <c r="FR47" s="15"/>
      <c r="FS47" s="15"/>
      <c r="FT47" s="15"/>
      <c r="FU47" s="15"/>
      <c r="FV47" s="15"/>
      <c r="FW47" s="178"/>
      <c r="FX47" s="184"/>
      <c r="FY47" s="181"/>
      <c r="FZ47" s="15"/>
      <c r="GA47" s="15"/>
      <c r="GB47" s="15"/>
      <c r="GC47" s="15"/>
      <c r="GD47" s="15"/>
      <c r="GE47" s="184"/>
      <c r="GF47" s="15"/>
      <c r="GG47" s="15"/>
      <c r="GH47" s="15"/>
      <c r="GI47" s="15"/>
      <c r="GJ47" s="15"/>
      <c r="GK47" s="15"/>
      <c r="GL47" s="184"/>
      <c r="GM47" s="15"/>
      <c r="GN47" s="15"/>
      <c r="GO47" s="15"/>
      <c r="GP47" s="15"/>
      <c r="GQ47" s="15"/>
      <c r="GR47" s="15"/>
      <c r="GS47" s="184"/>
      <c r="GT47" s="15"/>
      <c r="GU47" s="15"/>
      <c r="GV47" s="15"/>
      <c r="GW47" s="15"/>
      <c r="GX47" s="15"/>
      <c r="GY47" s="15"/>
      <c r="GZ47" s="184"/>
      <c r="HA47" s="15"/>
      <c r="HB47" s="15"/>
      <c r="HC47" s="15"/>
      <c r="HD47" s="15"/>
      <c r="HE47" s="15"/>
      <c r="HF47" s="15"/>
      <c r="HG47" s="184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</row>
    <row r="48" spans="2:390" ht="19.5" customHeight="1" x14ac:dyDescent="0.45">
      <c r="B48" s="1">
        <f t="shared" si="97"/>
        <v>2</v>
      </c>
      <c r="C48" s="1">
        <f>+C47</f>
        <v>1</v>
      </c>
      <c r="D48" s="1">
        <v>1</v>
      </c>
      <c r="E48" s="59" t="str">
        <f t="shared" si="96"/>
        <v>2.1.1</v>
      </c>
      <c r="F48" s="23" t="s">
        <v>10</v>
      </c>
      <c r="G48" s="191">
        <v>2.2999999999999998</v>
      </c>
      <c r="H48" s="52" t="s">
        <v>117</v>
      </c>
      <c r="I48" s="52" t="s">
        <v>156</v>
      </c>
      <c r="J48" s="52">
        <v>120</v>
      </c>
      <c r="K48" s="52">
        <v>120</v>
      </c>
      <c r="L48" s="53">
        <f>+J48-K48</f>
        <v>0</v>
      </c>
      <c r="M48" s="52">
        <v>3</v>
      </c>
      <c r="N48" s="52">
        <v>1</v>
      </c>
      <c r="O48" s="51">
        <f>+N48*M48</f>
        <v>3</v>
      </c>
      <c r="P48" s="51">
        <f>+SUM(AA48:NZ48)</f>
        <v>3</v>
      </c>
      <c r="Q48" s="51">
        <f>+O48-P48</f>
        <v>0</v>
      </c>
      <c r="R48" s="153"/>
      <c r="S48" s="154"/>
      <c r="T48" s="155" t="str">
        <f t="shared" si="84"/>
        <v/>
      </c>
      <c r="U48" s="22">
        <f>+K48/J48</f>
        <v>1</v>
      </c>
      <c r="V48" s="199">
        <f t="shared" si="85"/>
        <v>3</v>
      </c>
      <c r="W48" s="158">
        <f>SUMIFS($AA48:$NZ48, $AA$8:$NZ$8, $W$13)/$O48</f>
        <v>0</v>
      </c>
      <c r="X48" s="159">
        <f>SUMIF($AA$9:$NZ$9, "&lt;=" &amp; $W$11,$AA48:$NZ48)/$O48</f>
        <v>1</v>
      </c>
      <c r="Y48" s="199">
        <f t="shared" si="86"/>
        <v>3</v>
      </c>
      <c r="Z48" s="39"/>
      <c r="AA48" s="15">
        <v>3</v>
      </c>
      <c r="AB48" s="15"/>
      <c r="AC48" s="15"/>
      <c r="AD48" s="15"/>
      <c r="AE48" s="15"/>
      <c r="AF48" s="15"/>
      <c r="AG48" s="184"/>
      <c r="AH48" s="15"/>
      <c r="AI48" s="15"/>
      <c r="AJ48" s="15"/>
      <c r="AK48" s="15"/>
      <c r="AL48" s="15"/>
      <c r="AM48" s="15"/>
      <c r="AN48" s="184"/>
      <c r="AO48" s="15"/>
      <c r="AP48" s="15"/>
      <c r="AQ48" s="15"/>
      <c r="AR48" s="15"/>
      <c r="AS48" s="15"/>
      <c r="AT48" s="15"/>
      <c r="AU48" s="184"/>
      <c r="AV48" s="15"/>
      <c r="AW48" s="15"/>
      <c r="AX48" s="15"/>
      <c r="AY48" s="15"/>
      <c r="AZ48" s="15"/>
      <c r="BA48" s="15"/>
      <c r="BB48" s="184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84"/>
      <c r="CE48" s="15"/>
      <c r="CF48" s="15"/>
      <c r="CG48" s="15"/>
      <c r="CH48" s="15"/>
      <c r="CI48" s="15"/>
      <c r="CJ48" s="15"/>
      <c r="CK48" s="184"/>
      <c r="CL48" s="15"/>
      <c r="CM48" s="15"/>
      <c r="CN48" s="15"/>
      <c r="CO48" s="15"/>
      <c r="CP48" s="15"/>
      <c r="CQ48" s="15"/>
      <c r="CR48" s="184"/>
      <c r="CS48" s="15"/>
      <c r="CT48" s="15"/>
      <c r="CU48" s="15"/>
      <c r="CV48" s="15"/>
      <c r="CW48" s="15"/>
      <c r="CX48" s="15"/>
      <c r="CY48" s="184"/>
      <c r="CZ48" s="15"/>
      <c r="DA48" s="15"/>
      <c r="DB48" s="15"/>
      <c r="DC48" s="15"/>
      <c r="DD48" s="15"/>
      <c r="DE48" s="15"/>
      <c r="DF48" s="184"/>
      <c r="DG48" s="15"/>
      <c r="DH48" s="15"/>
      <c r="DI48" s="15"/>
      <c r="DJ48" s="15"/>
      <c r="DK48" s="15"/>
      <c r="DL48" s="15"/>
      <c r="DM48" s="184"/>
      <c r="DN48" s="15"/>
      <c r="DO48" s="15"/>
      <c r="DP48" s="15"/>
      <c r="DQ48" s="15"/>
      <c r="DR48" s="15"/>
      <c r="DS48" s="15"/>
      <c r="DT48" s="184"/>
      <c r="DU48" s="15"/>
      <c r="DV48" s="15"/>
      <c r="DW48" s="15"/>
      <c r="DX48" s="15"/>
      <c r="DY48" s="15"/>
      <c r="DZ48" s="15"/>
      <c r="EA48" s="184"/>
      <c r="EB48" s="15"/>
      <c r="EC48" s="15"/>
      <c r="ED48" s="15"/>
      <c r="EE48" s="15"/>
      <c r="EF48" s="15"/>
      <c r="EG48" s="15"/>
      <c r="EH48" s="184"/>
      <c r="EI48" s="15"/>
      <c r="EJ48" s="15"/>
      <c r="EK48" s="15"/>
      <c r="EL48" s="15"/>
      <c r="EM48" s="15"/>
      <c r="EN48" s="15"/>
      <c r="EO48" s="184"/>
      <c r="EP48" s="15"/>
      <c r="EQ48" s="15"/>
      <c r="ER48" s="15"/>
      <c r="ES48" s="15"/>
      <c r="ET48" s="15"/>
      <c r="EU48" s="15"/>
      <c r="EV48" s="184"/>
      <c r="EW48" s="15"/>
      <c r="EX48" s="15"/>
      <c r="EY48" s="15"/>
      <c r="EZ48" s="15"/>
      <c r="FA48" s="15"/>
      <c r="FB48" s="15"/>
      <c r="FC48" s="184"/>
      <c r="FD48" s="15"/>
      <c r="FE48" s="15"/>
      <c r="FF48" s="15"/>
      <c r="FG48" s="15"/>
      <c r="FH48" s="15"/>
      <c r="FI48" s="15"/>
      <c r="FJ48" s="184"/>
      <c r="FK48" s="15"/>
      <c r="FL48" s="15"/>
      <c r="FM48" s="15"/>
      <c r="FN48" s="15"/>
      <c r="FO48" s="15"/>
      <c r="FP48" s="15"/>
      <c r="FQ48" s="184"/>
      <c r="FR48" s="15"/>
      <c r="FS48" s="15"/>
      <c r="FT48" s="15"/>
      <c r="FU48" s="15"/>
      <c r="FV48" s="15"/>
      <c r="FW48" s="178"/>
      <c r="FX48" s="184"/>
      <c r="FY48" s="181"/>
      <c r="FZ48" s="15"/>
      <c r="GA48" s="15"/>
      <c r="GB48" s="15"/>
      <c r="GC48" s="15"/>
      <c r="GD48" s="15"/>
      <c r="GE48" s="184"/>
      <c r="GF48" s="15"/>
      <c r="GG48" s="15"/>
      <c r="GH48" s="15"/>
      <c r="GI48" s="15"/>
      <c r="GJ48" s="15"/>
      <c r="GK48" s="15"/>
      <c r="GL48" s="184"/>
      <c r="GM48" s="15"/>
      <c r="GN48" s="15"/>
      <c r="GO48" s="15"/>
      <c r="GP48" s="15"/>
      <c r="GQ48" s="15"/>
      <c r="GR48" s="15"/>
      <c r="GS48" s="184"/>
      <c r="GT48" s="15"/>
      <c r="GU48" s="15"/>
      <c r="GV48" s="15"/>
      <c r="GW48" s="15"/>
      <c r="GX48" s="15"/>
      <c r="GY48" s="15"/>
      <c r="GZ48" s="184"/>
      <c r="HA48" s="15"/>
      <c r="HB48" s="15"/>
      <c r="HC48" s="15"/>
      <c r="HD48" s="15"/>
      <c r="HE48" s="15"/>
      <c r="HF48" s="15"/>
      <c r="HG48" s="184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</row>
    <row r="49" spans="2:390" ht="19.5" customHeight="1" x14ac:dyDescent="0.45">
      <c r="B49" s="1">
        <f t="shared" si="97"/>
        <v>2</v>
      </c>
      <c r="C49" s="1">
        <f>+C48</f>
        <v>1</v>
      </c>
      <c r="D49" s="1">
        <v>2</v>
      </c>
      <c r="E49" s="59" t="str">
        <f t="shared" si="96"/>
        <v>2.1.2</v>
      </c>
      <c r="F49" s="23" t="s">
        <v>11</v>
      </c>
      <c r="G49" s="191">
        <v>2.2999999999999998</v>
      </c>
      <c r="H49" s="52" t="s">
        <v>117</v>
      </c>
      <c r="I49" s="52" t="s">
        <v>156</v>
      </c>
      <c r="J49" s="52">
        <v>80</v>
      </c>
      <c r="K49" s="52">
        <v>77</v>
      </c>
      <c r="L49" s="53">
        <f>+J49-K49</f>
        <v>3</v>
      </c>
      <c r="M49" s="52">
        <v>2</v>
      </c>
      <c r="N49" s="52">
        <v>3</v>
      </c>
      <c r="O49" s="51">
        <f>+N49*M49</f>
        <v>6</v>
      </c>
      <c r="P49" s="51">
        <f>+SUM(AA49:NZ49)</f>
        <v>0</v>
      </c>
      <c r="Q49" s="51">
        <f>+O49-P49</f>
        <v>6</v>
      </c>
      <c r="R49" s="153"/>
      <c r="S49" s="154"/>
      <c r="T49" s="155" t="str">
        <f t="shared" si="84"/>
        <v/>
      </c>
      <c r="U49" s="22">
        <f>+K49/J49</f>
        <v>0.96250000000000002</v>
      </c>
      <c r="V49" s="199">
        <f t="shared" si="85"/>
        <v>5.7750000000000004</v>
      </c>
      <c r="W49" s="158">
        <f>SUMIFS($AA49:$NZ49, $AA$8:$NZ$8, $W$13)/$O49</f>
        <v>0</v>
      </c>
      <c r="X49" s="159">
        <f>SUMIF($AA$9:$NZ$9, "&lt;=" &amp; $W$11,$AA49:$NZ49)/$O49</f>
        <v>0</v>
      </c>
      <c r="Y49" s="199">
        <f t="shared" si="86"/>
        <v>0</v>
      </c>
      <c r="Z49" s="36"/>
      <c r="AA49" s="15"/>
      <c r="AB49" s="15"/>
      <c r="AC49" s="15"/>
      <c r="AD49" s="15"/>
      <c r="AE49" s="15"/>
      <c r="AF49" s="15"/>
      <c r="AG49" s="184"/>
      <c r="AH49" s="15"/>
      <c r="AI49" s="15"/>
      <c r="AJ49" s="15"/>
      <c r="AK49" s="15"/>
      <c r="AL49" s="15"/>
      <c r="AM49" s="15"/>
      <c r="AN49" s="184"/>
      <c r="AO49" s="15"/>
      <c r="AP49" s="15"/>
      <c r="AQ49" s="15"/>
      <c r="AR49" s="15"/>
      <c r="AS49" s="15"/>
      <c r="AT49" s="15"/>
      <c r="AU49" s="184"/>
      <c r="AV49" s="15"/>
      <c r="AW49" s="15"/>
      <c r="AX49" s="15"/>
      <c r="AY49" s="15"/>
      <c r="AZ49" s="15"/>
      <c r="BA49" s="15"/>
      <c r="BB49" s="184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84"/>
      <c r="CE49" s="15"/>
      <c r="CF49" s="15"/>
      <c r="CG49" s="15"/>
      <c r="CH49" s="15"/>
      <c r="CI49" s="15"/>
      <c r="CJ49" s="15"/>
      <c r="CK49" s="184"/>
      <c r="CL49" s="15"/>
      <c r="CM49" s="15"/>
      <c r="CN49" s="15"/>
      <c r="CO49" s="15"/>
      <c r="CP49" s="15"/>
      <c r="CQ49" s="15"/>
      <c r="CR49" s="184"/>
      <c r="CS49" s="15"/>
      <c r="CT49" s="15"/>
      <c r="CU49" s="15"/>
      <c r="CV49" s="15"/>
      <c r="CW49" s="15"/>
      <c r="CX49" s="15"/>
      <c r="CY49" s="184"/>
      <c r="CZ49" s="15"/>
      <c r="DA49" s="15"/>
      <c r="DB49" s="15"/>
      <c r="DC49" s="15"/>
      <c r="DD49" s="15"/>
      <c r="DE49" s="15"/>
      <c r="DF49" s="184"/>
      <c r="DG49" s="15"/>
      <c r="DH49" s="15"/>
      <c r="DI49" s="15"/>
      <c r="DJ49" s="15"/>
      <c r="DK49" s="15"/>
      <c r="DL49" s="15"/>
      <c r="DM49" s="184"/>
      <c r="DN49" s="15"/>
      <c r="DO49" s="15"/>
      <c r="DP49" s="15"/>
      <c r="DQ49" s="15"/>
      <c r="DR49" s="15"/>
      <c r="DS49" s="15"/>
      <c r="DT49" s="184"/>
      <c r="DU49" s="15"/>
      <c r="DV49" s="15"/>
      <c r="DW49" s="15"/>
      <c r="DX49" s="15"/>
      <c r="DY49" s="15"/>
      <c r="DZ49" s="15"/>
      <c r="EA49" s="184"/>
      <c r="EB49" s="15"/>
      <c r="EC49" s="15"/>
      <c r="ED49" s="15"/>
      <c r="EE49" s="15"/>
      <c r="EF49" s="15"/>
      <c r="EG49" s="15"/>
      <c r="EH49" s="184"/>
      <c r="EI49" s="15"/>
      <c r="EJ49" s="15"/>
      <c r="EK49" s="15"/>
      <c r="EL49" s="15"/>
      <c r="EM49" s="15"/>
      <c r="EN49" s="15"/>
      <c r="EO49" s="184"/>
      <c r="EP49" s="15"/>
      <c r="EQ49" s="15"/>
      <c r="ER49" s="15"/>
      <c r="ES49" s="15"/>
      <c r="ET49" s="15"/>
      <c r="EU49" s="15"/>
      <c r="EV49" s="184"/>
      <c r="EW49" s="15"/>
      <c r="EX49" s="15"/>
      <c r="EY49" s="15"/>
      <c r="EZ49" s="15"/>
      <c r="FA49" s="15"/>
      <c r="FB49" s="15"/>
      <c r="FC49" s="184"/>
      <c r="FD49" s="15"/>
      <c r="FE49" s="15"/>
      <c r="FF49" s="15"/>
      <c r="FG49" s="15"/>
      <c r="FH49" s="15"/>
      <c r="FI49" s="15"/>
      <c r="FJ49" s="184"/>
      <c r="FK49" s="15"/>
      <c r="FL49" s="15"/>
      <c r="FM49" s="15"/>
      <c r="FN49" s="15"/>
      <c r="FO49" s="15"/>
      <c r="FP49" s="15"/>
      <c r="FQ49" s="184"/>
      <c r="FR49" s="15"/>
      <c r="FS49" s="15"/>
      <c r="FT49" s="15"/>
      <c r="FU49" s="15"/>
      <c r="FV49" s="15"/>
      <c r="FW49" s="178"/>
      <c r="FX49" s="184"/>
      <c r="FY49" s="181"/>
      <c r="FZ49" s="15"/>
      <c r="GA49" s="15"/>
      <c r="GB49" s="15"/>
      <c r="GC49" s="15"/>
      <c r="GD49" s="15"/>
      <c r="GE49" s="184"/>
      <c r="GF49" s="15"/>
      <c r="GG49" s="15"/>
      <c r="GH49" s="15"/>
      <c r="GI49" s="15"/>
      <c r="GJ49" s="15"/>
      <c r="GK49" s="15"/>
      <c r="GL49" s="184"/>
      <c r="GM49" s="15"/>
      <c r="GN49" s="15"/>
      <c r="GO49" s="15"/>
      <c r="GP49" s="15"/>
      <c r="GQ49" s="15"/>
      <c r="GR49" s="15"/>
      <c r="GS49" s="184"/>
      <c r="GT49" s="15"/>
      <c r="GU49" s="15"/>
      <c r="GV49" s="15"/>
      <c r="GW49" s="15"/>
      <c r="GX49" s="15"/>
      <c r="GY49" s="15"/>
      <c r="GZ49" s="184"/>
      <c r="HA49" s="15"/>
      <c r="HB49" s="15"/>
      <c r="HC49" s="15"/>
      <c r="HD49" s="15"/>
      <c r="HE49" s="15"/>
      <c r="HF49" s="15"/>
      <c r="HG49" s="184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</row>
    <row r="50" spans="2:390" ht="19.5" customHeight="1" x14ac:dyDescent="0.45">
      <c r="B50" s="1">
        <f t="shared" si="97"/>
        <v>2</v>
      </c>
      <c r="C50" s="1">
        <f>+C49</f>
        <v>1</v>
      </c>
      <c r="D50" s="1">
        <v>3</v>
      </c>
      <c r="E50" s="59" t="str">
        <f t="shared" si="96"/>
        <v>2.1.3</v>
      </c>
      <c r="F50" s="23" t="s">
        <v>12</v>
      </c>
      <c r="G50" s="191">
        <v>2.2999999999999998</v>
      </c>
      <c r="H50" s="52" t="s">
        <v>117</v>
      </c>
      <c r="I50" s="52" t="s">
        <v>156</v>
      </c>
      <c r="J50" s="52">
        <v>140</v>
      </c>
      <c r="K50" s="52">
        <v>137</v>
      </c>
      <c r="L50" s="53">
        <f>+J50-K50</f>
        <v>3</v>
      </c>
      <c r="M50" s="52">
        <v>2</v>
      </c>
      <c r="N50" s="52">
        <v>3</v>
      </c>
      <c r="O50" s="51">
        <f>+N50*M50</f>
        <v>6</v>
      </c>
      <c r="P50" s="51">
        <f>+SUM(AA50:NZ50)</f>
        <v>0</v>
      </c>
      <c r="Q50" s="51">
        <f>+O50-P50</f>
        <v>6</v>
      </c>
      <c r="R50" s="153"/>
      <c r="S50" s="154"/>
      <c r="T50" s="155" t="str">
        <f t="shared" si="84"/>
        <v/>
      </c>
      <c r="U50" s="22">
        <f>+K50/J50</f>
        <v>0.97857142857142854</v>
      </c>
      <c r="V50" s="199">
        <f t="shared" si="85"/>
        <v>5.871428571428571</v>
      </c>
      <c r="W50" s="158">
        <f>SUMIFS($AA50:$NZ50, $AA$8:$NZ$8, $W$13)/$O50</f>
        <v>0</v>
      </c>
      <c r="X50" s="159">
        <f>SUMIF($AA$9:$NZ$9, "&lt;=" &amp; $W$11,$AA50:$NZ50)/$O50</f>
        <v>0</v>
      </c>
      <c r="Y50" s="199">
        <f t="shared" si="86"/>
        <v>0</v>
      </c>
      <c r="Z50" s="36"/>
      <c r="AA50" s="15"/>
      <c r="AB50" s="15"/>
      <c r="AC50" s="15"/>
      <c r="AD50" s="15"/>
      <c r="AE50" s="15"/>
      <c r="AF50" s="15"/>
      <c r="AG50" s="184"/>
      <c r="AH50" s="15"/>
      <c r="AI50" s="15"/>
      <c r="AJ50" s="15"/>
      <c r="AK50" s="15"/>
      <c r="AL50" s="15"/>
      <c r="AM50" s="15"/>
      <c r="AN50" s="184"/>
      <c r="AO50" s="15"/>
      <c r="AP50" s="15"/>
      <c r="AQ50" s="15"/>
      <c r="AR50" s="15"/>
      <c r="AS50" s="15"/>
      <c r="AT50" s="15"/>
      <c r="AU50" s="184"/>
      <c r="AV50" s="15"/>
      <c r="AW50" s="15"/>
      <c r="AX50" s="15"/>
      <c r="AY50" s="15"/>
      <c r="AZ50" s="15"/>
      <c r="BA50" s="15"/>
      <c r="BB50" s="184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84"/>
      <c r="CE50" s="15"/>
      <c r="CF50" s="15"/>
      <c r="CG50" s="15"/>
      <c r="CH50" s="15"/>
      <c r="CI50" s="15"/>
      <c r="CJ50" s="15"/>
      <c r="CK50" s="184"/>
      <c r="CL50" s="15"/>
      <c r="CM50" s="15"/>
      <c r="CN50" s="15"/>
      <c r="CO50" s="15"/>
      <c r="CP50" s="15"/>
      <c r="CQ50" s="15"/>
      <c r="CR50" s="184"/>
      <c r="CS50" s="15"/>
      <c r="CT50" s="15"/>
      <c r="CU50" s="15"/>
      <c r="CV50" s="15"/>
      <c r="CW50" s="15"/>
      <c r="CX50" s="15"/>
      <c r="CY50" s="184"/>
      <c r="CZ50" s="15"/>
      <c r="DA50" s="15"/>
      <c r="DB50" s="15"/>
      <c r="DC50" s="15"/>
      <c r="DD50" s="15"/>
      <c r="DE50" s="15"/>
      <c r="DF50" s="184"/>
      <c r="DG50" s="15"/>
      <c r="DH50" s="15"/>
      <c r="DI50" s="15"/>
      <c r="DJ50" s="15"/>
      <c r="DK50" s="15"/>
      <c r="DL50" s="15"/>
      <c r="DM50" s="184"/>
      <c r="DN50" s="15"/>
      <c r="DO50" s="15"/>
      <c r="DP50" s="15"/>
      <c r="DQ50" s="15"/>
      <c r="DR50" s="15"/>
      <c r="DS50" s="15"/>
      <c r="DT50" s="184"/>
      <c r="DU50" s="15"/>
      <c r="DV50" s="15"/>
      <c r="DW50" s="15"/>
      <c r="DX50" s="15"/>
      <c r="DY50" s="15"/>
      <c r="DZ50" s="15"/>
      <c r="EA50" s="184"/>
      <c r="EB50" s="15"/>
      <c r="EC50" s="15"/>
      <c r="ED50" s="15"/>
      <c r="EE50" s="15"/>
      <c r="EF50" s="15"/>
      <c r="EG50" s="15"/>
      <c r="EH50" s="184"/>
      <c r="EI50" s="15"/>
      <c r="EJ50" s="15"/>
      <c r="EK50" s="15"/>
      <c r="EL50" s="15"/>
      <c r="EM50" s="15"/>
      <c r="EN50" s="15"/>
      <c r="EO50" s="184"/>
      <c r="EP50" s="15"/>
      <c r="EQ50" s="15"/>
      <c r="ER50" s="15"/>
      <c r="ES50" s="15"/>
      <c r="ET50" s="15"/>
      <c r="EU50" s="15"/>
      <c r="EV50" s="184"/>
      <c r="EW50" s="15"/>
      <c r="EX50" s="15"/>
      <c r="EY50" s="15"/>
      <c r="EZ50" s="15"/>
      <c r="FA50" s="15"/>
      <c r="FB50" s="15"/>
      <c r="FC50" s="184"/>
      <c r="FD50" s="15"/>
      <c r="FE50" s="15"/>
      <c r="FF50" s="15"/>
      <c r="FG50" s="15"/>
      <c r="FH50" s="15"/>
      <c r="FI50" s="15"/>
      <c r="FJ50" s="184"/>
      <c r="FK50" s="15"/>
      <c r="FL50" s="15"/>
      <c r="FM50" s="15"/>
      <c r="FN50" s="15"/>
      <c r="FO50" s="15"/>
      <c r="FP50" s="15"/>
      <c r="FQ50" s="184"/>
      <c r="FR50" s="15"/>
      <c r="FS50" s="15"/>
      <c r="FT50" s="15"/>
      <c r="FU50" s="15"/>
      <c r="FV50" s="15"/>
      <c r="FW50" s="178"/>
      <c r="FX50" s="184"/>
      <c r="FY50" s="181"/>
      <c r="FZ50" s="15"/>
      <c r="GA50" s="15"/>
      <c r="GB50" s="15"/>
      <c r="GC50" s="15"/>
      <c r="GD50" s="15"/>
      <c r="GE50" s="184"/>
      <c r="GF50" s="15"/>
      <c r="GG50" s="15"/>
      <c r="GH50" s="15"/>
      <c r="GI50" s="15"/>
      <c r="GJ50" s="15"/>
      <c r="GK50" s="15"/>
      <c r="GL50" s="184"/>
      <c r="GM50" s="15"/>
      <c r="GN50" s="15"/>
      <c r="GO50" s="15"/>
      <c r="GP50" s="15"/>
      <c r="GQ50" s="15"/>
      <c r="GR50" s="15"/>
      <c r="GS50" s="184"/>
      <c r="GT50" s="15"/>
      <c r="GU50" s="15"/>
      <c r="GV50" s="15"/>
      <c r="GW50" s="15"/>
      <c r="GX50" s="15"/>
      <c r="GY50" s="15"/>
      <c r="GZ50" s="184"/>
      <c r="HA50" s="15"/>
      <c r="HB50" s="15"/>
      <c r="HC50" s="15"/>
      <c r="HD50" s="15"/>
      <c r="HE50" s="15"/>
      <c r="HF50" s="15"/>
      <c r="HG50" s="184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</row>
    <row r="51" spans="2:390" ht="19.5" customHeight="1" x14ac:dyDescent="0.45">
      <c r="B51" s="1">
        <f t="shared" si="97"/>
        <v>2</v>
      </c>
      <c r="C51" s="1">
        <f>+C47+1</f>
        <v>2</v>
      </c>
      <c r="D51" s="1">
        <v>0</v>
      </c>
      <c r="E51" s="93" t="str">
        <f t="shared" si="96"/>
        <v>2.2.0</v>
      </c>
      <c r="F51" s="99" t="s">
        <v>13</v>
      </c>
      <c r="G51" s="99"/>
      <c r="H51" s="100"/>
      <c r="I51" s="100"/>
      <c r="J51" s="101"/>
      <c r="K51" s="101"/>
      <c r="L51" s="111"/>
      <c r="M51" s="99"/>
      <c r="N51" s="99"/>
      <c r="O51" s="95">
        <f>SUM(O52)</f>
        <v>0</v>
      </c>
      <c r="P51" s="95"/>
      <c r="Q51" s="95"/>
      <c r="R51" s="168"/>
      <c r="S51" s="98"/>
      <c r="T51" s="163" t="str">
        <f t="shared" si="84"/>
        <v/>
      </c>
      <c r="U51" s="164">
        <v>1</v>
      </c>
      <c r="V51" s="200">
        <f t="shared" si="85"/>
        <v>0</v>
      </c>
      <c r="W51" s="158"/>
      <c r="X51" s="159"/>
      <c r="Y51" s="199"/>
      <c r="Z51" s="36"/>
      <c r="AA51" s="15"/>
      <c r="AB51" s="15"/>
      <c r="AC51" s="15"/>
      <c r="AD51" s="15"/>
      <c r="AE51" s="15"/>
      <c r="AF51" s="15"/>
      <c r="AG51" s="184"/>
      <c r="AH51" s="15"/>
      <c r="AI51" s="15"/>
      <c r="AJ51" s="15"/>
      <c r="AK51" s="15"/>
      <c r="AL51" s="15"/>
      <c r="AM51" s="15"/>
      <c r="AN51" s="184"/>
      <c r="AO51" s="15"/>
      <c r="AP51" s="15"/>
      <c r="AQ51" s="15"/>
      <c r="AR51" s="15"/>
      <c r="AS51" s="15"/>
      <c r="AT51" s="15"/>
      <c r="AU51" s="184"/>
      <c r="AV51" s="15"/>
      <c r="AW51" s="15"/>
      <c r="AX51" s="15"/>
      <c r="AY51" s="15"/>
      <c r="AZ51" s="15"/>
      <c r="BA51" s="15"/>
      <c r="BB51" s="184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84"/>
      <c r="CE51" s="15"/>
      <c r="CF51" s="15"/>
      <c r="CG51" s="15"/>
      <c r="CH51" s="15"/>
      <c r="CI51" s="15"/>
      <c r="CJ51" s="15"/>
      <c r="CK51" s="184"/>
      <c r="CL51" s="15"/>
      <c r="CM51" s="15"/>
      <c r="CN51" s="15"/>
      <c r="CO51" s="15"/>
      <c r="CP51" s="15"/>
      <c r="CQ51" s="15"/>
      <c r="CR51" s="184"/>
      <c r="CS51" s="15"/>
      <c r="CT51" s="15"/>
      <c r="CU51" s="15"/>
      <c r="CV51" s="15"/>
      <c r="CW51" s="15"/>
      <c r="CX51" s="15"/>
      <c r="CY51" s="184"/>
      <c r="CZ51" s="15"/>
      <c r="DA51" s="15"/>
      <c r="DB51" s="15"/>
      <c r="DC51" s="15"/>
      <c r="DD51" s="15"/>
      <c r="DE51" s="15"/>
      <c r="DF51" s="184"/>
      <c r="DG51" s="15"/>
      <c r="DH51" s="15"/>
      <c r="DI51" s="15"/>
      <c r="DJ51" s="15"/>
      <c r="DK51" s="15"/>
      <c r="DL51" s="15"/>
      <c r="DM51" s="184"/>
      <c r="DN51" s="15"/>
      <c r="DO51" s="15"/>
      <c r="DP51" s="15"/>
      <c r="DQ51" s="15"/>
      <c r="DR51" s="15"/>
      <c r="DS51" s="15"/>
      <c r="DT51" s="184"/>
      <c r="DU51" s="15"/>
      <c r="DV51" s="15"/>
      <c r="DW51" s="15"/>
      <c r="DX51" s="15"/>
      <c r="DY51" s="15"/>
      <c r="DZ51" s="15"/>
      <c r="EA51" s="184"/>
      <c r="EB51" s="15"/>
      <c r="EC51" s="15"/>
      <c r="ED51" s="15"/>
      <c r="EE51" s="15"/>
      <c r="EF51" s="15"/>
      <c r="EG51" s="15"/>
      <c r="EH51" s="184"/>
      <c r="EI51" s="15"/>
      <c r="EJ51" s="15"/>
      <c r="EK51" s="15"/>
      <c r="EL51" s="15"/>
      <c r="EM51" s="15"/>
      <c r="EN51" s="15"/>
      <c r="EO51" s="184"/>
      <c r="EP51" s="15"/>
      <c r="EQ51" s="15"/>
      <c r="ER51" s="15"/>
      <c r="ES51" s="15"/>
      <c r="ET51" s="15"/>
      <c r="EU51" s="15"/>
      <c r="EV51" s="184"/>
      <c r="EW51" s="15"/>
      <c r="EX51" s="15"/>
      <c r="EY51" s="15"/>
      <c r="EZ51" s="15"/>
      <c r="FA51" s="15"/>
      <c r="FB51" s="15"/>
      <c r="FC51" s="184"/>
      <c r="FD51" s="15"/>
      <c r="FE51" s="15"/>
      <c r="FF51" s="15"/>
      <c r="FG51" s="15"/>
      <c r="FH51" s="15"/>
      <c r="FI51" s="15"/>
      <c r="FJ51" s="184"/>
      <c r="FK51" s="15"/>
      <c r="FL51" s="15"/>
      <c r="FM51" s="15"/>
      <c r="FN51" s="15"/>
      <c r="FO51" s="15"/>
      <c r="FP51" s="15"/>
      <c r="FQ51" s="184"/>
      <c r="FR51" s="15"/>
      <c r="FS51" s="15"/>
      <c r="FT51" s="15"/>
      <c r="FU51" s="15"/>
      <c r="FV51" s="15"/>
      <c r="FW51" s="178"/>
      <c r="FX51" s="184"/>
      <c r="FY51" s="181"/>
      <c r="FZ51" s="15"/>
      <c r="GA51" s="15"/>
      <c r="GB51" s="15"/>
      <c r="GC51" s="15"/>
      <c r="GD51" s="15"/>
      <c r="GE51" s="184"/>
      <c r="GF51" s="15"/>
      <c r="GG51" s="15"/>
      <c r="GH51" s="15"/>
      <c r="GI51" s="15"/>
      <c r="GJ51" s="15"/>
      <c r="GK51" s="15"/>
      <c r="GL51" s="184"/>
      <c r="GM51" s="15"/>
      <c r="GN51" s="15"/>
      <c r="GO51" s="15"/>
      <c r="GP51" s="15"/>
      <c r="GQ51" s="15"/>
      <c r="GR51" s="15"/>
      <c r="GS51" s="184"/>
      <c r="GT51" s="15"/>
      <c r="GU51" s="15"/>
      <c r="GV51" s="15"/>
      <c r="GW51" s="15"/>
      <c r="GX51" s="15"/>
      <c r="GY51" s="15"/>
      <c r="GZ51" s="184"/>
      <c r="HA51" s="15"/>
      <c r="HB51" s="15"/>
      <c r="HC51" s="15"/>
      <c r="HD51" s="15"/>
      <c r="HE51" s="15"/>
      <c r="HF51" s="15"/>
      <c r="HG51" s="184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</row>
    <row r="52" spans="2:390" ht="19.5" customHeight="1" x14ac:dyDescent="0.45">
      <c r="B52" s="1">
        <f t="shared" si="97"/>
        <v>2</v>
      </c>
      <c r="C52" s="1">
        <f>+C51</f>
        <v>2</v>
      </c>
      <c r="D52" s="1">
        <v>1</v>
      </c>
      <c r="E52" s="59" t="str">
        <f t="shared" si="96"/>
        <v>2.2.1</v>
      </c>
      <c r="F52" s="23" t="s">
        <v>53</v>
      </c>
      <c r="G52" s="191">
        <v>2.2999999999999998</v>
      </c>
      <c r="H52" s="52" t="s">
        <v>117</v>
      </c>
      <c r="I52" s="52" t="s">
        <v>156</v>
      </c>
      <c r="J52" s="52">
        <v>45</v>
      </c>
      <c r="K52" s="52">
        <v>45</v>
      </c>
      <c r="L52" s="53">
        <f>+J52-K52</f>
        <v>0</v>
      </c>
      <c r="M52" s="52">
        <v>0</v>
      </c>
      <c r="N52" s="52">
        <v>0</v>
      </c>
      <c r="O52" s="51">
        <f>+N52*M52</f>
        <v>0</v>
      </c>
      <c r="P52" s="51">
        <f>+SUM(AA52:NZ52)</f>
        <v>0</v>
      </c>
      <c r="Q52" s="51">
        <f>+O52-P52</f>
        <v>0</v>
      </c>
      <c r="R52" s="19"/>
      <c r="S52" s="20"/>
      <c r="T52" s="21" t="str">
        <f t="shared" si="84"/>
        <v/>
      </c>
      <c r="U52" s="22">
        <f>+K52/J52</f>
        <v>1</v>
      </c>
      <c r="V52" s="199">
        <f t="shared" si="85"/>
        <v>0</v>
      </c>
      <c r="W52" s="158"/>
      <c r="X52" s="159"/>
      <c r="Y52" s="199">
        <f t="shared" si="86"/>
        <v>0</v>
      </c>
      <c r="Z52" s="35"/>
      <c r="AA52" s="15"/>
      <c r="AB52" s="15"/>
      <c r="AC52" s="15"/>
      <c r="AD52" s="15"/>
      <c r="AE52" s="15"/>
      <c r="AF52" s="15"/>
      <c r="AG52" s="184"/>
      <c r="AH52" s="15"/>
      <c r="AI52" s="15"/>
      <c r="AJ52" s="15"/>
      <c r="AK52" s="15"/>
      <c r="AL52" s="15"/>
      <c r="AM52" s="15"/>
      <c r="AN52" s="184"/>
      <c r="AO52" s="15"/>
      <c r="AP52" s="15"/>
      <c r="AQ52" s="15"/>
      <c r="AR52" s="15"/>
      <c r="AS52" s="15"/>
      <c r="AT52" s="15"/>
      <c r="AU52" s="184"/>
      <c r="AV52" s="15"/>
      <c r="AW52" s="15"/>
      <c r="AX52" s="15"/>
      <c r="AY52" s="15"/>
      <c r="AZ52" s="15"/>
      <c r="BA52" s="15"/>
      <c r="BB52" s="184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84"/>
      <c r="CE52" s="15"/>
      <c r="CF52" s="15"/>
      <c r="CG52" s="15"/>
      <c r="CH52" s="15"/>
      <c r="CI52" s="15"/>
      <c r="CJ52" s="15"/>
      <c r="CK52" s="184"/>
      <c r="CL52" s="15"/>
      <c r="CM52" s="15"/>
      <c r="CN52" s="15"/>
      <c r="CO52" s="15"/>
      <c r="CP52" s="15"/>
      <c r="CQ52" s="15"/>
      <c r="CR52" s="184"/>
      <c r="CS52" s="15"/>
      <c r="CT52" s="15"/>
      <c r="CU52" s="15"/>
      <c r="CV52" s="15"/>
      <c r="CW52" s="15"/>
      <c r="CX52" s="15"/>
      <c r="CY52" s="184"/>
      <c r="CZ52" s="15"/>
      <c r="DA52" s="15"/>
      <c r="DB52" s="15"/>
      <c r="DC52" s="15"/>
      <c r="DD52" s="15"/>
      <c r="DE52" s="15"/>
      <c r="DF52" s="184"/>
      <c r="DG52" s="15"/>
      <c r="DH52" s="15"/>
      <c r="DI52" s="15"/>
      <c r="DJ52" s="15"/>
      <c r="DK52" s="15"/>
      <c r="DL52" s="15"/>
      <c r="DM52" s="184"/>
      <c r="DN52" s="15"/>
      <c r="DO52" s="15"/>
      <c r="DP52" s="15"/>
      <c r="DQ52" s="15"/>
      <c r="DR52" s="15"/>
      <c r="DS52" s="15"/>
      <c r="DT52" s="184"/>
      <c r="DU52" s="15"/>
      <c r="DV52" s="15"/>
      <c r="DW52" s="15"/>
      <c r="DX52" s="15"/>
      <c r="DY52" s="15"/>
      <c r="DZ52" s="15"/>
      <c r="EA52" s="184"/>
      <c r="EB52" s="15"/>
      <c r="EC52" s="15"/>
      <c r="ED52" s="15"/>
      <c r="EE52" s="15"/>
      <c r="EF52" s="15"/>
      <c r="EG52" s="15"/>
      <c r="EH52" s="184"/>
      <c r="EI52" s="15"/>
      <c r="EJ52" s="15"/>
      <c r="EK52" s="15"/>
      <c r="EL52" s="15"/>
      <c r="EM52" s="15"/>
      <c r="EN52" s="15"/>
      <c r="EO52" s="184"/>
      <c r="EP52" s="15"/>
      <c r="EQ52" s="15"/>
      <c r="ER52" s="15"/>
      <c r="ES52" s="15"/>
      <c r="ET52" s="15"/>
      <c r="EU52" s="15"/>
      <c r="EV52" s="184"/>
      <c r="EW52" s="15"/>
      <c r="EX52" s="15"/>
      <c r="EY52" s="15"/>
      <c r="EZ52" s="15"/>
      <c r="FA52" s="15"/>
      <c r="FB52" s="15"/>
      <c r="FC52" s="184"/>
      <c r="FD52" s="15"/>
      <c r="FE52" s="15"/>
      <c r="FF52" s="15"/>
      <c r="FG52" s="15"/>
      <c r="FH52" s="15"/>
      <c r="FI52" s="15"/>
      <c r="FJ52" s="184"/>
      <c r="FK52" s="15"/>
      <c r="FL52" s="15"/>
      <c r="FM52" s="15"/>
      <c r="FN52" s="15"/>
      <c r="FO52" s="15"/>
      <c r="FP52" s="15"/>
      <c r="FQ52" s="184"/>
      <c r="FR52" s="15"/>
      <c r="FS52" s="15"/>
      <c r="FT52" s="15"/>
      <c r="FU52" s="15"/>
      <c r="FV52" s="15"/>
      <c r="FW52" s="178"/>
      <c r="FX52" s="184"/>
      <c r="FY52" s="181"/>
      <c r="FZ52" s="15"/>
      <c r="GA52" s="15"/>
      <c r="GB52" s="15"/>
      <c r="GC52" s="15"/>
      <c r="GD52" s="15"/>
      <c r="GE52" s="184"/>
      <c r="GF52" s="15"/>
      <c r="GG52" s="15"/>
      <c r="GH52" s="15"/>
      <c r="GI52" s="15"/>
      <c r="GJ52" s="15"/>
      <c r="GK52" s="15"/>
      <c r="GL52" s="184"/>
      <c r="GM52" s="15"/>
      <c r="GN52" s="15"/>
      <c r="GO52" s="15"/>
      <c r="GP52" s="15"/>
      <c r="GQ52" s="15"/>
      <c r="GR52" s="15"/>
      <c r="GS52" s="184"/>
      <c r="GT52" s="15"/>
      <c r="GU52" s="15"/>
      <c r="GV52" s="15"/>
      <c r="GW52" s="15"/>
      <c r="GX52" s="15"/>
      <c r="GY52" s="15"/>
      <c r="GZ52" s="184"/>
      <c r="HA52" s="15"/>
      <c r="HB52" s="15"/>
      <c r="HC52" s="15"/>
      <c r="HD52" s="15"/>
      <c r="HE52" s="15"/>
      <c r="HF52" s="15"/>
      <c r="HG52" s="184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</row>
    <row r="53" spans="2:390" ht="19.5" customHeight="1" x14ac:dyDescent="0.45">
      <c r="B53" s="1">
        <f t="shared" si="97"/>
        <v>2</v>
      </c>
      <c r="C53" s="1">
        <f>+C51+1</f>
        <v>3</v>
      </c>
      <c r="D53" s="1">
        <v>0</v>
      </c>
      <c r="E53" s="93" t="str">
        <f t="shared" si="96"/>
        <v>2.3.0</v>
      </c>
      <c r="F53" s="99" t="s">
        <v>14</v>
      </c>
      <c r="G53" s="99"/>
      <c r="H53" s="100"/>
      <c r="I53" s="100"/>
      <c r="J53" s="101"/>
      <c r="K53" s="101"/>
      <c r="L53" s="111"/>
      <c r="M53" s="99"/>
      <c r="N53" s="99"/>
      <c r="O53" s="95">
        <f>SUM(O54:O55)</f>
        <v>102</v>
      </c>
      <c r="P53" s="95"/>
      <c r="Q53" s="95"/>
      <c r="R53" s="168"/>
      <c r="S53" s="98"/>
      <c r="T53" s="163" t="str">
        <f t="shared" si="84"/>
        <v/>
      </c>
      <c r="U53" s="164">
        <f>+SUMPRODUCT(U54:U56,O54:O56)/O53</f>
        <v>0.35294117647058826</v>
      </c>
      <c r="V53" s="200">
        <f t="shared" si="85"/>
        <v>36</v>
      </c>
      <c r="W53" s="158">
        <f>SUMIFS($AA53:$NZ53, $AA$8:$NZ$8, $W$13)/$O53</f>
        <v>0</v>
      </c>
      <c r="X53" s="159">
        <f t="shared" ref="X53:X60" si="98">SUMIF($AA$9:$NZ$9, "&lt;=" &amp; $W$11,$AA53:$NZ53)/$O53</f>
        <v>0</v>
      </c>
      <c r="Y53" s="199">
        <f t="shared" si="86"/>
        <v>0</v>
      </c>
      <c r="Z53" s="36"/>
      <c r="AA53" s="15"/>
      <c r="AB53" s="15"/>
      <c r="AC53" s="15"/>
      <c r="AD53" s="15"/>
      <c r="AE53" s="15"/>
      <c r="AF53" s="15"/>
      <c r="AG53" s="184"/>
      <c r="AH53" s="15"/>
      <c r="AI53" s="15"/>
      <c r="AJ53" s="15"/>
      <c r="AK53" s="15"/>
      <c r="AL53" s="15"/>
      <c r="AM53" s="15"/>
      <c r="AN53" s="184"/>
      <c r="AO53" s="15"/>
      <c r="AP53" s="15"/>
      <c r="AQ53" s="15"/>
      <c r="AR53" s="15"/>
      <c r="AS53" s="15"/>
      <c r="AT53" s="15"/>
      <c r="AU53" s="184"/>
      <c r="AV53" s="15"/>
      <c r="AW53" s="15"/>
      <c r="AX53" s="15"/>
      <c r="AY53" s="15"/>
      <c r="AZ53" s="15"/>
      <c r="BA53" s="15"/>
      <c r="BB53" s="184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84"/>
      <c r="CE53" s="15"/>
      <c r="CF53" s="15"/>
      <c r="CG53" s="15"/>
      <c r="CH53" s="15"/>
      <c r="CI53" s="15"/>
      <c r="CJ53" s="15"/>
      <c r="CK53" s="184"/>
      <c r="CL53" s="15"/>
      <c r="CM53" s="15"/>
      <c r="CN53" s="15"/>
      <c r="CO53" s="15"/>
      <c r="CP53" s="15"/>
      <c r="CQ53" s="15"/>
      <c r="CR53" s="184"/>
      <c r="CS53" s="15"/>
      <c r="CT53" s="15"/>
      <c r="CU53" s="15"/>
      <c r="CV53" s="15"/>
      <c r="CW53" s="15"/>
      <c r="CX53" s="15"/>
      <c r="CY53" s="184"/>
      <c r="CZ53" s="15"/>
      <c r="DA53" s="15"/>
      <c r="DB53" s="15"/>
      <c r="DC53" s="15"/>
      <c r="DD53" s="15"/>
      <c r="DE53" s="15"/>
      <c r="DF53" s="184"/>
      <c r="DG53" s="15"/>
      <c r="DH53" s="15"/>
      <c r="DI53" s="15"/>
      <c r="DJ53" s="15"/>
      <c r="DK53" s="15"/>
      <c r="DL53" s="15"/>
      <c r="DM53" s="184"/>
      <c r="DN53" s="15"/>
      <c r="DO53" s="15"/>
      <c r="DP53" s="15"/>
      <c r="DQ53" s="15"/>
      <c r="DR53" s="15"/>
      <c r="DS53" s="15"/>
      <c r="DT53" s="184"/>
      <c r="DU53" s="15"/>
      <c r="DV53" s="15"/>
      <c r="DW53" s="15"/>
      <c r="DX53" s="15"/>
      <c r="DY53" s="15"/>
      <c r="DZ53" s="15"/>
      <c r="EA53" s="184"/>
      <c r="EB53" s="15"/>
      <c r="EC53" s="15"/>
      <c r="ED53" s="15"/>
      <c r="EE53" s="15"/>
      <c r="EF53" s="15"/>
      <c r="EG53" s="15"/>
      <c r="EH53" s="184"/>
      <c r="EI53" s="15"/>
      <c r="EJ53" s="15"/>
      <c r="EK53" s="15"/>
      <c r="EL53" s="15"/>
      <c r="EM53" s="15"/>
      <c r="EN53" s="15"/>
      <c r="EO53" s="184"/>
      <c r="EP53" s="15"/>
      <c r="EQ53" s="15"/>
      <c r="ER53" s="15"/>
      <c r="ES53" s="15"/>
      <c r="ET53" s="15"/>
      <c r="EU53" s="15"/>
      <c r="EV53" s="184"/>
      <c r="EW53" s="15"/>
      <c r="EX53" s="15"/>
      <c r="EY53" s="15"/>
      <c r="EZ53" s="15"/>
      <c r="FA53" s="15"/>
      <c r="FB53" s="15"/>
      <c r="FC53" s="184"/>
      <c r="FD53" s="15"/>
      <c r="FE53" s="15"/>
      <c r="FF53" s="15"/>
      <c r="FG53" s="15"/>
      <c r="FH53" s="15"/>
      <c r="FI53" s="15"/>
      <c r="FJ53" s="184"/>
      <c r="FK53" s="15"/>
      <c r="FL53" s="15"/>
      <c r="FM53" s="15"/>
      <c r="FN53" s="15"/>
      <c r="FO53" s="15"/>
      <c r="FP53" s="15"/>
      <c r="FQ53" s="184"/>
      <c r="FR53" s="15"/>
      <c r="FS53" s="15"/>
      <c r="FT53" s="15"/>
      <c r="FU53" s="15"/>
      <c r="FV53" s="15"/>
      <c r="FW53" s="178"/>
      <c r="FX53" s="184"/>
      <c r="FY53" s="181"/>
      <c r="FZ53" s="15"/>
      <c r="GA53" s="15"/>
      <c r="GB53" s="15"/>
      <c r="GC53" s="15"/>
      <c r="GD53" s="15"/>
      <c r="GE53" s="184"/>
      <c r="GF53" s="15"/>
      <c r="GG53" s="15"/>
      <c r="GH53" s="15"/>
      <c r="GI53" s="15"/>
      <c r="GJ53" s="15"/>
      <c r="GK53" s="15"/>
      <c r="GL53" s="184"/>
      <c r="GM53" s="15"/>
      <c r="GN53" s="15"/>
      <c r="GO53" s="15"/>
      <c r="GP53" s="15"/>
      <c r="GQ53" s="15"/>
      <c r="GR53" s="15"/>
      <c r="GS53" s="184"/>
      <c r="GT53" s="15"/>
      <c r="GU53" s="15"/>
      <c r="GV53" s="15"/>
      <c r="GW53" s="15"/>
      <c r="GX53" s="15"/>
      <c r="GY53" s="15"/>
      <c r="GZ53" s="184"/>
      <c r="HA53" s="15"/>
      <c r="HB53" s="15"/>
      <c r="HC53" s="15"/>
      <c r="HD53" s="15"/>
      <c r="HE53" s="15"/>
      <c r="HF53" s="15"/>
      <c r="HG53" s="184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  <c r="MG53" s="15"/>
      <c r="MH53" s="15"/>
      <c r="MI53" s="15"/>
      <c r="MJ53" s="15"/>
      <c r="MK53" s="15"/>
      <c r="ML53" s="15"/>
      <c r="MM53" s="15"/>
      <c r="MN53" s="15"/>
      <c r="MO53" s="15"/>
      <c r="MP53" s="15"/>
      <c r="MQ53" s="15"/>
      <c r="MR53" s="15"/>
      <c r="MS53" s="15"/>
      <c r="MT53" s="15"/>
      <c r="MU53" s="15"/>
      <c r="MV53" s="15"/>
      <c r="MW53" s="15"/>
      <c r="MX53" s="15"/>
      <c r="MY53" s="15"/>
      <c r="MZ53" s="15"/>
      <c r="NA53" s="15"/>
      <c r="NB53" s="15"/>
      <c r="NC53" s="15"/>
      <c r="ND53" s="15"/>
      <c r="NE53" s="15"/>
      <c r="NF53" s="15"/>
      <c r="NG53" s="15"/>
      <c r="NH53" s="15"/>
      <c r="NI53" s="15"/>
      <c r="NJ53" s="15"/>
      <c r="NK53" s="15"/>
      <c r="NL53" s="15"/>
      <c r="NM53" s="15"/>
      <c r="NN53" s="15"/>
      <c r="NO53" s="15"/>
      <c r="NP53" s="15"/>
      <c r="NQ53" s="15"/>
      <c r="NR53" s="15"/>
      <c r="NS53" s="15"/>
      <c r="NT53" s="15"/>
      <c r="NU53" s="15"/>
      <c r="NV53" s="15"/>
      <c r="NW53" s="15"/>
      <c r="NX53" s="15"/>
      <c r="NY53" s="15"/>
      <c r="NZ53" s="15"/>
    </row>
    <row r="54" spans="2:390" ht="19.5" customHeight="1" x14ac:dyDescent="0.45">
      <c r="B54" s="1">
        <f t="shared" si="97"/>
        <v>2</v>
      </c>
      <c r="C54" s="1">
        <f>+C53</f>
        <v>3</v>
      </c>
      <c r="D54" s="1">
        <v>1</v>
      </c>
      <c r="E54" s="59" t="str">
        <f t="shared" si="96"/>
        <v>2.3.1</v>
      </c>
      <c r="F54" s="23" t="s">
        <v>23</v>
      </c>
      <c r="G54" s="191" t="s">
        <v>145</v>
      </c>
      <c r="H54" s="52" t="s">
        <v>117</v>
      </c>
      <c r="I54" s="52" t="s">
        <v>158</v>
      </c>
      <c r="J54" s="52">
        <v>5</v>
      </c>
      <c r="K54" s="52">
        <v>0</v>
      </c>
      <c r="L54" s="53">
        <f>+J54-K54</f>
        <v>5</v>
      </c>
      <c r="M54" s="52">
        <v>4</v>
      </c>
      <c r="N54" s="52">
        <v>3</v>
      </c>
      <c r="O54" s="51">
        <f>+N54*M54</f>
        <v>12</v>
      </c>
      <c r="P54" s="51">
        <f>+SUM(AA54:NZ54)</f>
        <v>12</v>
      </c>
      <c r="Q54" s="51">
        <f>+O54-P54</f>
        <v>0</v>
      </c>
      <c r="R54" s="19">
        <v>46100</v>
      </c>
      <c r="S54" s="20">
        <v>2</v>
      </c>
      <c r="T54" s="21">
        <f t="shared" si="84"/>
        <v>46101</v>
      </c>
      <c r="U54" s="22">
        <f>+K54/J54</f>
        <v>0</v>
      </c>
      <c r="V54" s="199">
        <f t="shared" si="85"/>
        <v>0</v>
      </c>
      <c r="W54" s="158">
        <f>SUMIFS($AA54:$NZ54, $AA$8:$NZ$8, $W$13)/$O54</f>
        <v>0</v>
      </c>
      <c r="X54" s="159">
        <f t="shared" si="98"/>
        <v>0</v>
      </c>
      <c r="Y54" s="199">
        <f t="shared" si="86"/>
        <v>0</v>
      </c>
      <c r="Z54" s="36"/>
      <c r="AA54" s="15"/>
      <c r="AB54" s="15"/>
      <c r="AC54" s="15"/>
      <c r="AD54" s="15"/>
      <c r="AE54" s="15"/>
      <c r="AF54" s="15"/>
      <c r="AG54" s="184"/>
      <c r="AH54" s="15"/>
      <c r="AI54" s="15"/>
      <c r="AJ54" s="15"/>
      <c r="AK54" s="15"/>
      <c r="AL54" s="15"/>
      <c r="AM54" s="15"/>
      <c r="AN54" s="184"/>
      <c r="AO54" s="15"/>
      <c r="AP54" s="15"/>
      <c r="AQ54" s="15"/>
      <c r="AR54" s="15"/>
      <c r="AS54" s="15"/>
      <c r="AT54" s="15"/>
      <c r="AU54" s="184"/>
      <c r="AV54" s="15"/>
      <c r="AW54" s="15"/>
      <c r="AX54" s="15"/>
      <c r="AY54" s="15"/>
      <c r="AZ54" s="15"/>
      <c r="BA54" s="15"/>
      <c r="BB54" s="184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84"/>
      <c r="CE54" s="15"/>
      <c r="CF54" s="15"/>
      <c r="CG54" s="15"/>
      <c r="CH54" s="15"/>
      <c r="CI54" s="15"/>
      <c r="CJ54" s="15"/>
      <c r="CK54" s="184"/>
      <c r="CL54" s="15"/>
      <c r="CM54" s="15"/>
      <c r="CN54" s="15"/>
      <c r="CO54" s="15"/>
      <c r="CP54" s="15"/>
      <c r="CQ54" s="15"/>
      <c r="CR54" s="184"/>
      <c r="CS54" s="15"/>
      <c r="CT54" s="15"/>
      <c r="CU54" s="15"/>
      <c r="CV54" s="15"/>
      <c r="CW54" s="15"/>
      <c r="CX54" s="15"/>
      <c r="CY54" s="184"/>
      <c r="CZ54" s="15"/>
      <c r="DA54" s="15"/>
      <c r="DB54" s="15"/>
      <c r="DC54" s="15"/>
      <c r="DD54" s="15"/>
      <c r="DE54" s="15"/>
      <c r="DF54" s="184"/>
      <c r="DG54" s="15"/>
      <c r="DH54" s="15"/>
      <c r="DI54" s="15"/>
      <c r="DJ54" s="15"/>
      <c r="DK54" s="15"/>
      <c r="DL54" s="15"/>
      <c r="DM54" s="184"/>
      <c r="DN54" s="15"/>
      <c r="DO54" s="15"/>
      <c r="DP54" s="15"/>
      <c r="DQ54" s="15"/>
      <c r="DR54" s="15"/>
      <c r="DS54" s="15"/>
      <c r="DT54" s="184"/>
      <c r="DU54" s="15"/>
      <c r="DV54" s="15"/>
      <c r="DW54" s="15"/>
      <c r="DX54" s="15"/>
      <c r="DY54" s="15"/>
      <c r="DZ54" s="15"/>
      <c r="EA54" s="184"/>
      <c r="EB54" s="15"/>
      <c r="EC54" s="15"/>
      <c r="ED54" s="15"/>
      <c r="EE54" s="15"/>
      <c r="EF54" s="15"/>
      <c r="EG54" s="15"/>
      <c r="EH54" s="184"/>
      <c r="EI54" s="15"/>
      <c r="EJ54" s="15"/>
      <c r="EK54" s="15"/>
      <c r="EL54" s="15">
        <v>4</v>
      </c>
      <c r="EM54" s="15">
        <v>4</v>
      </c>
      <c r="EN54" s="15">
        <v>4</v>
      </c>
      <c r="EO54" s="184"/>
      <c r="EP54" s="15"/>
      <c r="EQ54" s="15"/>
      <c r="ER54" s="15"/>
      <c r="ES54" s="15"/>
      <c r="ET54" s="15"/>
      <c r="EU54" s="15"/>
      <c r="EV54" s="184"/>
      <c r="EW54" s="15"/>
      <c r="EX54" s="15"/>
      <c r="EY54" s="15"/>
      <c r="EZ54" s="15"/>
      <c r="FA54" s="15"/>
      <c r="FB54" s="15"/>
      <c r="FC54" s="184"/>
      <c r="FD54" s="15"/>
      <c r="FE54" s="15"/>
      <c r="FF54" s="15"/>
      <c r="FG54" s="15"/>
      <c r="FH54" s="15"/>
      <c r="FI54" s="15"/>
      <c r="FJ54" s="184"/>
      <c r="FK54" s="15"/>
      <c r="FL54" s="15"/>
      <c r="FM54" s="15"/>
      <c r="FN54" s="15"/>
      <c r="FO54" s="15"/>
      <c r="FP54" s="15"/>
      <c r="FQ54" s="184"/>
      <c r="FR54" s="15"/>
      <c r="FS54" s="15"/>
      <c r="FT54" s="15"/>
      <c r="FU54" s="15"/>
      <c r="FV54" s="15"/>
      <c r="FW54" s="178"/>
      <c r="FX54" s="184"/>
      <c r="FY54" s="181"/>
      <c r="FZ54" s="15"/>
      <c r="GA54" s="15"/>
      <c r="GB54" s="15"/>
      <c r="GC54" s="15"/>
      <c r="GD54" s="15"/>
      <c r="GE54" s="184"/>
      <c r="GF54" s="15"/>
      <c r="GG54" s="15"/>
      <c r="GH54" s="15"/>
      <c r="GI54" s="15"/>
      <c r="GJ54" s="15"/>
      <c r="GK54" s="15"/>
      <c r="GL54" s="184"/>
      <c r="GM54" s="15"/>
      <c r="GN54" s="15"/>
      <c r="GO54" s="15"/>
      <c r="GP54" s="15"/>
      <c r="GQ54" s="15"/>
      <c r="GR54" s="15"/>
      <c r="GS54" s="184"/>
      <c r="GT54" s="15"/>
      <c r="GU54" s="15"/>
      <c r="GV54" s="15"/>
      <c r="GW54" s="15"/>
      <c r="GX54" s="15"/>
      <c r="GY54" s="15"/>
      <c r="GZ54" s="184"/>
      <c r="HA54" s="15"/>
      <c r="HB54" s="15"/>
      <c r="HC54" s="15"/>
      <c r="HD54" s="15"/>
      <c r="HE54" s="15"/>
      <c r="HF54" s="15"/>
      <c r="HG54" s="184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</row>
    <row r="55" spans="2:390" ht="19.5" customHeight="1" x14ac:dyDescent="0.45">
      <c r="B55" s="1">
        <f t="shared" si="97"/>
        <v>2</v>
      </c>
      <c r="C55" s="1">
        <f>+C54</f>
        <v>3</v>
      </c>
      <c r="D55" s="1">
        <f>+D54+1</f>
        <v>2</v>
      </c>
      <c r="E55" s="59" t="str">
        <f t="shared" si="96"/>
        <v>2.3.2</v>
      </c>
      <c r="F55" s="23" t="s">
        <v>132</v>
      </c>
      <c r="G55" s="191">
        <v>2.2999999999999998</v>
      </c>
      <c r="H55" s="52" t="s">
        <v>117</v>
      </c>
      <c r="I55" s="52" t="s">
        <v>156</v>
      </c>
      <c r="J55" s="52">
        <v>6</v>
      </c>
      <c r="K55" s="52">
        <v>0</v>
      </c>
      <c r="L55" s="53">
        <f>+J55-K55</f>
        <v>6</v>
      </c>
      <c r="M55" s="52">
        <v>3</v>
      </c>
      <c r="N55" s="52">
        <v>30</v>
      </c>
      <c r="O55" s="51">
        <f>+N55*M55</f>
        <v>90</v>
      </c>
      <c r="P55" s="51">
        <f>+SUM(AA55:NZ55)</f>
        <v>90</v>
      </c>
      <c r="Q55" s="51">
        <f>+O55-P55</f>
        <v>0</v>
      </c>
      <c r="R55" s="19">
        <v>46065</v>
      </c>
      <c r="S55" s="20">
        <v>25</v>
      </c>
      <c r="T55" s="21">
        <f t="shared" si="84"/>
        <v>46099</v>
      </c>
      <c r="U55" s="22">
        <f>+K55/J55</f>
        <v>0</v>
      </c>
      <c r="V55" s="199">
        <f t="shared" si="85"/>
        <v>0</v>
      </c>
      <c r="W55" s="158">
        <f>SUMIFS($AA55:$NZ55, $AA$8:$NZ$8, $W$13)/$O55</f>
        <v>0</v>
      </c>
      <c r="X55" s="159">
        <f t="shared" si="98"/>
        <v>0</v>
      </c>
      <c r="Y55" s="199">
        <f t="shared" si="86"/>
        <v>0</v>
      </c>
      <c r="Z55" s="36"/>
      <c r="AA55" s="15"/>
      <c r="AB55" s="15"/>
      <c r="AC55" s="15"/>
      <c r="AD55" s="15"/>
      <c r="AE55" s="15"/>
      <c r="AF55" s="15"/>
      <c r="AG55" s="184"/>
      <c r="AH55" s="15"/>
      <c r="AI55" s="15"/>
      <c r="AJ55" s="15"/>
      <c r="AK55" s="15"/>
      <c r="AL55" s="15"/>
      <c r="AM55" s="15"/>
      <c r="AN55" s="184"/>
      <c r="AO55" s="15"/>
      <c r="AP55" s="15"/>
      <c r="AQ55" s="15"/>
      <c r="AR55" s="15"/>
      <c r="AS55" s="15"/>
      <c r="AT55" s="15"/>
      <c r="AU55" s="184"/>
      <c r="AV55" s="15"/>
      <c r="AW55" s="15"/>
      <c r="AX55" s="15"/>
      <c r="AY55" s="15"/>
      <c r="AZ55" s="15"/>
      <c r="BA55" s="15"/>
      <c r="BB55" s="184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84"/>
      <c r="CE55" s="15"/>
      <c r="CF55" s="15"/>
      <c r="CG55" s="15"/>
      <c r="CH55" s="15"/>
      <c r="CI55" s="15"/>
      <c r="CJ55" s="15"/>
      <c r="CK55" s="184"/>
      <c r="CL55" s="15"/>
      <c r="CM55" s="15"/>
      <c r="CN55" s="15"/>
      <c r="CO55" s="15"/>
      <c r="CP55" s="15"/>
      <c r="CQ55" s="15"/>
      <c r="CR55" s="184"/>
      <c r="CS55" s="15"/>
      <c r="CT55" s="15"/>
      <c r="CU55" s="15"/>
      <c r="CV55" s="15"/>
      <c r="CW55" s="15"/>
      <c r="CX55" s="15"/>
      <c r="CY55" s="184"/>
      <c r="CZ55" s="15"/>
      <c r="DA55" s="15"/>
      <c r="DB55" s="15"/>
      <c r="DC55" s="15">
        <v>3</v>
      </c>
      <c r="DD55" s="15">
        <v>3</v>
      </c>
      <c r="DE55" s="15">
        <v>3</v>
      </c>
      <c r="DF55" s="184"/>
      <c r="DG55" s="15">
        <v>3</v>
      </c>
      <c r="DH55" s="15">
        <v>3</v>
      </c>
      <c r="DI55" s="15">
        <v>3</v>
      </c>
      <c r="DJ55" s="15">
        <v>3</v>
      </c>
      <c r="DK55" s="15">
        <v>3</v>
      </c>
      <c r="DL55" s="15">
        <v>3</v>
      </c>
      <c r="DM55" s="184"/>
      <c r="DN55" s="15">
        <v>3</v>
      </c>
      <c r="DO55" s="15">
        <v>3</v>
      </c>
      <c r="DP55" s="15">
        <v>3</v>
      </c>
      <c r="DQ55" s="15">
        <v>3</v>
      </c>
      <c r="DR55" s="15">
        <v>3</v>
      </c>
      <c r="DS55" s="15">
        <v>3</v>
      </c>
      <c r="DT55" s="184"/>
      <c r="DU55" s="15">
        <v>3</v>
      </c>
      <c r="DV55" s="15">
        <v>3</v>
      </c>
      <c r="DW55" s="15">
        <v>3</v>
      </c>
      <c r="DX55" s="15">
        <v>3</v>
      </c>
      <c r="DY55" s="15">
        <v>3</v>
      </c>
      <c r="DZ55" s="15">
        <v>3</v>
      </c>
      <c r="EA55" s="184"/>
      <c r="EB55" s="15">
        <v>3</v>
      </c>
      <c r="EC55" s="15">
        <v>3</v>
      </c>
      <c r="ED55" s="15">
        <v>3</v>
      </c>
      <c r="EE55" s="15">
        <v>3</v>
      </c>
      <c r="EF55" s="15">
        <v>3</v>
      </c>
      <c r="EG55" s="15">
        <v>3</v>
      </c>
      <c r="EH55" s="184"/>
      <c r="EI55" s="15">
        <v>3</v>
      </c>
      <c r="EJ55" s="15">
        <v>3</v>
      </c>
      <c r="EK55" s="15">
        <v>3</v>
      </c>
      <c r="EL55" s="15"/>
      <c r="EM55" s="15"/>
      <c r="EN55" s="15"/>
      <c r="EO55" s="184"/>
      <c r="EP55" s="15"/>
      <c r="EQ55" s="15"/>
      <c r="ER55" s="15"/>
      <c r="ES55" s="15"/>
      <c r="ET55" s="15"/>
      <c r="EU55" s="15"/>
      <c r="EV55" s="184"/>
      <c r="EW55" s="15"/>
      <c r="EX55" s="15"/>
      <c r="EY55" s="15"/>
      <c r="EZ55" s="15"/>
      <c r="FA55" s="15"/>
      <c r="FB55" s="15"/>
      <c r="FC55" s="184"/>
      <c r="FD55" s="15"/>
      <c r="FE55" s="15"/>
      <c r="FF55" s="15"/>
      <c r="FG55" s="15"/>
      <c r="FH55" s="15"/>
      <c r="FI55" s="15"/>
      <c r="FJ55" s="184"/>
      <c r="FK55" s="15"/>
      <c r="FL55" s="15"/>
      <c r="FM55" s="15"/>
      <c r="FN55" s="15"/>
      <c r="FO55" s="15"/>
      <c r="FP55" s="15"/>
      <c r="FQ55" s="184"/>
      <c r="FR55" s="15"/>
      <c r="FS55" s="15"/>
      <c r="FT55" s="15"/>
      <c r="FU55" s="15"/>
      <c r="FV55" s="15"/>
      <c r="FW55" s="178"/>
      <c r="FX55" s="184"/>
      <c r="FY55" s="181"/>
      <c r="FZ55" s="15"/>
      <c r="GA55" s="15"/>
      <c r="GB55" s="15"/>
      <c r="GC55" s="15"/>
      <c r="GD55" s="15"/>
      <c r="GE55" s="184"/>
      <c r="GF55" s="15"/>
      <c r="GG55" s="15"/>
      <c r="GH55" s="15"/>
      <c r="GI55" s="15"/>
      <c r="GJ55" s="15"/>
      <c r="GK55" s="15"/>
      <c r="GL55" s="184"/>
      <c r="GM55" s="15"/>
      <c r="GN55" s="15"/>
      <c r="GO55" s="15"/>
      <c r="GP55" s="15"/>
      <c r="GQ55" s="15"/>
      <c r="GR55" s="15"/>
      <c r="GS55" s="184"/>
      <c r="GT55" s="15"/>
      <c r="GU55" s="15"/>
      <c r="GV55" s="15"/>
      <c r="GW55" s="15"/>
      <c r="GX55" s="15"/>
      <c r="GY55" s="15"/>
      <c r="GZ55" s="184"/>
      <c r="HA55" s="15"/>
      <c r="HB55" s="15"/>
      <c r="HC55" s="15"/>
      <c r="HD55" s="15"/>
      <c r="HE55" s="15"/>
      <c r="HF55" s="15"/>
      <c r="HG55" s="184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  <c r="MH55" s="15"/>
      <c r="MI55" s="15"/>
      <c r="MJ55" s="15"/>
      <c r="MK55" s="15"/>
      <c r="ML55" s="15"/>
      <c r="MM55" s="15"/>
      <c r="MN55" s="15"/>
      <c r="MO55" s="15"/>
      <c r="MP55" s="15"/>
      <c r="MQ55" s="15"/>
      <c r="MR55" s="15"/>
      <c r="MS55" s="15"/>
      <c r="MT55" s="15"/>
      <c r="MU55" s="15"/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  <c r="NH55" s="15"/>
      <c r="NI55" s="15"/>
      <c r="NJ55" s="15"/>
      <c r="NK55" s="15"/>
      <c r="NL55" s="15"/>
      <c r="NM55" s="15"/>
      <c r="NN55" s="15"/>
      <c r="NO55" s="15"/>
      <c r="NP55" s="15"/>
      <c r="NQ55" s="15"/>
      <c r="NR55" s="15"/>
      <c r="NS55" s="15"/>
      <c r="NT55" s="15"/>
      <c r="NU55" s="15"/>
      <c r="NV55" s="15"/>
      <c r="NW55" s="15"/>
      <c r="NX55" s="15"/>
      <c r="NY55" s="15"/>
      <c r="NZ55" s="15"/>
    </row>
    <row r="56" spans="2:390" ht="19.5" customHeight="1" x14ac:dyDescent="0.45">
      <c r="B56" s="1">
        <f t="shared" si="97"/>
        <v>2</v>
      </c>
      <c r="C56" s="1">
        <f>+C55</f>
        <v>3</v>
      </c>
      <c r="D56" s="1">
        <f>+D55+1</f>
        <v>3</v>
      </c>
      <c r="E56" s="59" t="str">
        <f t="shared" si="96"/>
        <v>2.3.3</v>
      </c>
      <c r="F56" s="23" t="s">
        <v>133</v>
      </c>
      <c r="G56" s="191">
        <v>2.2999999999999998</v>
      </c>
      <c r="H56" s="52" t="s">
        <v>117</v>
      </c>
      <c r="I56" s="52" t="s">
        <v>156</v>
      </c>
      <c r="J56" s="52">
        <v>6</v>
      </c>
      <c r="K56" s="52">
        <v>4</v>
      </c>
      <c r="L56" s="53">
        <f>+J56-K56</f>
        <v>2</v>
      </c>
      <c r="M56" s="52">
        <v>3</v>
      </c>
      <c r="N56" s="52">
        <v>18</v>
      </c>
      <c r="O56" s="51">
        <f>+N56*M56</f>
        <v>54</v>
      </c>
      <c r="P56" s="51">
        <f>+SUM(AA56:NZ56)</f>
        <v>54</v>
      </c>
      <c r="Q56" s="51">
        <f>+O56-P56</f>
        <v>0</v>
      </c>
      <c r="R56" s="19">
        <v>45985</v>
      </c>
      <c r="S56" s="20">
        <v>58</v>
      </c>
      <c r="T56" s="21">
        <f t="shared" si="84"/>
        <v>46064</v>
      </c>
      <c r="U56" s="22">
        <f>+K56/J56</f>
        <v>0.66666666666666663</v>
      </c>
      <c r="V56" s="199">
        <f t="shared" si="85"/>
        <v>36</v>
      </c>
      <c r="W56" s="158">
        <f>SUMIFS($AA56:$NZ56, $AA$8:$NZ$8, $W$13)/$O56</f>
        <v>0</v>
      </c>
      <c r="X56" s="159">
        <f t="shared" si="98"/>
        <v>0.5</v>
      </c>
      <c r="Y56" s="199">
        <f t="shared" si="86"/>
        <v>27</v>
      </c>
      <c r="Z56" s="36"/>
      <c r="AA56" s="15">
        <v>5</v>
      </c>
      <c r="AB56" s="15">
        <v>5</v>
      </c>
      <c r="AC56" s="15">
        <v>5</v>
      </c>
      <c r="AD56" s="15">
        <v>4</v>
      </c>
      <c r="AE56" s="15">
        <v>4</v>
      </c>
      <c r="AF56" s="15">
        <v>4</v>
      </c>
      <c r="AG56" s="184"/>
      <c r="AH56" s="15"/>
      <c r="AI56" s="15"/>
      <c r="AJ56" s="15"/>
      <c r="AK56" s="15"/>
      <c r="AL56" s="15"/>
      <c r="AM56" s="15"/>
      <c r="AN56" s="184"/>
      <c r="AO56" s="15"/>
      <c r="AP56" s="15"/>
      <c r="AQ56" s="15"/>
      <c r="AR56" s="15"/>
      <c r="AS56" s="15"/>
      <c r="AT56" s="15"/>
      <c r="AU56" s="184"/>
      <c r="AV56" s="15"/>
      <c r="AW56" s="15"/>
      <c r="AX56" s="15"/>
      <c r="AY56" s="15"/>
      <c r="AZ56" s="15"/>
      <c r="BA56" s="15"/>
      <c r="BB56" s="184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84"/>
      <c r="CE56" s="15"/>
      <c r="CF56" s="15"/>
      <c r="CG56" s="15"/>
      <c r="CH56" s="15"/>
      <c r="CI56" s="15"/>
      <c r="CJ56" s="15"/>
      <c r="CK56" s="184"/>
      <c r="CL56" s="15"/>
      <c r="CM56" s="15"/>
      <c r="CN56" s="15"/>
      <c r="CO56" s="15"/>
      <c r="CP56" s="15"/>
      <c r="CQ56" s="15"/>
      <c r="CR56" s="184"/>
      <c r="CS56" s="15">
        <v>3</v>
      </c>
      <c r="CT56" s="15">
        <v>3</v>
      </c>
      <c r="CU56" s="15">
        <v>3</v>
      </c>
      <c r="CV56" s="15">
        <v>3</v>
      </c>
      <c r="CW56" s="15">
        <v>3</v>
      </c>
      <c r="CX56" s="15">
        <v>3</v>
      </c>
      <c r="CY56" s="184"/>
      <c r="CZ56" s="15">
        <v>3</v>
      </c>
      <c r="DA56" s="15">
        <v>3</v>
      </c>
      <c r="DB56" s="15">
        <v>3</v>
      </c>
      <c r="DC56" s="15"/>
      <c r="DD56" s="15"/>
      <c r="DE56" s="15"/>
      <c r="DF56" s="184"/>
      <c r="DG56" s="15"/>
      <c r="DH56" s="15"/>
      <c r="DI56" s="15"/>
      <c r="DJ56" s="15"/>
      <c r="DK56" s="15"/>
      <c r="DL56" s="15"/>
      <c r="DM56" s="184"/>
      <c r="DN56" s="15"/>
      <c r="DO56" s="15"/>
      <c r="DP56" s="15"/>
      <c r="DQ56" s="15"/>
      <c r="DR56" s="15"/>
      <c r="DS56" s="15"/>
      <c r="DT56" s="184"/>
      <c r="DU56" s="15"/>
      <c r="DV56" s="15"/>
      <c r="DW56" s="15"/>
      <c r="DX56" s="15"/>
      <c r="DY56" s="15"/>
      <c r="DZ56" s="15"/>
      <c r="EA56" s="184"/>
      <c r="EB56" s="15"/>
      <c r="EC56" s="15"/>
      <c r="ED56" s="15"/>
      <c r="EE56" s="15"/>
      <c r="EF56" s="15"/>
      <c r="EG56" s="15"/>
      <c r="EH56" s="184"/>
      <c r="EI56" s="15"/>
      <c r="EJ56" s="15"/>
      <c r="EK56" s="15"/>
      <c r="EL56" s="15"/>
      <c r="EM56" s="15"/>
      <c r="EN56" s="15"/>
      <c r="EO56" s="184"/>
      <c r="EP56" s="15"/>
      <c r="EQ56" s="15"/>
      <c r="ER56" s="15"/>
      <c r="ES56" s="15"/>
      <c r="ET56" s="15"/>
      <c r="EU56" s="15"/>
      <c r="EV56" s="184"/>
      <c r="EW56" s="15"/>
      <c r="EX56" s="15"/>
      <c r="EY56" s="15"/>
      <c r="EZ56" s="15"/>
      <c r="FA56" s="15"/>
      <c r="FB56" s="15"/>
      <c r="FC56" s="184"/>
      <c r="FD56" s="15"/>
      <c r="FE56" s="15"/>
      <c r="FF56" s="15"/>
      <c r="FG56" s="15"/>
      <c r="FH56" s="15"/>
      <c r="FI56" s="15"/>
      <c r="FJ56" s="184"/>
      <c r="FK56" s="15"/>
      <c r="FL56" s="15"/>
      <c r="FM56" s="15"/>
      <c r="FN56" s="15"/>
      <c r="FO56" s="15"/>
      <c r="FP56" s="15"/>
      <c r="FQ56" s="184"/>
      <c r="FR56" s="15"/>
      <c r="FS56" s="15"/>
      <c r="FT56" s="15"/>
      <c r="FU56" s="15"/>
      <c r="FV56" s="15"/>
      <c r="FW56" s="178"/>
      <c r="FX56" s="184"/>
      <c r="FY56" s="181"/>
      <c r="FZ56" s="15"/>
      <c r="GA56" s="15"/>
      <c r="GB56" s="15"/>
      <c r="GC56" s="15"/>
      <c r="GD56" s="15"/>
      <c r="GE56" s="184"/>
      <c r="GF56" s="15"/>
      <c r="GG56" s="15"/>
      <c r="GH56" s="15"/>
      <c r="GI56" s="15"/>
      <c r="GJ56" s="15"/>
      <c r="GK56" s="15"/>
      <c r="GL56" s="184"/>
      <c r="GM56" s="15"/>
      <c r="GN56" s="15"/>
      <c r="GO56" s="15"/>
      <c r="GP56" s="15"/>
      <c r="GQ56" s="15"/>
      <c r="GR56" s="15"/>
      <c r="GS56" s="184"/>
      <c r="GT56" s="15"/>
      <c r="GU56" s="15"/>
      <c r="GV56" s="15"/>
      <c r="GW56" s="15"/>
      <c r="GX56" s="15"/>
      <c r="GY56" s="15"/>
      <c r="GZ56" s="184"/>
      <c r="HA56" s="15"/>
      <c r="HB56" s="15"/>
      <c r="HC56" s="15"/>
      <c r="HD56" s="15"/>
      <c r="HE56" s="15"/>
      <c r="HF56" s="15"/>
      <c r="HG56" s="184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/>
      <c r="LI56" s="15"/>
      <c r="LJ56" s="15"/>
      <c r="LK56" s="15"/>
      <c r="LL56" s="15"/>
      <c r="LM56" s="15"/>
      <c r="LN56" s="15"/>
      <c r="LO56" s="15"/>
      <c r="LP56" s="15"/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  <c r="MG56" s="15"/>
      <c r="MH56" s="15"/>
      <c r="MI56" s="15"/>
      <c r="MJ56" s="15"/>
      <c r="MK56" s="15"/>
      <c r="ML56" s="15"/>
      <c r="MM56" s="15"/>
      <c r="MN56" s="15"/>
      <c r="MO56" s="15"/>
      <c r="MP56" s="15"/>
      <c r="MQ56" s="15"/>
      <c r="MR56" s="15"/>
      <c r="MS56" s="15"/>
      <c r="MT56" s="15"/>
      <c r="MU56" s="15"/>
      <c r="MV56" s="15"/>
      <c r="MW56" s="15"/>
      <c r="MX56" s="15"/>
      <c r="MY56" s="15"/>
      <c r="MZ56" s="15"/>
      <c r="NA56" s="15"/>
      <c r="NB56" s="15"/>
      <c r="NC56" s="15"/>
      <c r="ND56" s="15"/>
      <c r="NE56" s="15"/>
      <c r="NF56" s="15"/>
      <c r="NG56" s="15"/>
      <c r="NH56" s="15"/>
      <c r="NI56" s="15"/>
      <c r="NJ56" s="15"/>
      <c r="NK56" s="15"/>
      <c r="NL56" s="15"/>
      <c r="NM56" s="15"/>
      <c r="NN56" s="15"/>
      <c r="NO56" s="15"/>
      <c r="NP56" s="15"/>
      <c r="NQ56" s="15"/>
      <c r="NR56" s="15"/>
      <c r="NS56" s="15"/>
      <c r="NT56" s="15"/>
      <c r="NU56" s="15"/>
      <c r="NV56" s="15"/>
      <c r="NW56" s="15"/>
      <c r="NX56" s="15"/>
      <c r="NY56" s="15"/>
      <c r="NZ56" s="15"/>
    </row>
    <row r="57" spans="2:390" ht="19.5" customHeight="1" x14ac:dyDescent="0.45">
      <c r="B57" s="1">
        <f>+B55</f>
        <v>2</v>
      </c>
      <c r="C57" s="1">
        <f>+C54+1</f>
        <v>4</v>
      </c>
      <c r="D57" s="1">
        <v>0</v>
      </c>
      <c r="E57" s="93" t="str">
        <f t="shared" si="96"/>
        <v>2.4.0</v>
      </c>
      <c r="F57" s="99" t="s">
        <v>15</v>
      </c>
      <c r="G57" s="99"/>
      <c r="H57" s="100"/>
      <c r="I57" s="100"/>
      <c r="J57" s="101"/>
      <c r="K57" s="101"/>
      <c r="L57" s="101"/>
      <c r="M57" s="99"/>
      <c r="N57" s="99"/>
      <c r="O57" s="95">
        <f>SUM(O58:O60)</f>
        <v>102</v>
      </c>
      <c r="P57" s="95"/>
      <c r="Q57" s="95"/>
      <c r="R57" s="168"/>
      <c r="S57" s="98"/>
      <c r="T57" s="163" t="str">
        <f t="shared" si="84"/>
        <v/>
      </c>
      <c r="U57" s="164">
        <f>+SUMPRODUCT(U58:U60,O58:O60)/O57</f>
        <v>0.76768320231318332</v>
      </c>
      <c r="V57" s="200">
        <f t="shared" si="85"/>
        <v>78.3036866359447</v>
      </c>
      <c r="W57" s="158">
        <f>SUMIFS($AA57:$NZ57, $AA$8:$NZ$8, $W$13)/$O57</f>
        <v>0</v>
      </c>
      <c r="X57" s="159">
        <f t="shared" si="98"/>
        <v>0</v>
      </c>
      <c r="Y57" s="199">
        <f t="shared" si="86"/>
        <v>0</v>
      </c>
      <c r="Z57" s="36"/>
      <c r="AA57" s="15"/>
      <c r="AB57" s="15"/>
      <c r="AC57" s="15"/>
      <c r="AD57" s="15"/>
      <c r="AE57" s="15"/>
      <c r="AF57" s="15"/>
      <c r="AG57" s="184"/>
      <c r="AH57" s="15"/>
      <c r="AI57" s="15"/>
      <c r="AJ57" s="15"/>
      <c r="AK57" s="15"/>
      <c r="AL57" s="15"/>
      <c r="AM57" s="15"/>
      <c r="AN57" s="184"/>
      <c r="AO57" s="15"/>
      <c r="AP57" s="15"/>
      <c r="AQ57" s="15"/>
      <c r="AR57" s="15"/>
      <c r="AS57" s="15"/>
      <c r="AT57" s="15"/>
      <c r="AU57" s="184"/>
      <c r="AV57" s="15"/>
      <c r="AW57" s="15"/>
      <c r="AX57" s="15"/>
      <c r="AY57" s="15"/>
      <c r="AZ57" s="15"/>
      <c r="BA57" s="15"/>
      <c r="BB57" s="184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84"/>
      <c r="CE57" s="15"/>
      <c r="CF57" s="15"/>
      <c r="CG57" s="15"/>
      <c r="CH57" s="15"/>
      <c r="CI57" s="15"/>
      <c r="CJ57" s="15"/>
      <c r="CK57" s="184"/>
      <c r="CL57" s="15"/>
      <c r="CM57" s="15"/>
      <c r="CN57" s="15"/>
      <c r="CO57" s="15"/>
      <c r="CP57" s="15"/>
      <c r="CQ57" s="15"/>
      <c r="CR57" s="184"/>
      <c r="CS57" s="15"/>
      <c r="CT57" s="15"/>
      <c r="CU57" s="15"/>
      <c r="CV57" s="15"/>
      <c r="CW57" s="15"/>
      <c r="CX57" s="15"/>
      <c r="CY57" s="184"/>
      <c r="CZ57" s="15"/>
      <c r="DA57" s="15"/>
      <c r="DB57" s="15"/>
      <c r="DC57" s="15"/>
      <c r="DD57" s="15"/>
      <c r="DE57" s="15"/>
      <c r="DF57" s="184"/>
      <c r="DG57" s="15"/>
      <c r="DH57" s="15"/>
      <c r="DI57" s="15"/>
      <c r="DJ57" s="15"/>
      <c r="DK57" s="15"/>
      <c r="DL57" s="15"/>
      <c r="DM57" s="184"/>
      <c r="DN57" s="15"/>
      <c r="DO57" s="15"/>
      <c r="DP57" s="15"/>
      <c r="DQ57" s="15"/>
      <c r="DR57" s="15"/>
      <c r="DS57" s="15"/>
      <c r="DT57" s="184"/>
      <c r="DU57" s="15"/>
      <c r="DV57" s="15"/>
      <c r="DW57" s="15"/>
      <c r="DX57" s="15"/>
      <c r="DY57" s="15"/>
      <c r="DZ57" s="15"/>
      <c r="EA57" s="184"/>
      <c r="EB57" s="15"/>
      <c r="EC57" s="15"/>
      <c r="ED57" s="15"/>
      <c r="EE57" s="15"/>
      <c r="EF57" s="15"/>
      <c r="EG57" s="15"/>
      <c r="EH57" s="184"/>
      <c r="EI57" s="15"/>
      <c r="EJ57" s="15"/>
      <c r="EK57" s="15"/>
      <c r="EL57" s="15"/>
      <c r="EM57" s="15"/>
      <c r="EN57" s="15"/>
      <c r="EO57" s="184"/>
      <c r="EP57" s="15"/>
      <c r="EQ57" s="15"/>
      <c r="ER57" s="15"/>
      <c r="ES57" s="15"/>
      <c r="ET57" s="15"/>
      <c r="EU57" s="15"/>
      <c r="EV57" s="184"/>
      <c r="EW57" s="15"/>
      <c r="EX57" s="15"/>
      <c r="EY57" s="15"/>
      <c r="EZ57" s="15"/>
      <c r="FA57" s="15"/>
      <c r="FB57" s="15"/>
      <c r="FC57" s="184"/>
      <c r="FD57" s="15"/>
      <c r="FE57" s="15"/>
      <c r="FF57" s="15"/>
      <c r="FG57" s="15"/>
      <c r="FH57" s="15"/>
      <c r="FI57" s="15"/>
      <c r="FJ57" s="184"/>
      <c r="FK57" s="15"/>
      <c r="FL57" s="15"/>
      <c r="FM57" s="15"/>
      <c r="FN57" s="15"/>
      <c r="FO57" s="15"/>
      <c r="FP57" s="15"/>
      <c r="FQ57" s="184"/>
      <c r="FR57" s="15"/>
      <c r="FS57" s="15"/>
      <c r="FT57" s="15"/>
      <c r="FU57" s="15"/>
      <c r="FV57" s="15"/>
      <c r="FW57" s="178"/>
      <c r="FX57" s="184"/>
      <c r="FY57" s="181"/>
      <c r="FZ57" s="15"/>
      <c r="GA57" s="15"/>
      <c r="GB57" s="15"/>
      <c r="GC57" s="15"/>
      <c r="GD57" s="15"/>
      <c r="GE57" s="184"/>
      <c r="GF57" s="15"/>
      <c r="GG57" s="15"/>
      <c r="GH57" s="15"/>
      <c r="GI57" s="15"/>
      <c r="GJ57" s="15"/>
      <c r="GK57" s="15"/>
      <c r="GL57" s="184"/>
      <c r="GM57" s="15"/>
      <c r="GN57" s="15"/>
      <c r="GO57" s="15"/>
      <c r="GP57" s="15"/>
      <c r="GQ57" s="15"/>
      <c r="GR57" s="15"/>
      <c r="GS57" s="184"/>
      <c r="GT57" s="15"/>
      <c r="GU57" s="15"/>
      <c r="GV57" s="15"/>
      <c r="GW57" s="15"/>
      <c r="GX57" s="15"/>
      <c r="GY57" s="15"/>
      <c r="GZ57" s="184"/>
      <c r="HA57" s="15"/>
      <c r="HB57" s="15"/>
      <c r="HC57" s="15"/>
      <c r="HD57" s="15"/>
      <c r="HE57" s="15"/>
      <c r="HF57" s="15"/>
      <c r="HG57" s="184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  <c r="MH57" s="15"/>
      <c r="MI57" s="15"/>
      <c r="MJ57" s="15"/>
      <c r="MK57" s="15"/>
      <c r="ML57" s="15"/>
      <c r="MM57" s="15"/>
      <c r="MN57" s="15"/>
      <c r="MO57" s="15"/>
      <c r="MP57" s="15"/>
      <c r="MQ57" s="15"/>
      <c r="MR57" s="15"/>
      <c r="MS57" s="15"/>
      <c r="MT57" s="15"/>
      <c r="MU57" s="15"/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  <c r="NH57" s="15"/>
      <c r="NI57" s="15"/>
      <c r="NJ57" s="15"/>
      <c r="NK57" s="15"/>
      <c r="NL57" s="15"/>
      <c r="NM57" s="15"/>
      <c r="NN57" s="15"/>
      <c r="NO57" s="15"/>
      <c r="NP57" s="15"/>
      <c r="NQ57" s="15"/>
      <c r="NR57" s="15"/>
      <c r="NS57" s="15"/>
      <c r="NT57" s="15"/>
      <c r="NU57" s="15"/>
      <c r="NV57" s="15"/>
      <c r="NW57" s="15"/>
      <c r="NX57" s="15"/>
      <c r="NY57" s="15"/>
      <c r="NZ57" s="15"/>
    </row>
    <row r="58" spans="2:390" ht="19.5" customHeight="1" x14ac:dyDescent="0.45">
      <c r="B58" s="1">
        <f t="shared" ref="B58:C73" si="99">+B57</f>
        <v>2</v>
      </c>
      <c r="C58" s="1">
        <f t="shared" si="99"/>
        <v>4</v>
      </c>
      <c r="D58" s="1">
        <f t="shared" ref="D58:D63" si="100">+D57+1</f>
        <v>1</v>
      </c>
      <c r="E58" s="59" t="str">
        <f t="shared" si="96"/>
        <v>2.4.1</v>
      </c>
      <c r="F58" s="23" t="s">
        <v>16</v>
      </c>
      <c r="G58" s="191">
        <v>2</v>
      </c>
      <c r="H58" s="52" t="s">
        <v>117</v>
      </c>
      <c r="I58" s="52" t="s">
        <v>158</v>
      </c>
      <c r="J58" s="52">
        <v>200</v>
      </c>
      <c r="K58" s="52">
        <v>191</v>
      </c>
      <c r="L58" s="52">
        <f>+J58-K58</f>
        <v>9</v>
      </c>
      <c r="M58" s="52">
        <v>5</v>
      </c>
      <c r="N58" s="52">
        <v>3</v>
      </c>
      <c r="O58" s="51">
        <f>+N58*M58</f>
        <v>15</v>
      </c>
      <c r="P58" s="51">
        <f t="shared" ref="P58:P63" si="101">+SUM(AA58:NZ58)</f>
        <v>15</v>
      </c>
      <c r="Q58" s="51">
        <f t="shared" ref="Q58:Q63" si="102">+O58-P58</f>
        <v>0</v>
      </c>
      <c r="R58" s="19">
        <v>45992</v>
      </c>
      <c r="S58" s="20">
        <v>3</v>
      </c>
      <c r="T58" s="21">
        <f t="shared" si="84"/>
        <v>45994</v>
      </c>
      <c r="U58" s="22">
        <f>+K58/J58</f>
        <v>0.95499999999999996</v>
      </c>
      <c r="V58" s="199">
        <f t="shared" si="85"/>
        <v>14.324999999999999</v>
      </c>
      <c r="W58" s="158">
        <f>SUMIFS($AA58:$NZ58, $AA$8:$NZ$8, $W$13)/$O58</f>
        <v>0</v>
      </c>
      <c r="X58" s="159">
        <f t="shared" si="98"/>
        <v>1</v>
      </c>
      <c r="Y58" s="199">
        <f t="shared" si="86"/>
        <v>15</v>
      </c>
      <c r="Z58" s="36"/>
      <c r="AA58" s="15"/>
      <c r="AB58" s="15"/>
      <c r="AC58" s="15"/>
      <c r="AD58" s="15"/>
      <c r="AE58" s="15"/>
      <c r="AF58" s="15"/>
      <c r="AG58" s="184"/>
      <c r="AH58" s="15">
        <v>5</v>
      </c>
      <c r="AI58" s="15">
        <v>5</v>
      </c>
      <c r="AJ58" s="15">
        <v>5</v>
      </c>
      <c r="AK58" s="15"/>
      <c r="AL58" s="15"/>
      <c r="AM58" s="15"/>
      <c r="AN58" s="184"/>
      <c r="AO58" s="15"/>
      <c r="AP58" s="15"/>
      <c r="AQ58" s="15"/>
      <c r="AR58" s="15"/>
      <c r="AS58" s="15"/>
      <c r="AT58" s="15"/>
      <c r="AU58" s="184"/>
      <c r="AV58" s="15"/>
      <c r="AW58" s="15"/>
      <c r="AX58" s="15"/>
      <c r="AY58" s="15"/>
      <c r="AZ58" s="15"/>
      <c r="BA58" s="15"/>
      <c r="BB58" s="184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84"/>
      <c r="CE58" s="15"/>
      <c r="CF58" s="15"/>
      <c r="CG58" s="15"/>
      <c r="CH58" s="15"/>
      <c r="CI58" s="15"/>
      <c r="CJ58" s="15"/>
      <c r="CK58" s="184"/>
      <c r="CL58" s="15"/>
      <c r="CM58" s="15"/>
      <c r="CN58" s="15"/>
      <c r="CO58" s="15"/>
      <c r="CP58" s="15"/>
      <c r="CQ58" s="15"/>
      <c r="CR58" s="184"/>
      <c r="CS58" s="15"/>
      <c r="CT58" s="15"/>
      <c r="CU58" s="15"/>
      <c r="CV58" s="15"/>
      <c r="CW58" s="15"/>
      <c r="CX58" s="15"/>
      <c r="CY58" s="184"/>
      <c r="CZ58" s="15"/>
      <c r="DA58" s="15"/>
      <c r="DB58" s="15"/>
      <c r="DC58" s="15"/>
      <c r="DD58" s="15"/>
      <c r="DE58" s="15"/>
      <c r="DF58" s="184"/>
      <c r="DG58" s="15"/>
      <c r="DH58" s="15"/>
      <c r="DI58" s="15"/>
      <c r="DJ58" s="15"/>
      <c r="DK58" s="15"/>
      <c r="DL58" s="15"/>
      <c r="DM58" s="184"/>
      <c r="DN58" s="15"/>
      <c r="DO58" s="15"/>
      <c r="DP58" s="15"/>
      <c r="DQ58" s="15"/>
      <c r="DR58" s="15"/>
      <c r="DS58" s="15"/>
      <c r="DT58" s="184"/>
      <c r="DU58" s="15"/>
      <c r="DV58" s="15"/>
      <c r="DW58" s="15"/>
      <c r="DX58" s="15"/>
      <c r="DY58" s="15"/>
      <c r="DZ58" s="15"/>
      <c r="EA58" s="184"/>
      <c r="EB58" s="15"/>
      <c r="EC58" s="15"/>
      <c r="ED58" s="15"/>
      <c r="EE58" s="15"/>
      <c r="EF58" s="15"/>
      <c r="EG58" s="15"/>
      <c r="EH58" s="184"/>
      <c r="EI58" s="15"/>
      <c r="EJ58" s="15"/>
      <c r="EK58" s="15"/>
      <c r="EL58" s="15"/>
      <c r="EM58" s="15"/>
      <c r="EN58" s="15"/>
      <c r="EO58" s="184"/>
      <c r="EP58" s="15"/>
      <c r="EQ58" s="15"/>
      <c r="ER58" s="15"/>
      <c r="ES58" s="15"/>
      <c r="ET58" s="15"/>
      <c r="EU58" s="15"/>
      <c r="EV58" s="184"/>
      <c r="EW58" s="15"/>
      <c r="EX58" s="15"/>
      <c r="EY58" s="15"/>
      <c r="EZ58" s="15"/>
      <c r="FA58" s="15"/>
      <c r="FB58" s="15"/>
      <c r="FC58" s="184"/>
      <c r="FD58" s="15"/>
      <c r="FE58" s="15"/>
      <c r="FF58" s="15"/>
      <c r="FG58" s="15"/>
      <c r="FH58" s="15"/>
      <c r="FI58" s="15"/>
      <c r="FJ58" s="184"/>
      <c r="FK58" s="15"/>
      <c r="FL58" s="15"/>
      <c r="FM58" s="15"/>
      <c r="FN58" s="15"/>
      <c r="FO58" s="15"/>
      <c r="FP58" s="15"/>
      <c r="FQ58" s="184"/>
      <c r="FR58" s="15"/>
      <c r="FS58" s="15"/>
      <c r="FT58" s="15"/>
      <c r="FU58" s="15"/>
      <c r="FV58" s="15"/>
      <c r="FW58" s="178"/>
      <c r="FX58" s="184"/>
      <c r="FY58" s="181"/>
      <c r="FZ58" s="15"/>
      <c r="GA58" s="15"/>
      <c r="GB58" s="15"/>
      <c r="GC58" s="15"/>
      <c r="GD58" s="15"/>
      <c r="GE58" s="184"/>
      <c r="GF58" s="15"/>
      <c r="GG58" s="15"/>
      <c r="GH58" s="15"/>
      <c r="GI58" s="15"/>
      <c r="GJ58" s="15"/>
      <c r="GK58" s="15"/>
      <c r="GL58" s="184"/>
      <c r="GM58" s="15"/>
      <c r="GN58" s="15"/>
      <c r="GO58" s="15"/>
      <c r="GP58" s="15"/>
      <c r="GQ58" s="15"/>
      <c r="GR58" s="15"/>
      <c r="GS58" s="184"/>
      <c r="GT58" s="15"/>
      <c r="GU58" s="15"/>
      <c r="GV58" s="15"/>
      <c r="GW58" s="15"/>
      <c r="GX58" s="15"/>
      <c r="GY58" s="15"/>
      <c r="GZ58" s="184"/>
      <c r="HA58" s="15"/>
      <c r="HB58" s="15"/>
      <c r="HC58" s="15"/>
      <c r="HD58" s="15"/>
      <c r="HE58" s="15"/>
      <c r="HF58" s="15"/>
      <c r="HG58" s="184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15"/>
      <c r="NU58" s="15"/>
      <c r="NV58" s="15"/>
      <c r="NW58" s="15"/>
      <c r="NX58" s="15"/>
      <c r="NY58" s="15"/>
      <c r="NZ58" s="15"/>
    </row>
    <row r="59" spans="2:390" ht="19.5" customHeight="1" x14ac:dyDescent="0.45">
      <c r="B59" s="1">
        <f t="shared" si="99"/>
        <v>2</v>
      </c>
      <c r="C59" s="1">
        <f t="shared" si="99"/>
        <v>4</v>
      </c>
      <c r="D59" s="1">
        <f t="shared" si="100"/>
        <v>2</v>
      </c>
      <c r="E59" s="59" t="str">
        <f t="shared" si="96"/>
        <v>2.4.2</v>
      </c>
      <c r="F59" s="23" t="s">
        <v>17</v>
      </c>
      <c r="G59" s="191">
        <v>2</v>
      </c>
      <c r="H59" s="52" t="s">
        <v>117</v>
      </c>
      <c r="I59" s="52" t="s">
        <v>158</v>
      </c>
      <c r="J59" s="52">
        <v>24</v>
      </c>
      <c r="K59" s="52">
        <v>23</v>
      </c>
      <c r="L59" s="52">
        <f>+J59-K59</f>
        <v>1</v>
      </c>
      <c r="M59" s="52">
        <v>5</v>
      </c>
      <c r="N59" s="52">
        <v>3</v>
      </c>
      <c r="O59" s="51">
        <f>+N59*M59</f>
        <v>15</v>
      </c>
      <c r="P59" s="51">
        <f t="shared" si="101"/>
        <v>15</v>
      </c>
      <c r="Q59" s="51">
        <f t="shared" si="102"/>
        <v>0</v>
      </c>
      <c r="R59" s="19">
        <v>45995</v>
      </c>
      <c r="S59" s="20">
        <v>2</v>
      </c>
      <c r="T59" s="21">
        <f t="shared" si="84"/>
        <v>45996</v>
      </c>
      <c r="U59" s="22">
        <f>+K59/J59</f>
        <v>0.95833333333333337</v>
      </c>
      <c r="V59" s="199">
        <f t="shared" si="85"/>
        <v>14.375</v>
      </c>
      <c r="W59" s="158">
        <f>SUMIFS($AA59:$NZ59, $AA$8:$NZ$8, $W$13)/$O59</f>
        <v>0</v>
      </c>
      <c r="X59" s="159">
        <f t="shared" si="98"/>
        <v>1</v>
      </c>
      <c r="Y59" s="199">
        <f t="shared" si="86"/>
        <v>15</v>
      </c>
      <c r="Z59" s="36"/>
      <c r="AA59" s="15"/>
      <c r="AB59" s="15"/>
      <c r="AC59" s="15"/>
      <c r="AD59" s="15"/>
      <c r="AE59" s="15"/>
      <c r="AF59" s="15"/>
      <c r="AG59" s="184"/>
      <c r="AH59" s="15"/>
      <c r="AI59" s="15"/>
      <c r="AJ59" s="15"/>
      <c r="AK59" s="15">
        <v>5</v>
      </c>
      <c r="AL59" s="15">
        <v>5</v>
      </c>
      <c r="AM59" s="15">
        <v>5</v>
      </c>
      <c r="AN59" s="184"/>
      <c r="AO59" s="15"/>
      <c r="AP59" s="15"/>
      <c r="AQ59" s="15"/>
      <c r="AR59" s="15"/>
      <c r="AS59" s="15"/>
      <c r="AT59" s="15"/>
      <c r="AU59" s="184"/>
      <c r="AV59" s="15"/>
      <c r="AW59" s="15"/>
      <c r="AX59" s="15"/>
      <c r="AY59" s="15"/>
      <c r="AZ59" s="15"/>
      <c r="BA59" s="15"/>
      <c r="BB59" s="184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84"/>
      <c r="CE59" s="15"/>
      <c r="CF59" s="15"/>
      <c r="CG59" s="15"/>
      <c r="CH59" s="15"/>
      <c r="CI59" s="15"/>
      <c r="CJ59" s="15"/>
      <c r="CK59" s="184"/>
      <c r="CL59" s="15"/>
      <c r="CM59" s="15"/>
      <c r="CN59" s="15"/>
      <c r="CO59" s="15"/>
      <c r="CP59" s="15"/>
      <c r="CQ59" s="15"/>
      <c r="CR59" s="184"/>
      <c r="CS59" s="15"/>
      <c r="CT59" s="15"/>
      <c r="CU59" s="15"/>
      <c r="CV59" s="15"/>
      <c r="CW59" s="15"/>
      <c r="CX59" s="15"/>
      <c r="CY59" s="184"/>
      <c r="CZ59" s="15"/>
      <c r="DA59" s="15"/>
      <c r="DB59" s="15"/>
      <c r="DC59" s="15"/>
      <c r="DD59" s="15"/>
      <c r="DE59" s="15"/>
      <c r="DF59" s="184"/>
      <c r="DG59" s="15"/>
      <c r="DH59" s="15"/>
      <c r="DI59" s="15"/>
      <c r="DJ59" s="15"/>
      <c r="DK59" s="15"/>
      <c r="DL59" s="15"/>
      <c r="DM59" s="184"/>
      <c r="DN59" s="15"/>
      <c r="DO59" s="15"/>
      <c r="DP59" s="15"/>
      <c r="DQ59" s="15"/>
      <c r="DR59" s="15"/>
      <c r="DS59" s="15"/>
      <c r="DT59" s="184"/>
      <c r="DU59" s="15"/>
      <c r="DV59" s="15"/>
      <c r="DW59" s="15"/>
      <c r="DX59" s="15"/>
      <c r="DY59" s="15"/>
      <c r="DZ59" s="15"/>
      <c r="EA59" s="184"/>
      <c r="EB59" s="15"/>
      <c r="EC59" s="15"/>
      <c r="ED59" s="15"/>
      <c r="EE59" s="15"/>
      <c r="EF59" s="15"/>
      <c r="EG59" s="15"/>
      <c r="EH59" s="184"/>
      <c r="EI59" s="15"/>
      <c r="EJ59" s="15"/>
      <c r="EK59" s="15"/>
      <c r="EL59" s="15"/>
      <c r="EM59" s="15"/>
      <c r="EN59" s="15"/>
      <c r="EO59" s="184"/>
      <c r="EP59" s="15"/>
      <c r="EQ59" s="15"/>
      <c r="ER59" s="15"/>
      <c r="ES59" s="15"/>
      <c r="ET59" s="15"/>
      <c r="EU59" s="15"/>
      <c r="EV59" s="184"/>
      <c r="EW59" s="15"/>
      <c r="EX59" s="15"/>
      <c r="EY59" s="15"/>
      <c r="EZ59" s="15"/>
      <c r="FA59" s="15"/>
      <c r="FB59" s="15"/>
      <c r="FC59" s="184"/>
      <c r="FD59" s="15"/>
      <c r="FE59" s="15"/>
      <c r="FF59" s="15"/>
      <c r="FG59" s="15"/>
      <c r="FH59" s="15"/>
      <c r="FI59" s="15"/>
      <c r="FJ59" s="184"/>
      <c r="FK59" s="15"/>
      <c r="FL59" s="15"/>
      <c r="FM59" s="15"/>
      <c r="FN59" s="15"/>
      <c r="FO59" s="15"/>
      <c r="FP59" s="15"/>
      <c r="FQ59" s="184"/>
      <c r="FR59" s="15"/>
      <c r="FS59" s="15"/>
      <c r="FT59" s="15"/>
      <c r="FU59" s="15"/>
      <c r="FV59" s="15"/>
      <c r="FW59" s="178"/>
      <c r="FX59" s="184"/>
      <c r="FY59" s="181"/>
      <c r="FZ59" s="15"/>
      <c r="GA59" s="15"/>
      <c r="GB59" s="15"/>
      <c r="GC59" s="15"/>
      <c r="GD59" s="15"/>
      <c r="GE59" s="184"/>
      <c r="GF59" s="15"/>
      <c r="GG59" s="15"/>
      <c r="GH59" s="15"/>
      <c r="GI59" s="15"/>
      <c r="GJ59" s="15"/>
      <c r="GK59" s="15"/>
      <c r="GL59" s="184"/>
      <c r="GM59" s="15"/>
      <c r="GN59" s="15"/>
      <c r="GO59" s="15"/>
      <c r="GP59" s="15"/>
      <c r="GQ59" s="15"/>
      <c r="GR59" s="15"/>
      <c r="GS59" s="184"/>
      <c r="GT59" s="15"/>
      <c r="GU59" s="15"/>
      <c r="GV59" s="15"/>
      <c r="GW59" s="15"/>
      <c r="GX59" s="15"/>
      <c r="GY59" s="15"/>
      <c r="GZ59" s="184"/>
      <c r="HA59" s="15"/>
      <c r="HB59" s="15"/>
      <c r="HC59" s="15"/>
      <c r="HD59" s="15"/>
      <c r="HE59" s="15"/>
      <c r="HF59" s="15"/>
      <c r="HG59" s="184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  <c r="MG59" s="15"/>
      <c r="MH59" s="15"/>
      <c r="MI59" s="15"/>
      <c r="MJ59" s="15"/>
      <c r="MK59" s="15"/>
      <c r="ML59" s="15"/>
      <c r="MM59" s="15"/>
      <c r="MN59" s="15"/>
      <c r="MO59" s="15"/>
      <c r="MP59" s="15"/>
      <c r="MQ59" s="15"/>
      <c r="MR59" s="15"/>
      <c r="MS59" s="15"/>
      <c r="MT59" s="15"/>
      <c r="MU59" s="15"/>
      <c r="MV59" s="15"/>
      <c r="MW59" s="15"/>
      <c r="MX59" s="15"/>
      <c r="MY59" s="15"/>
      <c r="MZ59" s="15"/>
      <c r="NA59" s="15"/>
      <c r="NB59" s="15"/>
      <c r="NC59" s="15"/>
      <c r="ND59" s="15"/>
      <c r="NE59" s="15"/>
      <c r="NF59" s="15"/>
      <c r="NG59" s="15"/>
      <c r="NH59" s="15"/>
      <c r="NI59" s="15"/>
      <c r="NJ59" s="15"/>
      <c r="NK59" s="15"/>
      <c r="NL59" s="15"/>
      <c r="NM59" s="15"/>
      <c r="NN59" s="15"/>
      <c r="NO59" s="15"/>
      <c r="NP59" s="15"/>
      <c r="NQ59" s="15"/>
      <c r="NR59" s="15"/>
      <c r="NS59" s="15"/>
      <c r="NT59" s="15"/>
      <c r="NU59" s="15"/>
      <c r="NV59" s="15"/>
      <c r="NW59" s="15"/>
      <c r="NX59" s="15"/>
      <c r="NY59" s="15"/>
      <c r="NZ59" s="15"/>
    </row>
    <row r="60" spans="2:390" ht="19.5" customHeight="1" x14ac:dyDescent="0.45">
      <c r="B60" s="1">
        <f t="shared" si="99"/>
        <v>2</v>
      </c>
      <c r="C60" s="1">
        <f t="shared" si="99"/>
        <v>4</v>
      </c>
      <c r="D60" s="1">
        <f t="shared" si="100"/>
        <v>3</v>
      </c>
      <c r="E60" s="29" t="str">
        <f t="shared" si="96"/>
        <v>2.4.3</v>
      </c>
      <c r="F60" s="75" t="s">
        <v>18</v>
      </c>
      <c r="G60" s="130"/>
      <c r="H60" s="131"/>
      <c r="I60" s="131"/>
      <c r="J60" s="132"/>
      <c r="K60" s="132"/>
      <c r="L60" s="132"/>
      <c r="M60" s="133"/>
      <c r="N60" s="134"/>
      <c r="O60" s="76">
        <f>+SUM(O61:O63)</f>
        <v>72</v>
      </c>
      <c r="P60" s="76">
        <f>+SUM(P61:P63)</f>
        <v>72</v>
      </c>
      <c r="Q60" s="51">
        <f t="shared" si="102"/>
        <v>0</v>
      </c>
      <c r="R60" s="19"/>
      <c r="S60" s="20"/>
      <c r="T60" s="21" t="str">
        <f t="shared" si="84"/>
        <v/>
      </c>
      <c r="U60" s="161">
        <f>+SUMPRODUCT(U61:U63,O61:O63)/O60</f>
        <v>0.68894009216589858</v>
      </c>
      <c r="V60" s="203">
        <f t="shared" si="85"/>
        <v>49.603686635944698</v>
      </c>
      <c r="W60" s="158">
        <f>SUMIFS($AA60:$NZ60, $AA$8:$NZ$8, $W$13)/$O60</f>
        <v>0</v>
      </c>
      <c r="X60" s="159">
        <f t="shared" si="98"/>
        <v>0</v>
      </c>
      <c r="Y60" s="199">
        <f t="shared" si="86"/>
        <v>0</v>
      </c>
      <c r="Z60" s="36"/>
      <c r="AA60" s="15"/>
      <c r="AB60" s="15"/>
      <c r="AC60" s="15"/>
      <c r="AD60" s="15"/>
      <c r="AE60" s="15"/>
      <c r="AF60" s="15"/>
      <c r="AG60" s="184"/>
      <c r="AH60" s="15"/>
      <c r="AI60" s="15"/>
      <c r="AJ60" s="15"/>
      <c r="AK60" s="15"/>
      <c r="AL60" s="15"/>
      <c r="AM60" s="15"/>
      <c r="AN60" s="184"/>
      <c r="AO60" s="15"/>
      <c r="AP60" s="15"/>
      <c r="AQ60" s="15"/>
      <c r="AR60" s="15"/>
      <c r="AS60" s="15"/>
      <c r="AT60" s="15"/>
      <c r="AU60" s="184"/>
      <c r="AV60" s="15"/>
      <c r="AW60" s="15"/>
      <c r="AX60" s="15"/>
      <c r="AY60" s="15"/>
      <c r="AZ60" s="15"/>
      <c r="BA60" s="15"/>
      <c r="BB60" s="184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84"/>
      <c r="CE60" s="15"/>
      <c r="CF60" s="15"/>
      <c r="CG60" s="15"/>
      <c r="CH60" s="15"/>
      <c r="CI60" s="15"/>
      <c r="CJ60" s="15"/>
      <c r="CK60" s="184"/>
      <c r="CL60" s="15"/>
      <c r="CM60" s="15"/>
      <c r="CN60" s="15"/>
      <c r="CO60" s="15"/>
      <c r="CP60" s="15"/>
      <c r="CQ60" s="15"/>
      <c r="CR60" s="184"/>
      <c r="CS60" s="15"/>
      <c r="CT60" s="15"/>
      <c r="CU60" s="15"/>
      <c r="CV60" s="15"/>
      <c r="CW60" s="15"/>
      <c r="CX60" s="15"/>
      <c r="CY60" s="184"/>
      <c r="CZ60" s="15"/>
      <c r="DA60" s="15"/>
      <c r="DB60" s="15"/>
      <c r="DC60" s="15"/>
      <c r="DD60" s="15"/>
      <c r="DE60" s="15"/>
      <c r="DF60" s="184"/>
      <c r="DG60" s="15"/>
      <c r="DH60" s="15"/>
      <c r="DI60" s="15"/>
      <c r="DJ60" s="15"/>
      <c r="DK60" s="15"/>
      <c r="DL60" s="15"/>
      <c r="DM60" s="184"/>
      <c r="DN60" s="15"/>
      <c r="DO60" s="15"/>
      <c r="DP60" s="15"/>
      <c r="DQ60" s="15"/>
      <c r="DR60" s="15"/>
      <c r="DS60" s="15"/>
      <c r="DT60" s="184"/>
      <c r="DU60" s="15"/>
      <c r="DV60" s="15"/>
      <c r="DW60" s="15"/>
      <c r="DX60" s="15"/>
      <c r="DY60" s="15"/>
      <c r="DZ60" s="15"/>
      <c r="EA60" s="184"/>
      <c r="EB60" s="15"/>
      <c r="EC60" s="15"/>
      <c r="ED60" s="15"/>
      <c r="EE60" s="15"/>
      <c r="EF60" s="15"/>
      <c r="EG60" s="15"/>
      <c r="EH60" s="184"/>
      <c r="EI60" s="15"/>
      <c r="EJ60" s="15"/>
      <c r="EK60" s="15"/>
      <c r="EL60" s="15"/>
      <c r="EM60" s="15"/>
      <c r="EN60" s="15"/>
      <c r="EO60" s="184"/>
      <c r="EP60" s="15"/>
      <c r="EQ60" s="15"/>
      <c r="ER60" s="15"/>
      <c r="ES60" s="15"/>
      <c r="ET60" s="15"/>
      <c r="EU60" s="15"/>
      <c r="EV60" s="184"/>
      <c r="EW60" s="15"/>
      <c r="EX60" s="15"/>
      <c r="EY60" s="15"/>
      <c r="EZ60" s="15"/>
      <c r="FA60" s="15"/>
      <c r="FB60" s="15"/>
      <c r="FC60" s="184"/>
      <c r="FD60" s="15"/>
      <c r="FE60" s="15"/>
      <c r="FF60" s="15"/>
      <c r="FG60" s="15"/>
      <c r="FH60" s="15"/>
      <c r="FI60" s="15"/>
      <c r="FJ60" s="184"/>
      <c r="FK60" s="15"/>
      <c r="FL60" s="15"/>
      <c r="FM60" s="15"/>
      <c r="FN60" s="15"/>
      <c r="FO60" s="15"/>
      <c r="FP60" s="15"/>
      <c r="FQ60" s="184"/>
      <c r="FR60" s="15"/>
      <c r="FS60" s="15"/>
      <c r="FT60" s="15"/>
      <c r="FU60" s="15"/>
      <c r="FV60" s="15"/>
      <c r="FW60" s="178"/>
      <c r="FX60" s="184"/>
      <c r="FY60" s="181"/>
      <c r="FZ60" s="15"/>
      <c r="GA60" s="15"/>
      <c r="GB60" s="15"/>
      <c r="GC60" s="15"/>
      <c r="GD60" s="15"/>
      <c r="GE60" s="184"/>
      <c r="GF60" s="15"/>
      <c r="GG60" s="15"/>
      <c r="GH60" s="15"/>
      <c r="GI60" s="15"/>
      <c r="GJ60" s="15"/>
      <c r="GK60" s="15"/>
      <c r="GL60" s="184"/>
      <c r="GM60" s="15"/>
      <c r="GN60" s="15"/>
      <c r="GO60" s="15"/>
      <c r="GP60" s="15"/>
      <c r="GQ60" s="15"/>
      <c r="GR60" s="15"/>
      <c r="GS60" s="184"/>
      <c r="GT60" s="15"/>
      <c r="GU60" s="15"/>
      <c r="GV60" s="15"/>
      <c r="GW60" s="15"/>
      <c r="GX60" s="15"/>
      <c r="GY60" s="15"/>
      <c r="GZ60" s="184"/>
      <c r="HA60" s="15"/>
      <c r="HB60" s="15"/>
      <c r="HC60" s="15"/>
      <c r="HD60" s="15"/>
      <c r="HE60" s="15"/>
      <c r="HF60" s="15"/>
      <c r="HG60" s="184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  <c r="MG60" s="15"/>
      <c r="MH60" s="15"/>
      <c r="MI60" s="15"/>
      <c r="MJ60" s="15"/>
      <c r="MK60" s="15"/>
      <c r="ML60" s="15"/>
      <c r="MM60" s="15"/>
      <c r="MN60" s="15"/>
      <c r="MO60" s="15"/>
      <c r="MP60" s="15"/>
      <c r="MQ60" s="15"/>
      <c r="MR60" s="15"/>
      <c r="MS60" s="15"/>
      <c r="MT60" s="15"/>
      <c r="MU60" s="15"/>
      <c r="MV60" s="15"/>
      <c r="MW60" s="15"/>
      <c r="MX60" s="15"/>
      <c r="MY60" s="15"/>
      <c r="MZ60" s="15"/>
      <c r="NA60" s="15"/>
      <c r="NB60" s="15"/>
      <c r="NC60" s="15"/>
      <c r="ND60" s="15"/>
      <c r="NE60" s="15"/>
      <c r="NF60" s="15"/>
      <c r="NG60" s="15"/>
      <c r="NH60" s="15"/>
      <c r="NI60" s="15"/>
      <c r="NJ60" s="15"/>
      <c r="NK60" s="15"/>
      <c r="NL60" s="15"/>
      <c r="NM60" s="15"/>
      <c r="NN60" s="15"/>
      <c r="NO60" s="15"/>
      <c r="NP60" s="15"/>
      <c r="NQ60" s="15"/>
      <c r="NR60" s="15"/>
      <c r="NS60" s="15"/>
      <c r="NT60" s="15"/>
      <c r="NU60" s="15"/>
      <c r="NV60" s="15"/>
      <c r="NW60" s="15"/>
      <c r="NX60" s="15"/>
      <c r="NY60" s="15"/>
      <c r="NZ60" s="15"/>
    </row>
    <row r="61" spans="2:390" ht="19.5" customHeight="1" x14ac:dyDescent="0.45">
      <c r="B61" s="1">
        <f t="shared" si="99"/>
        <v>2</v>
      </c>
      <c r="C61" s="1">
        <f t="shared" si="99"/>
        <v>4</v>
      </c>
      <c r="D61" s="1">
        <f t="shared" si="100"/>
        <v>4</v>
      </c>
      <c r="E61" s="192" t="s">
        <v>128</v>
      </c>
      <c r="F61" s="193" t="s">
        <v>148</v>
      </c>
      <c r="G61" s="23"/>
      <c r="H61" s="52" t="s">
        <v>117</v>
      </c>
      <c r="I61" s="126"/>
      <c r="J61" s="126"/>
      <c r="K61" s="127"/>
      <c r="L61" s="127"/>
      <c r="M61" s="128"/>
      <c r="N61" s="128"/>
      <c r="O61" s="129"/>
      <c r="P61" s="51">
        <f t="shared" si="101"/>
        <v>0</v>
      </c>
      <c r="Q61" s="51">
        <f t="shared" si="102"/>
        <v>0</v>
      </c>
      <c r="R61" s="187"/>
      <c r="S61" s="64"/>
      <c r="T61" s="155" t="str">
        <f t="shared" si="84"/>
        <v/>
      </c>
      <c r="U61" s="22"/>
      <c r="V61" s="199">
        <f t="shared" si="85"/>
        <v>0</v>
      </c>
      <c r="W61" s="158"/>
      <c r="X61" s="159"/>
      <c r="Y61" s="199">
        <f t="shared" si="86"/>
        <v>0</v>
      </c>
      <c r="Z61" s="36"/>
      <c r="AA61" s="15"/>
      <c r="AB61" s="15"/>
      <c r="AC61" s="15"/>
      <c r="AD61" s="15"/>
      <c r="AE61" s="15"/>
      <c r="AF61" s="15"/>
      <c r="AG61" s="184"/>
      <c r="AH61" s="15"/>
      <c r="AI61" s="15"/>
      <c r="AJ61" s="15"/>
      <c r="AK61" s="15"/>
      <c r="AL61" s="15"/>
      <c r="AM61" s="15"/>
      <c r="AN61" s="184"/>
      <c r="AO61" s="15"/>
      <c r="AP61" s="15"/>
      <c r="AQ61" s="15"/>
      <c r="AR61" s="15"/>
      <c r="AS61" s="15"/>
      <c r="AT61" s="15"/>
      <c r="AU61" s="184"/>
      <c r="AV61" s="15"/>
      <c r="AW61" s="15"/>
      <c r="AX61" s="15"/>
      <c r="AY61" s="15"/>
      <c r="AZ61" s="15"/>
      <c r="BA61" s="15"/>
      <c r="BB61" s="184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84"/>
      <c r="CE61" s="15"/>
      <c r="CF61" s="15"/>
      <c r="CG61" s="15"/>
      <c r="CH61" s="15"/>
      <c r="CI61" s="15"/>
      <c r="CJ61" s="15"/>
      <c r="CK61" s="184"/>
      <c r="CL61" s="15"/>
      <c r="CM61" s="15"/>
      <c r="CN61" s="15"/>
      <c r="CO61" s="15"/>
      <c r="CP61" s="15"/>
      <c r="CQ61" s="15"/>
      <c r="CR61" s="184"/>
      <c r="CS61" s="15"/>
      <c r="CT61" s="15"/>
      <c r="CU61" s="15"/>
      <c r="CV61" s="15"/>
      <c r="CW61" s="15"/>
      <c r="CX61" s="15"/>
      <c r="CY61" s="184"/>
      <c r="CZ61" s="15"/>
      <c r="DA61" s="15"/>
      <c r="DB61" s="15"/>
      <c r="DC61" s="15"/>
      <c r="DD61" s="15"/>
      <c r="DE61" s="15"/>
      <c r="DF61" s="184"/>
      <c r="DG61" s="15"/>
      <c r="DH61" s="15"/>
      <c r="DI61" s="15"/>
      <c r="DJ61" s="15"/>
      <c r="DK61" s="15"/>
      <c r="DL61" s="15"/>
      <c r="DM61" s="184"/>
      <c r="DN61" s="15"/>
      <c r="DO61" s="15"/>
      <c r="DP61" s="15"/>
      <c r="DQ61" s="15"/>
      <c r="DR61" s="15"/>
      <c r="DS61" s="15"/>
      <c r="DT61" s="184"/>
      <c r="DU61" s="15"/>
      <c r="DV61" s="15"/>
      <c r="DW61" s="15"/>
      <c r="DX61" s="15"/>
      <c r="DY61" s="15"/>
      <c r="DZ61" s="15"/>
      <c r="EA61" s="184"/>
      <c r="EB61" s="15"/>
      <c r="EC61" s="15"/>
      <c r="ED61" s="15"/>
      <c r="EE61" s="15"/>
      <c r="EF61" s="15"/>
      <c r="EG61" s="15"/>
      <c r="EH61" s="184"/>
      <c r="EI61" s="15"/>
      <c r="EJ61" s="15"/>
      <c r="EK61" s="15"/>
      <c r="EL61" s="15"/>
      <c r="EM61" s="15"/>
      <c r="EN61" s="15"/>
      <c r="EO61" s="184"/>
      <c r="EP61" s="15"/>
      <c r="EQ61" s="15"/>
      <c r="ER61" s="15"/>
      <c r="ES61" s="15"/>
      <c r="ET61" s="15"/>
      <c r="EU61" s="15"/>
      <c r="EV61" s="184"/>
      <c r="EW61" s="15"/>
      <c r="EX61" s="15"/>
      <c r="EY61" s="15"/>
      <c r="EZ61" s="15"/>
      <c r="FA61" s="15"/>
      <c r="FB61" s="15"/>
      <c r="FC61" s="184"/>
      <c r="FD61" s="15"/>
      <c r="FE61" s="15"/>
      <c r="FF61" s="15"/>
      <c r="FG61" s="15"/>
      <c r="FH61" s="15"/>
      <c r="FI61" s="15"/>
      <c r="FJ61" s="184"/>
      <c r="FK61" s="15"/>
      <c r="FL61" s="15"/>
      <c r="FM61" s="15"/>
      <c r="FN61" s="15"/>
      <c r="FO61" s="15"/>
      <c r="FP61" s="15"/>
      <c r="FQ61" s="184"/>
      <c r="FR61" s="15"/>
      <c r="FS61" s="15"/>
      <c r="FT61" s="15"/>
      <c r="FU61" s="15"/>
      <c r="FV61" s="15"/>
      <c r="FW61" s="178"/>
      <c r="FX61" s="184"/>
      <c r="FY61" s="181"/>
      <c r="FZ61" s="15"/>
      <c r="GA61" s="15"/>
      <c r="GB61" s="15"/>
      <c r="GC61" s="15"/>
      <c r="GD61" s="15"/>
      <c r="GE61" s="184"/>
      <c r="GF61" s="15"/>
      <c r="GG61" s="15"/>
      <c r="GH61" s="15"/>
      <c r="GI61" s="15"/>
      <c r="GJ61" s="15"/>
      <c r="GK61" s="15"/>
      <c r="GL61" s="184"/>
      <c r="GM61" s="15"/>
      <c r="GN61" s="15"/>
      <c r="GO61" s="15"/>
      <c r="GP61" s="15"/>
      <c r="GQ61" s="15"/>
      <c r="GR61" s="15"/>
      <c r="GS61" s="184"/>
      <c r="GT61" s="15"/>
      <c r="GU61" s="15"/>
      <c r="GV61" s="15"/>
      <c r="GW61" s="15"/>
      <c r="GX61" s="15"/>
      <c r="GY61" s="15"/>
      <c r="GZ61" s="184"/>
      <c r="HA61" s="15"/>
      <c r="HB61" s="15"/>
      <c r="HC61" s="15"/>
      <c r="HD61" s="15"/>
      <c r="HE61" s="15"/>
      <c r="HF61" s="15"/>
      <c r="HG61" s="184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</row>
    <row r="62" spans="2:390" ht="19.5" customHeight="1" x14ac:dyDescent="0.45">
      <c r="B62" s="1">
        <f t="shared" si="99"/>
        <v>2</v>
      </c>
      <c r="C62" s="1">
        <f t="shared" si="99"/>
        <v>4</v>
      </c>
      <c r="D62" s="1">
        <f t="shared" si="100"/>
        <v>5</v>
      </c>
      <c r="E62" s="59" t="s">
        <v>129</v>
      </c>
      <c r="F62" s="23" t="s">
        <v>19</v>
      </c>
      <c r="G62" s="191">
        <v>2.2999999999999998</v>
      </c>
      <c r="H62" s="52" t="s">
        <v>117</v>
      </c>
      <c r="I62" s="52" t="s">
        <v>157</v>
      </c>
      <c r="J62" s="52">
        <v>28</v>
      </c>
      <c r="K62" s="52">
        <v>16</v>
      </c>
      <c r="L62" s="52">
        <f t="shared" ref="L62:L68" si="103">+J62-K62</f>
        <v>12</v>
      </c>
      <c r="M62" s="52">
        <v>3</v>
      </c>
      <c r="N62" s="52">
        <v>12</v>
      </c>
      <c r="O62" s="51">
        <f>+N62*M62</f>
        <v>36</v>
      </c>
      <c r="P62" s="51">
        <f t="shared" si="101"/>
        <v>36</v>
      </c>
      <c r="Q62" s="51">
        <f t="shared" si="102"/>
        <v>0</v>
      </c>
      <c r="R62" s="19">
        <v>45999</v>
      </c>
      <c r="S62" s="20">
        <v>74</v>
      </c>
      <c r="T62" s="21">
        <f t="shared" si="84"/>
        <v>46100</v>
      </c>
      <c r="U62" s="22">
        <f>+K62/J62</f>
        <v>0.5714285714285714</v>
      </c>
      <c r="V62" s="199">
        <f t="shared" si="85"/>
        <v>20.571428571428569</v>
      </c>
      <c r="W62" s="158">
        <f>SUMIFS($AA62:$NZ62, $AA$8:$NZ$8, $W$13)/$O62</f>
        <v>0</v>
      </c>
      <c r="X62" s="159">
        <f t="shared" ref="X62:X70" si="104">SUMIF($AA$9:$NZ$9, "&lt;=" &amp; $W$11,$AA62:$NZ62)/$O62</f>
        <v>0.91666666666666663</v>
      </c>
      <c r="Y62" s="199">
        <f t="shared" si="86"/>
        <v>33</v>
      </c>
      <c r="Z62" s="36"/>
      <c r="AA62" s="15"/>
      <c r="AB62" s="15"/>
      <c r="AC62" s="15"/>
      <c r="AD62" s="15"/>
      <c r="AE62" s="15"/>
      <c r="AF62" s="15"/>
      <c r="AG62" s="184"/>
      <c r="AH62" s="15"/>
      <c r="AI62" s="15"/>
      <c r="AJ62" s="15"/>
      <c r="AK62" s="15"/>
      <c r="AL62" s="15"/>
      <c r="AM62" s="15"/>
      <c r="AN62" s="184"/>
      <c r="AO62" s="15">
        <v>3</v>
      </c>
      <c r="AP62" s="15">
        <v>3</v>
      </c>
      <c r="AQ62" s="15">
        <v>3</v>
      </c>
      <c r="AR62" s="15">
        <v>3</v>
      </c>
      <c r="AS62" s="15">
        <v>3</v>
      </c>
      <c r="AT62" s="15">
        <v>3</v>
      </c>
      <c r="AU62" s="184"/>
      <c r="AV62" s="15">
        <v>3</v>
      </c>
      <c r="AW62" s="15">
        <v>3</v>
      </c>
      <c r="AX62" s="15">
        <v>3</v>
      </c>
      <c r="AY62" s="15">
        <v>3</v>
      </c>
      <c r="AZ62" s="15">
        <v>3</v>
      </c>
      <c r="BA62" s="15">
        <v>0</v>
      </c>
      <c r="BB62" s="184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84"/>
      <c r="CE62" s="15"/>
      <c r="CF62" s="15"/>
      <c r="CG62" s="15"/>
      <c r="CH62" s="15"/>
      <c r="CI62" s="15"/>
      <c r="CJ62" s="15"/>
      <c r="CK62" s="184"/>
      <c r="CL62" s="15"/>
      <c r="CM62" s="15"/>
      <c r="CN62" s="15"/>
      <c r="CO62" s="15"/>
      <c r="CP62" s="15"/>
      <c r="CQ62" s="15"/>
      <c r="CR62" s="184"/>
      <c r="CS62" s="15"/>
      <c r="CT62" s="15"/>
      <c r="CU62" s="15"/>
      <c r="CV62" s="15"/>
      <c r="CW62" s="15"/>
      <c r="CX62" s="15"/>
      <c r="CY62" s="184"/>
      <c r="CZ62" s="15"/>
      <c r="DA62" s="15"/>
      <c r="DB62" s="15"/>
      <c r="DC62" s="15"/>
      <c r="DD62" s="15"/>
      <c r="DE62" s="15"/>
      <c r="DF62" s="184"/>
      <c r="DG62" s="15"/>
      <c r="DH62" s="15"/>
      <c r="DI62" s="15"/>
      <c r="DJ62" s="15"/>
      <c r="DK62" s="15"/>
      <c r="DL62" s="15"/>
      <c r="DM62" s="184"/>
      <c r="DN62" s="15"/>
      <c r="DO62" s="15"/>
      <c r="DP62" s="15"/>
      <c r="DQ62" s="15"/>
      <c r="DR62" s="15"/>
      <c r="DS62" s="15"/>
      <c r="DT62" s="184"/>
      <c r="DU62" s="15"/>
      <c r="DV62" s="15"/>
      <c r="DW62" s="15"/>
      <c r="DX62" s="15"/>
      <c r="DY62" s="15"/>
      <c r="DZ62" s="15"/>
      <c r="EA62" s="184"/>
      <c r="EB62" s="15"/>
      <c r="EC62" s="15"/>
      <c r="ED62" s="15"/>
      <c r="EE62" s="15"/>
      <c r="EF62" s="15"/>
      <c r="EG62" s="15"/>
      <c r="EH62" s="184"/>
      <c r="EI62" s="15"/>
      <c r="EJ62" s="15"/>
      <c r="EK62" s="15"/>
      <c r="EL62" s="15">
        <v>3</v>
      </c>
      <c r="EM62" s="15"/>
      <c r="EN62" s="15"/>
      <c r="EO62" s="184"/>
      <c r="EP62" s="15"/>
      <c r="EQ62" s="15"/>
      <c r="ER62" s="15"/>
      <c r="ES62" s="15"/>
      <c r="ET62" s="15"/>
      <c r="EU62" s="15"/>
      <c r="EV62" s="184"/>
      <c r="EW62" s="15"/>
      <c r="EX62" s="15"/>
      <c r="EY62" s="15"/>
      <c r="FA62" s="15"/>
      <c r="FB62" s="15"/>
      <c r="FC62" s="184"/>
      <c r="FD62" s="15"/>
      <c r="FE62" s="15"/>
      <c r="FF62" s="15"/>
      <c r="FG62" s="15"/>
      <c r="FH62" s="15"/>
      <c r="FI62" s="15"/>
      <c r="FJ62" s="184"/>
      <c r="FK62" s="15"/>
      <c r="FL62" s="15"/>
      <c r="FM62" s="15"/>
      <c r="FN62" s="15"/>
      <c r="FO62" s="15"/>
      <c r="FP62" s="15"/>
      <c r="FQ62" s="184"/>
      <c r="FR62" s="15"/>
      <c r="FS62" s="15"/>
      <c r="FT62" s="15"/>
      <c r="FU62" s="15"/>
      <c r="FV62" s="15"/>
      <c r="FW62" s="178"/>
      <c r="FX62" s="184"/>
      <c r="FY62" s="181"/>
      <c r="FZ62" s="15"/>
      <c r="GA62" s="15"/>
      <c r="GB62" s="15"/>
      <c r="GC62" s="15"/>
      <c r="GD62" s="15"/>
      <c r="GE62" s="184"/>
      <c r="GF62" s="15"/>
      <c r="GG62" s="15"/>
      <c r="GH62" s="15"/>
      <c r="GI62" s="15"/>
      <c r="GJ62" s="15"/>
      <c r="GK62" s="15"/>
      <c r="GL62" s="184"/>
      <c r="GM62" s="15"/>
      <c r="GN62" s="15"/>
      <c r="GO62" s="15"/>
      <c r="GP62" s="15"/>
      <c r="GQ62" s="15"/>
      <c r="GR62" s="15"/>
      <c r="GS62" s="184"/>
      <c r="GT62" s="15"/>
      <c r="GU62" s="15"/>
      <c r="GV62" s="15"/>
      <c r="GW62" s="15"/>
      <c r="GX62" s="15"/>
      <c r="GY62" s="15"/>
      <c r="GZ62" s="184"/>
      <c r="HA62" s="15"/>
      <c r="HB62" s="15"/>
      <c r="HC62" s="15"/>
      <c r="HD62" s="15"/>
      <c r="HE62" s="15"/>
      <c r="HF62" s="15"/>
      <c r="HG62" s="184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  <c r="MH62" s="15"/>
      <c r="MI62" s="15"/>
      <c r="MJ62" s="15"/>
      <c r="MK62" s="15"/>
      <c r="ML62" s="15"/>
      <c r="MM62" s="15"/>
      <c r="MN62" s="15"/>
      <c r="MO62" s="15"/>
      <c r="MP62" s="15"/>
      <c r="MQ62" s="15"/>
      <c r="MR62" s="15"/>
      <c r="MS62" s="15"/>
      <c r="MT62" s="15"/>
      <c r="MU62" s="15"/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  <c r="NH62" s="15"/>
      <c r="NI62" s="15"/>
      <c r="NJ62" s="15"/>
      <c r="NK62" s="15"/>
      <c r="NL62" s="15"/>
      <c r="NM62" s="15"/>
      <c r="NN62" s="15"/>
      <c r="NO62" s="15"/>
      <c r="NP62" s="15"/>
      <c r="NQ62" s="15"/>
      <c r="NR62" s="15"/>
      <c r="NS62" s="15"/>
      <c r="NT62" s="15"/>
      <c r="NU62" s="15"/>
      <c r="NV62" s="15"/>
      <c r="NW62" s="15"/>
      <c r="NX62" s="15"/>
      <c r="NY62" s="15"/>
      <c r="NZ62" s="15"/>
    </row>
    <row r="63" spans="2:390" ht="19.5" customHeight="1" x14ac:dyDescent="0.45">
      <c r="B63" s="1">
        <f t="shared" si="99"/>
        <v>2</v>
      </c>
      <c r="C63" s="1">
        <f t="shared" si="99"/>
        <v>4</v>
      </c>
      <c r="D63" s="1">
        <f t="shared" si="100"/>
        <v>6</v>
      </c>
      <c r="E63" s="59" t="s">
        <v>130</v>
      </c>
      <c r="F63" s="23" t="s">
        <v>20</v>
      </c>
      <c r="G63" s="191">
        <v>2.2999999999999998</v>
      </c>
      <c r="H63" s="52" t="s">
        <v>117</v>
      </c>
      <c r="I63" s="52" t="s">
        <v>157</v>
      </c>
      <c r="J63" s="52">
        <v>31</v>
      </c>
      <c r="K63" s="52">
        <v>25</v>
      </c>
      <c r="L63" s="52">
        <f t="shared" si="103"/>
        <v>6</v>
      </c>
      <c r="M63" s="52">
        <v>3</v>
      </c>
      <c r="N63" s="52">
        <v>12</v>
      </c>
      <c r="O63" s="51">
        <f>+N63*M63</f>
        <v>36</v>
      </c>
      <c r="P63" s="51">
        <f t="shared" si="101"/>
        <v>36</v>
      </c>
      <c r="Q63" s="51">
        <f t="shared" si="102"/>
        <v>0</v>
      </c>
      <c r="R63" s="19">
        <v>46034</v>
      </c>
      <c r="S63" s="20">
        <v>59</v>
      </c>
      <c r="T63" s="21">
        <f t="shared" si="84"/>
        <v>46114</v>
      </c>
      <c r="U63" s="22">
        <f>+K63/J63</f>
        <v>0.80645161290322576</v>
      </c>
      <c r="V63" s="199">
        <f t="shared" si="85"/>
        <v>29.032258064516128</v>
      </c>
      <c r="W63" s="158">
        <f>SUMIFS($AA63:$NZ63, $AA$8:$NZ$8, $W$13)/$O63</f>
        <v>0</v>
      </c>
      <c r="X63" s="159">
        <f t="shared" si="104"/>
        <v>0</v>
      </c>
      <c r="Y63" s="199">
        <f t="shared" si="86"/>
        <v>0</v>
      </c>
      <c r="Z63" s="36"/>
      <c r="AA63" s="15"/>
      <c r="AB63" s="15"/>
      <c r="AC63" s="15"/>
      <c r="AD63" s="15"/>
      <c r="AE63" s="15"/>
      <c r="AF63" s="15"/>
      <c r="AG63" s="184"/>
      <c r="AH63" s="15"/>
      <c r="AI63" s="15"/>
      <c r="AJ63" s="15"/>
      <c r="AK63" s="15"/>
      <c r="AL63" s="15"/>
      <c r="AM63" s="15"/>
      <c r="AN63" s="184"/>
      <c r="AO63" s="15"/>
      <c r="AP63" s="15"/>
      <c r="AQ63" s="15"/>
      <c r="AR63" s="15"/>
      <c r="AS63" s="15"/>
      <c r="AT63" s="15"/>
      <c r="AU63" s="184"/>
      <c r="AV63" s="15"/>
      <c r="AW63" s="15"/>
      <c r="AX63" s="15"/>
      <c r="AY63" s="15"/>
      <c r="AZ63" s="15"/>
      <c r="BA63" s="15"/>
      <c r="BB63" s="184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84"/>
      <c r="CE63" s="15"/>
      <c r="CF63" s="15"/>
      <c r="CG63" s="15"/>
      <c r="CH63" s="15"/>
      <c r="CI63" s="15"/>
      <c r="CJ63" s="15"/>
      <c r="CK63" s="184"/>
      <c r="CL63" s="15"/>
      <c r="CM63" s="15"/>
      <c r="CN63" s="15"/>
      <c r="CO63" s="15"/>
      <c r="CP63" s="15"/>
      <c r="CQ63" s="15"/>
      <c r="CR63" s="184"/>
      <c r="CS63" s="15"/>
      <c r="CT63" s="15"/>
      <c r="CU63" s="15"/>
      <c r="CV63" s="15"/>
      <c r="CW63" s="15"/>
      <c r="CX63" s="15"/>
      <c r="CY63" s="184"/>
      <c r="CZ63" s="15"/>
      <c r="DA63" s="15"/>
      <c r="DB63" s="15"/>
      <c r="DC63" s="15"/>
      <c r="DD63" s="15"/>
      <c r="DE63" s="15"/>
      <c r="DF63" s="184"/>
      <c r="DG63" s="15"/>
      <c r="DH63" s="15"/>
      <c r="DI63" s="15"/>
      <c r="DJ63" s="15"/>
      <c r="DK63" s="15"/>
      <c r="DL63" s="15"/>
      <c r="DM63" s="184"/>
      <c r="DN63" s="15"/>
      <c r="DO63" s="15"/>
      <c r="DP63" s="15"/>
      <c r="DQ63" s="15"/>
      <c r="DR63" s="15"/>
      <c r="DS63" s="15"/>
      <c r="DT63" s="184"/>
      <c r="DU63" s="15"/>
      <c r="DV63" s="15"/>
      <c r="DW63" s="15"/>
      <c r="DX63" s="15"/>
      <c r="DY63" s="15"/>
      <c r="DZ63" s="15"/>
      <c r="EA63" s="184"/>
      <c r="EB63" s="15"/>
      <c r="EC63" s="15"/>
      <c r="ED63" s="15"/>
      <c r="EE63" s="15"/>
      <c r="EF63" s="15"/>
      <c r="EG63" s="15"/>
      <c r="EH63" s="184"/>
      <c r="EI63" s="15"/>
      <c r="EJ63" s="15"/>
      <c r="EK63" s="15"/>
      <c r="EL63" s="15"/>
      <c r="EM63" s="15">
        <v>3</v>
      </c>
      <c r="EN63" s="15">
        <v>3</v>
      </c>
      <c r="EO63" s="184"/>
      <c r="EP63" s="15">
        <v>3</v>
      </c>
      <c r="EQ63" s="15">
        <v>3</v>
      </c>
      <c r="ER63" s="15">
        <v>3</v>
      </c>
      <c r="ES63" s="15">
        <v>3</v>
      </c>
      <c r="ET63" s="15">
        <v>3</v>
      </c>
      <c r="EU63" s="15">
        <v>3</v>
      </c>
      <c r="EV63" s="184"/>
      <c r="EW63" s="15">
        <v>3</v>
      </c>
      <c r="EX63" s="15">
        <v>3</v>
      </c>
      <c r="EY63" s="15">
        <v>3</v>
      </c>
      <c r="EZ63" s="15">
        <v>3</v>
      </c>
      <c r="FA63" s="15"/>
      <c r="FB63" s="15"/>
      <c r="FC63" s="184"/>
      <c r="FD63" s="15"/>
      <c r="FE63" s="15"/>
      <c r="FF63" s="15"/>
      <c r="FG63" s="15"/>
      <c r="FH63" s="15"/>
      <c r="FI63" s="15"/>
      <c r="FJ63" s="184"/>
      <c r="FK63" s="15"/>
      <c r="FL63" s="15"/>
      <c r="FM63" s="15"/>
      <c r="FN63" s="15"/>
      <c r="FO63" s="15"/>
      <c r="FP63" s="15"/>
      <c r="FQ63" s="184"/>
      <c r="FR63" s="15"/>
      <c r="FS63" s="15"/>
      <c r="FT63" s="15"/>
      <c r="FU63" s="15"/>
      <c r="FV63" s="15"/>
      <c r="FW63" s="178"/>
      <c r="FX63" s="184"/>
      <c r="FY63" s="181"/>
      <c r="FZ63" s="15"/>
      <c r="GA63" s="15"/>
      <c r="GB63" s="15"/>
      <c r="GC63" s="15"/>
      <c r="GD63" s="15"/>
      <c r="GE63" s="184"/>
      <c r="GF63" s="15"/>
      <c r="GG63" s="15"/>
      <c r="GH63" s="15"/>
      <c r="GI63" s="15"/>
      <c r="GJ63" s="15"/>
      <c r="GK63" s="15"/>
      <c r="GL63" s="184"/>
      <c r="GM63" s="15"/>
      <c r="GN63" s="15"/>
      <c r="GO63" s="15"/>
      <c r="GP63" s="15"/>
      <c r="GQ63" s="15"/>
      <c r="GR63" s="15"/>
      <c r="GS63" s="184"/>
      <c r="GT63" s="15"/>
      <c r="GU63" s="15"/>
      <c r="GV63" s="15"/>
      <c r="GW63" s="15"/>
      <c r="GX63" s="15"/>
      <c r="GY63" s="15"/>
      <c r="GZ63" s="184"/>
      <c r="HA63" s="15"/>
      <c r="HB63" s="15"/>
      <c r="HC63" s="15"/>
      <c r="HD63" s="15"/>
      <c r="HE63" s="15"/>
      <c r="HF63" s="15"/>
      <c r="HG63" s="184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</row>
    <row r="64" spans="2:390" ht="19.5" customHeight="1" x14ac:dyDescent="0.45">
      <c r="B64" s="1">
        <f t="shared" si="99"/>
        <v>2</v>
      </c>
      <c r="C64" s="1">
        <f>+C63+1</f>
        <v>5</v>
      </c>
      <c r="D64" s="1">
        <v>0</v>
      </c>
      <c r="E64" s="93" t="str">
        <f t="shared" ref="E64:E88" si="105">B64&amp;"."&amp;C64&amp;"."&amp;D64</f>
        <v>2.5.0</v>
      </c>
      <c r="F64" s="94" t="s">
        <v>136</v>
      </c>
      <c r="G64" s="94"/>
      <c r="H64" s="97" t="s">
        <v>117</v>
      </c>
      <c r="I64" s="97" t="s">
        <v>157</v>
      </c>
      <c r="J64" s="66">
        <v>2</v>
      </c>
      <c r="K64" s="66">
        <v>2</v>
      </c>
      <c r="L64" s="97">
        <f t="shared" si="103"/>
        <v>0</v>
      </c>
      <c r="M64" s="95">
        <v>4</v>
      </c>
      <c r="N64" s="95">
        <v>4</v>
      </c>
      <c r="O64" s="95">
        <f>+N64*M64</f>
        <v>16</v>
      </c>
      <c r="P64" s="95"/>
      <c r="Q64" s="95"/>
      <c r="R64" s="168">
        <v>45988</v>
      </c>
      <c r="S64" s="98">
        <v>2</v>
      </c>
      <c r="T64" s="163">
        <f t="shared" si="84"/>
        <v>45989</v>
      </c>
      <c r="U64" s="164">
        <f>+K64/J64</f>
        <v>1</v>
      </c>
      <c r="V64" s="200">
        <f t="shared" si="85"/>
        <v>16</v>
      </c>
      <c r="W64" s="158">
        <f>SUMIFS($AA64:$NZ64, $AA$8:$NZ$8, $W$13)/$O64</f>
        <v>0</v>
      </c>
      <c r="X64" s="159">
        <f t="shared" si="104"/>
        <v>0.75</v>
      </c>
      <c r="Y64" s="199">
        <f t="shared" si="86"/>
        <v>12</v>
      </c>
      <c r="Z64" s="36"/>
      <c r="AA64" s="15"/>
      <c r="AB64" s="15"/>
      <c r="AC64" s="15"/>
      <c r="AD64" s="15">
        <v>4</v>
      </c>
      <c r="AE64" s="15">
        <v>4</v>
      </c>
      <c r="AF64" s="15">
        <v>4</v>
      </c>
      <c r="AG64" s="184"/>
      <c r="AH64" s="15"/>
      <c r="AI64" s="15"/>
      <c r="AJ64" s="15"/>
      <c r="AK64" s="15"/>
      <c r="AL64" s="15"/>
      <c r="AM64" s="15"/>
      <c r="AN64" s="184"/>
      <c r="AO64" s="15"/>
      <c r="AP64" s="15"/>
      <c r="AQ64" s="15"/>
      <c r="AR64" s="15"/>
      <c r="AS64" s="15"/>
      <c r="AT64" s="15"/>
      <c r="AU64" s="184"/>
      <c r="AV64" s="15"/>
      <c r="AW64" s="15"/>
      <c r="AX64" s="15"/>
      <c r="AY64" s="15"/>
      <c r="AZ64" s="15"/>
      <c r="BA64" s="15"/>
      <c r="BB64" s="184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84"/>
      <c r="CE64" s="15"/>
      <c r="CF64" s="15"/>
      <c r="CG64" s="15"/>
      <c r="CH64" s="15"/>
      <c r="CI64" s="15"/>
      <c r="CJ64" s="15"/>
      <c r="CK64" s="184"/>
      <c r="CL64" s="15"/>
      <c r="CM64" s="15"/>
      <c r="CN64" s="15"/>
      <c r="CO64" s="15"/>
      <c r="CP64" s="15"/>
      <c r="CQ64" s="15"/>
      <c r="CR64" s="184"/>
      <c r="CS64" s="15"/>
      <c r="CT64" s="15"/>
      <c r="CU64" s="15"/>
      <c r="CV64" s="15"/>
      <c r="CW64" s="15"/>
      <c r="CX64" s="15"/>
      <c r="CY64" s="184"/>
      <c r="CZ64" s="15"/>
      <c r="DA64" s="15"/>
      <c r="DB64" s="15"/>
      <c r="DC64" s="15"/>
      <c r="DD64" s="15"/>
      <c r="DE64" s="15"/>
      <c r="DF64" s="184"/>
      <c r="DG64" s="15"/>
      <c r="DH64" s="15"/>
      <c r="DI64" s="15"/>
      <c r="DJ64" s="15"/>
      <c r="DK64" s="15"/>
      <c r="DL64" s="15"/>
      <c r="DM64" s="184"/>
      <c r="DN64" s="15"/>
      <c r="DO64" s="15"/>
      <c r="DP64" s="15"/>
      <c r="DQ64" s="15"/>
      <c r="DR64" s="15"/>
      <c r="DS64" s="15"/>
      <c r="DT64" s="184"/>
      <c r="DU64" s="15"/>
      <c r="DV64" s="15"/>
      <c r="DW64" s="15"/>
      <c r="DX64" s="15"/>
      <c r="DY64" s="15"/>
      <c r="DZ64" s="15"/>
      <c r="EA64" s="184"/>
      <c r="EB64" s="15"/>
      <c r="EC64" s="15"/>
      <c r="ED64" s="15"/>
      <c r="EE64" s="15"/>
      <c r="EF64" s="15"/>
      <c r="EG64" s="15"/>
      <c r="EH64" s="184"/>
      <c r="EI64" s="15"/>
      <c r="EJ64" s="15"/>
      <c r="EK64" s="15"/>
      <c r="EL64" s="15"/>
      <c r="EM64" s="15"/>
      <c r="EN64" s="15"/>
      <c r="EO64" s="184"/>
      <c r="EP64" s="15"/>
      <c r="EQ64" s="15"/>
      <c r="ER64" s="15"/>
      <c r="ES64" s="15"/>
      <c r="ET64" s="15"/>
      <c r="EU64" s="15"/>
      <c r="EV64" s="184"/>
      <c r="EW64" s="15"/>
      <c r="EX64" s="15"/>
      <c r="EY64" s="15"/>
      <c r="EZ64" s="15"/>
      <c r="FA64" s="15"/>
      <c r="FB64" s="15"/>
      <c r="FC64" s="184"/>
      <c r="FD64" s="15"/>
      <c r="FE64" s="15"/>
      <c r="FF64" s="15"/>
      <c r="FG64" s="15"/>
      <c r="FH64" s="15"/>
      <c r="FI64" s="15"/>
      <c r="FJ64" s="184"/>
      <c r="FK64" s="15"/>
      <c r="FL64" s="15"/>
      <c r="FM64" s="15"/>
      <c r="FN64" s="15"/>
      <c r="FO64" s="15"/>
      <c r="FP64" s="15"/>
      <c r="FQ64" s="184"/>
      <c r="FR64" s="15"/>
      <c r="FS64" s="15"/>
      <c r="FT64" s="15"/>
      <c r="FU64" s="15"/>
      <c r="FV64" s="15"/>
      <c r="FW64" s="178"/>
      <c r="FX64" s="184"/>
      <c r="FY64" s="181"/>
      <c r="FZ64" s="15"/>
      <c r="GA64" s="15"/>
      <c r="GB64" s="15"/>
      <c r="GC64" s="15"/>
      <c r="GD64" s="15"/>
      <c r="GE64" s="184"/>
      <c r="GF64" s="15"/>
      <c r="GG64" s="15"/>
      <c r="GH64" s="15"/>
      <c r="GI64" s="15"/>
      <c r="GJ64" s="15"/>
      <c r="GK64" s="15"/>
      <c r="GL64" s="184"/>
      <c r="GM64" s="15"/>
      <c r="GN64" s="15"/>
      <c r="GO64" s="15"/>
      <c r="GP64" s="15"/>
      <c r="GQ64" s="15"/>
      <c r="GR64" s="15"/>
      <c r="GS64" s="184"/>
      <c r="GT64" s="15"/>
      <c r="GU64" s="15"/>
      <c r="GV64" s="15"/>
      <c r="GW64" s="15"/>
      <c r="GX64" s="15"/>
      <c r="GY64" s="15"/>
      <c r="GZ64" s="184"/>
      <c r="HA64" s="15"/>
      <c r="HB64" s="15"/>
      <c r="HC64" s="15"/>
      <c r="HD64" s="15"/>
      <c r="HE64" s="15"/>
      <c r="HF64" s="15"/>
      <c r="HG64" s="184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  <c r="MH64" s="15"/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  <c r="NJ64" s="15"/>
      <c r="NK64" s="15"/>
      <c r="NL64" s="15"/>
      <c r="NM64" s="15"/>
      <c r="NN64" s="15"/>
      <c r="NO64" s="15"/>
      <c r="NP64" s="15"/>
      <c r="NQ64" s="15"/>
      <c r="NR64" s="15"/>
      <c r="NS64" s="15"/>
      <c r="NT64" s="15"/>
      <c r="NU64" s="15"/>
      <c r="NV64" s="15"/>
      <c r="NW64" s="15"/>
      <c r="NX64" s="15"/>
      <c r="NY64" s="15"/>
      <c r="NZ64" s="15"/>
    </row>
    <row r="65" spans="2:390" ht="19.5" customHeight="1" x14ac:dyDescent="0.45">
      <c r="B65" s="1">
        <f t="shared" si="99"/>
        <v>2</v>
      </c>
      <c r="C65" s="1">
        <f>+C64+1</f>
        <v>6</v>
      </c>
      <c r="D65" s="1">
        <v>0</v>
      </c>
      <c r="E65" s="93" t="str">
        <f t="shared" si="105"/>
        <v>2.6.0</v>
      </c>
      <c r="F65" s="94" t="s">
        <v>30</v>
      </c>
      <c r="G65" s="94"/>
      <c r="H65" s="95"/>
      <c r="I65" s="95"/>
      <c r="J65" s="96"/>
      <c r="K65" s="96"/>
      <c r="L65" s="96"/>
      <c r="M65" s="94"/>
      <c r="N65" s="94"/>
      <c r="O65" s="95">
        <f>SUM(O66:O68)</f>
        <v>132</v>
      </c>
      <c r="P65" s="95"/>
      <c r="Q65" s="95"/>
      <c r="R65" s="168"/>
      <c r="S65" s="98"/>
      <c r="T65" s="163" t="str">
        <f t="shared" si="84"/>
        <v/>
      </c>
      <c r="U65" s="164">
        <f>+SUMPRODUCT(U66:U68,O66:O68)/O65</f>
        <v>0</v>
      </c>
      <c r="V65" s="200">
        <f t="shared" si="85"/>
        <v>0</v>
      </c>
      <c r="W65" s="158">
        <f>SUMIFS($AA65:$NZ65, $AA$8:$NZ$8, $W$13)/$O65</f>
        <v>0</v>
      </c>
      <c r="X65" s="159">
        <f t="shared" si="104"/>
        <v>0</v>
      </c>
      <c r="Y65" s="199">
        <f t="shared" si="86"/>
        <v>0</v>
      </c>
      <c r="Z65" s="36"/>
      <c r="AA65" s="15"/>
      <c r="AB65" s="15"/>
      <c r="AC65" s="15"/>
      <c r="AD65" s="15"/>
      <c r="AE65" s="15"/>
      <c r="AF65" s="15"/>
      <c r="AG65" s="184"/>
      <c r="AH65" s="15"/>
      <c r="AI65" s="15"/>
      <c r="AJ65" s="15"/>
      <c r="AK65" s="15"/>
      <c r="AL65" s="15"/>
      <c r="AM65" s="15"/>
      <c r="AN65" s="184"/>
      <c r="AO65" s="15"/>
      <c r="AP65" s="15"/>
      <c r="AQ65" s="15"/>
      <c r="AR65" s="15"/>
      <c r="AS65" s="15"/>
      <c r="AT65" s="15"/>
      <c r="AU65" s="184"/>
      <c r="AV65" s="15"/>
      <c r="AW65" s="15"/>
      <c r="AX65" s="15"/>
      <c r="AY65" s="15"/>
      <c r="AZ65" s="15"/>
      <c r="BA65" s="15"/>
      <c r="BB65" s="184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84"/>
      <c r="CE65" s="15"/>
      <c r="CF65" s="15"/>
      <c r="CG65" s="15"/>
      <c r="CH65" s="15"/>
      <c r="CI65" s="15"/>
      <c r="CJ65" s="15"/>
      <c r="CK65" s="184"/>
      <c r="CL65" s="15"/>
      <c r="CM65" s="15"/>
      <c r="CN65" s="15"/>
      <c r="CO65" s="15"/>
      <c r="CP65" s="15"/>
      <c r="CQ65" s="15"/>
      <c r="CR65" s="184"/>
      <c r="CS65" s="15"/>
      <c r="CT65" s="15"/>
      <c r="CU65" s="15"/>
      <c r="CV65" s="15"/>
      <c r="CW65" s="15"/>
      <c r="CX65" s="15"/>
      <c r="CY65" s="184"/>
      <c r="CZ65" s="15"/>
      <c r="DA65" s="15"/>
      <c r="DB65" s="15"/>
      <c r="DC65" s="15"/>
      <c r="DD65" s="15"/>
      <c r="DE65" s="15"/>
      <c r="DF65" s="184"/>
      <c r="DG65" s="15"/>
      <c r="DH65" s="15"/>
      <c r="DI65" s="15"/>
      <c r="DJ65" s="15"/>
      <c r="DK65" s="15"/>
      <c r="DL65" s="15"/>
      <c r="DM65" s="184"/>
      <c r="DN65" s="15"/>
      <c r="DO65" s="15"/>
      <c r="DP65" s="15"/>
      <c r="DQ65" s="15"/>
      <c r="DR65" s="15"/>
      <c r="DS65" s="15"/>
      <c r="DT65" s="184"/>
      <c r="DU65" s="15"/>
      <c r="DV65" s="15"/>
      <c r="DW65" s="15"/>
      <c r="DX65" s="15"/>
      <c r="DY65" s="15"/>
      <c r="DZ65" s="15"/>
      <c r="EA65" s="184"/>
      <c r="EB65" s="15"/>
      <c r="EC65" s="15"/>
      <c r="ED65" s="15"/>
      <c r="EE65" s="15"/>
      <c r="EF65" s="15"/>
      <c r="EG65" s="15"/>
      <c r="EH65" s="184"/>
      <c r="EI65" s="15"/>
      <c r="EJ65" s="15"/>
      <c r="EK65" s="15"/>
      <c r="EL65" s="15"/>
      <c r="EM65" s="15"/>
      <c r="EN65" s="15"/>
      <c r="EO65" s="184"/>
      <c r="EP65" s="15"/>
      <c r="EQ65" s="15"/>
      <c r="ER65" s="15"/>
      <c r="ES65" s="15"/>
      <c r="ET65" s="15"/>
      <c r="EU65" s="15"/>
      <c r="EV65" s="184"/>
      <c r="EW65" s="15"/>
      <c r="EX65" s="15"/>
      <c r="EY65" s="15"/>
      <c r="EZ65" s="15"/>
      <c r="FA65" s="15"/>
      <c r="FB65" s="15"/>
      <c r="FC65" s="184"/>
      <c r="FD65" s="15"/>
      <c r="FE65" s="15"/>
      <c r="FF65" s="15"/>
      <c r="FG65" s="15"/>
      <c r="FH65" s="15"/>
      <c r="FI65" s="15"/>
      <c r="FJ65" s="184"/>
      <c r="FK65" s="15"/>
      <c r="FL65" s="15"/>
      <c r="FM65" s="15"/>
      <c r="FN65" s="15"/>
      <c r="FO65" s="15"/>
      <c r="FP65" s="15"/>
      <c r="FQ65" s="184"/>
      <c r="FR65" s="15"/>
      <c r="FS65" s="15"/>
      <c r="FT65" s="15"/>
      <c r="FU65" s="15"/>
      <c r="FV65" s="15"/>
      <c r="FW65" s="178"/>
      <c r="FX65" s="184"/>
      <c r="FY65" s="181"/>
      <c r="FZ65" s="15"/>
      <c r="GA65" s="15"/>
      <c r="GB65" s="15"/>
      <c r="GC65" s="15"/>
      <c r="GD65" s="15"/>
      <c r="GE65" s="184"/>
      <c r="GF65" s="15"/>
      <c r="GG65" s="15"/>
      <c r="GH65" s="15"/>
      <c r="GI65" s="15"/>
      <c r="GJ65" s="15"/>
      <c r="GK65" s="15"/>
      <c r="GL65" s="184"/>
      <c r="GM65" s="15"/>
      <c r="GN65" s="15"/>
      <c r="GO65" s="15"/>
      <c r="GP65" s="15"/>
      <c r="GQ65" s="15"/>
      <c r="GR65" s="15"/>
      <c r="GS65" s="184"/>
      <c r="GT65" s="15"/>
      <c r="GU65" s="15"/>
      <c r="GV65" s="15"/>
      <c r="GW65" s="15"/>
      <c r="GX65" s="15"/>
      <c r="GY65" s="15"/>
      <c r="GZ65" s="184"/>
      <c r="HA65" s="15"/>
      <c r="HB65" s="15"/>
      <c r="HC65" s="15"/>
      <c r="HD65" s="15"/>
      <c r="HE65" s="15"/>
      <c r="HF65" s="15"/>
      <c r="HG65" s="184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  <c r="MG65" s="15"/>
      <c r="MH65" s="15"/>
      <c r="MI65" s="15"/>
      <c r="MJ65" s="15"/>
      <c r="MK65" s="15"/>
      <c r="ML65" s="15"/>
      <c r="MM65" s="15"/>
      <c r="MN65" s="15"/>
      <c r="MO65" s="15"/>
      <c r="MP65" s="15"/>
      <c r="MQ65" s="15"/>
      <c r="MR65" s="15"/>
      <c r="MS65" s="15"/>
      <c r="MT65" s="15"/>
      <c r="MU65" s="15"/>
      <c r="MV65" s="15"/>
      <c r="MW65" s="15"/>
      <c r="MX65" s="15"/>
      <c r="MY65" s="15"/>
      <c r="MZ65" s="15"/>
      <c r="NA65" s="15"/>
      <c r="NB65" s="15"/>
      <c r="NC65" s="15"/>
      <c r="ND65" s="15"/>
      <c r="NE65" s="15"/>
      <c r="NF65" s="15"/>
      <c r="NG65" s="15"/>
      <c r="NH65" s="15"/>
      <c r="NI65" s="15"/>
      <c r="NJ65" s="15"/>
      <c r="NK65" s="15"/>
      <c r="NL65" s="15"/>
      <c r="NM65" s="15"/>
      <c r="NN65" s="15"/>
      <c r="NO65" s="15"/>
      <c r="NP65" s="15"/>
      <c r="NQ65" s="15"/>
      <c r="NR65" s="15"/>
      <c r="NS65" s="15"/>
      <c r="NT65" s="15"/>
      <c r="NU65" s="15"/>
      <c r="NV65" s="15"/>
      <c r="NW65" s="15"/>
      <c r="NX65" s="15"/>
      <c r="NY65" s="15"/>
      <c r="NZ65" s="15"/>
    </row>
    <row r="66" spans="2:390" ht="19.5" customHeight="1" x14ac:dyDescent="0.45">
      <c r="B66" s="1">
        <f t="shared" si="99"/>
        <v>2</v>
      </c>
      <c r="C66" s="1">
        <f>+C65</f>
        <v>6</v>
      </c>
      <c r="D66" s="1">
        <f>+D65+1</f>
        <v>1</v>
      </c>
      <c r="E66" s="59" t="str">
        <f t="shared" si="105"/>
        <v>2.6.1</v>
      </c>
      <c r="F66" s="23" t="s">
        <v>31</v>
      </c>
      <c r="G66" s="191" t="s">
        <v>145</v>
      </c>
      <c r="H66" s="52" t="s">
        <v>117</v>
      </c>
      <c r="I66" s="52" t="s">
        <v>158</v>
      </c>
      <c r="J66" s="52">
        <v>40</v>
      </c>
      <c r="K66" s="52">
        <v>0</v>
      </c>
      <c r="L66" s="52">
        <f t="shared" si="103"/>
        <v>40</v>
      </c>
      <c r="M66" s="52">
        <v>5</v>
      </c>
      <c r="N66" s="52">
        <v>12</v>
      </c>
      <c r="O66" s="51">
        <f>+N66*M66</f>
        <v>60</v>
      </c>
      <c r="P66" s="51">
        <f>+SUM(AA66:NZ66)</f>
        <v>60</v>
      </c>
      <c r="Q66" s="51">
        <f>+O66-P66</f>
        <v>0</v>
      </c>
      <c r="R66" s="19">
        <v>46083</v>
      </c>
      <c r="S66" s="20">
        <v>10</v>
      </c>
      <c r="T66" s="21">
        <f t="shared" si="84"/>
        <v>46094</v>
      </c>
      <c r="U66" s="22">
        <f>+K66/J66</f>
        <v>0</v>
      </c>
      <c r="V66" s="199">
        <f t="shared" si="85"/>
        <v>0</v>
      </c>
      <c r="W66" s="158">
        <f>SUMIFS($AA66:$NZ66, $AA$8:$NZ$8, $W$13)/$O66</f>
        <v>0</v>
      </c>
      <c r="X66" s="159">
        <f t="shared" si="104"/>
        <v>0</v>
      </c>
      <c r="Y66" s="199">
        <f t="shared" si="86"/>
        <v>0</v>
      </c>
      <c r="Z66" s="36"/>
      <c r="AA66" s="15"/>
      <c r="AB66" s="15"/>
      <c r="AC66" s="15"/>
      <c r="AD66" s="15"/>
      <c r="AE66" s="15"/>
      <c r="AF66" s="15"/>
      <c r="AG66" s="184"/>
      <c r="AH66" s="15"/>
      <c r="AI66" s="15"/>
      <c r="AJ66" s="15"/>
      <c r="AK66" s="15"/>
      <c r="AL66" s="15"/>
      <c r="AM66" s="15"/>
      <c r="AN66" s="184"/>
      <c r="AO66" s="15"/>
      <c r="AP66" s="15"/>
      <c r="AQ66" s="15"/>
      <c r="AR66" s="15"/>
      <c r="AS66" s="15"/>
      <c r="AT66" s="15"/>
      <c r="AU66" s="184"/>
      <c r="AV66" s="15"/>
      <c r="AW66" s="15"/>
      <c r="AX66" s="15"/>
      <c r="AY66" s="15"/>
      <c r="AZ66" s="15"/>
      <c r="BA66" s="15"/>
      <c r="BB66" s="184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84"/>
      <c r="CE66" s="15"/>
      <c r="CF66" s="15"/>
      <c r="CG66" s="15"/>
      <c r="CH66" s="15"/>
      <c r="CI66" s="15"/>
      <c r="CJ66" s="15"/>
      <c r="CK66" s="184"/>
      <c r="CL66" s="15"/>
      <c r="CM66" s="15"/>
      <c r="CN66" s="15"/>
      <c r="CO66" s="15"/>
      <c r="CP66" s="15"/>
      <c r="CQ66" s="15"/>
      <c r="CR66" s="184"/>
      <c r="CS66" s="15"/>
      <c r="CT66" s="15"/>
      <c r="CU66" s="15"/>
      <c r="CV66" s="15"/>
      <c r="CW66" s="15"/>
      <c r="CX66" s="15"/>
      <c r="CY66" s="184"/>
      <c r="CZ66" s="15"/>
      <c r="DA66" s="15"/>
      <c r="DB66" s="15"/>
      <c r="DC66" s="15"/>
      <c r="DD66" s="15"/>
      <c r="DE66" s="15"/>
      <c r="DF66" s="184"/>
      <c r="DG66" s="15"/>
      <c r="DH66" s="15"/>
      <c r="DI66" s="15"/>
      <c r="DJ66" s="15"/>
      <c r="DK66" s="15"/>
      <c r="DL66" s="15"/>
      <c r="DM66" s="184"/>
      <c r="DN66" s="15"/>
      <c r="DO66" s="15"/>
      <c r="DP66" s="15"/>
      <c r="DQ66" s="15"/>
      <c r="DR66" s="15"/>
      <c r="DS66" s="15"/>
      <c r="DT66" s="184"/>
      <c r="DU66" s="15">
        <v>5</v>
      </c>
      <c r="DV66" s="15">
        <v>5</v>
      </c>
      <c r="DW66" s="15">
        <v>5</v>
      </c>
      <c r="DX66" s="15">
        <v>5</v>
      </c>
      <c r="DY66" s="15">
        <v>5</v>
      </c>
      <c r="DZ66" s="15">
        <v>5</v>
      </c>
      <c r="EA66" s="184"/>
      <c r="EB66" s="15">
        <v>5</v>
      </c>
      <c r="EC66" s="15">
        <v>5</v>
      </c>
      <c r="ED66" s="15">
        <v>5</v>
      </c>
      <c r="EE66" s="15">
        <v>5</v>
      </c>
      <c r="EF66" s="15">
        <v>5</v>
      </c>
      <c r="EG66" s="15">
        <v>5</v>
      </c>
      <c r="EH66" s="184"/>
      <c r="EI66" s="15"/>
      <c r="EJ66" s="15"/>
      <c r="EK66" s="15"/>
      <c r="EL66" s="15"/>
      <c r="EM66" s="15"/>
      <c r="EN66" s="15"/>
      <c r="EO66" s="184"/>
      <c r="EP66" s="15"/>
      <c r="EQ66" s="15"/>
      <c r="ER66" s="15"/>
      <c r="ES66" s="15"/>
      <c r="ET66" s="15"/>
      <c r="EU66" s="15"/>
      <c r="EV66" s="184"/>
      <c r="EW66" s="15"/>
      <c r="EX66" s="15"/>
      <c r="EY66" s="15"/>
      <c r="EZ66" s="15"/>
      <c r="FA66" s="15"/>
      <c r="FB66" s="15"/>
      <c r="FC66" s="184"/>
      <c r="FD66" s="15"/>
      <c r="FE66" s="15"/>
      <c r="FF66" s="15"/>
      <c r="FG66" s="15"/>
      <c r="FH66" s="15"/>
      <c r="FI66" s="15"/>
      <c r="FJ66" s="184"/>
      <c r="FK66" s="15"/>
      <c r="FL66" s="15"/>
      <c r="FM66" s="15"/>
      <c r="FN66" s="15"/>
      <c r="FO66" s="15"/>
      <c r="FP66" s="15"/>
      <c r="FQ66" s="184"/>
      <c r="FR66" s="15"/>
      <c r="FS66" s="15"/>
      <c r="FT66" s="15"/>
      <c r="FU66" s="15"/>
      <c r="FV66" s="15"/>
      <c r="FW66" s="178"/>
      <c r="FX66" s="184"/>
      <c r="FY66" s="181"/>
      <c r="FZ66" s="15"/>
      <c r="GA66" s="15"/>
      <c r="GB66" s="15"/>
      <c r="GC66" s="15"/>
      <c r="GD66" s="15"/>
      <c r="GE66" s="184"/>
      <c r="GF66" s="15"/>
      <c r="GG66" s="15"/>
      <c r="GH66" s="15"/>
      <c r="GI66" s="15"/>
      <c r="GJ66" s="15"/>
      <c r="GK66" s="15"/>
      <c r="GL66" s="184"/>
      <c r="GM66" s="15"/>
      <c r="GN66" s="15"/>
      <c r="GO66" s="15"/>
      <c r="GP66" s="15"/>
      <c r="GQ66" s="15"/>
      <c r="GR66" s="15"/>
      <c r="GS66" s="184"/>
      <c r="GT66" s="15"/>
      <c r="GU66" s="15"/>
      <c r="GV66" s="15"/>
      <c r="GW66" s="15"/>
      <c r="GX66" s="15"/>
      <c r="GY66" s="15"/>
      <c r="GZ66" s="184"/>
      <c r="HA66" s="15"/>
      <c r="HB66" s="15"/>
      <c r="HC66" s="15"/>
      <c r="HD66" s="15"/>
      <c r="HE66" s="15"/>
      <c r="HF66" s="15"/>
      <c r="HG66" s="184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/>
      <c r="LI66" s="15"/>
      <c r="LJ66" s="15"/>
      <c r="LK66" s="15"/>
      <c r="LL66" s="15"/>
      <c r="LM66" s="15"/>
      <c r="LN66" s="15"/>
      <c r="LO66" s="15"/>
      <c r="LP66" s="15"/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  <c r="MG66" s="15"/>
      <c r="MH66" s="15"/>
      <c r="MI66" s="15"/>
      <c r="MJ66" s="15"/>
      <c r="MK66" s="15"/>
      <c r="ML66" s="15"/>
      <c r="MM66" s="15"/>
      <c r="MN66" s="15"/>
      <c r="MO66" s="15"/>
      <c r="MP66" s="15"/>
      <c r="MQ66" s="15"/>
      <c r="MR66" s="15"/>
      <c r="MS66" s="15"/>
      <c r="MT66" s="15"/>
      <c r="MU66" s="15"/>
      <c r="MV66" s="15"/>
      <c r="MW66" s="15"/>
      <c r="MX66" s="15"/>
      <c r="MY66" s="15"/>
      <c r="MZ66" s="15"/>
      <c r="NA66" s="15"/>
      <c r="NB66" s="15"/>
      <c r="NC66" s="15"/>
      <c r="ND66" s="15"/>
      <c r="NE66" s="15"/>
      <c r="NF66" s="15"/>
      <c r="NG66" s="15"/>
      <c r="NH66" s="15"/>
      <c r="NI66" s="15"/>
      <c r="NJ66" s="15"/>
      <c r="NK66" s="15"/>
      <c r="NL66" s="15"/>
      <c r="NM66" s="15"/>
      <c r="NN66" s="15"/>
      <c r="NO66" s="15"/>
      <c r="NP66" s="15"/>
      <c r="NQ66" s="15"/>
      <c r="NR66" s="15"/>
      <c r="NS66" s="15"/>
      <c r="NT66" s="15"/>
      <c r="NU66" s="15"/>
      <c r="NV66" s="15"/>
      <c r="NW66" s="15"/>
      <c r="NX66" s="15"/>
      <c r="NY66" s="15"/>
      <c r="NZ66" s="15"/>
    </row>
    <row r="67" spans="2:390" ht="19.5" customHeight="1" x14ac:dyDescent="0.45">
      <c r="B67" s="1">
        <f t="shared" si="99"/>
        <v>2</v>
      </c>
      <c r="C67" s="1">
        <f>+C66</f>
        <v>6</v>
      </c>
      <c r="D67" s="1">
        <f>+D66+1</f>
        <v>2</v>
      </c>
      <c r="E67" s="59" t="str">
        <f t="shared" si="105"/>
        <v>2.6.2</v>
      </c>
      <c r="F67" s="23" t="s">
        <v>83</v>
      </c>
      <c r="G67" s="191" t="s">
        <v>145</v>
      </c>
      <c r="H67" s="52" t="s">
        <v>117</v>
      </c>
      <c r="I67" s="52" t="s">
        <v>158</v>
      </c>
      <c r="J67" s="52">
        <v>105</v>
      </c>
      <c r="K67" s="52">
        <v>0</v>
      </c>
      <c r="L67" s="52">
        <f t="shared" si="103"/>
        <v>105</v>
      </c>
      <c r="M67" s="52">
        <v>4</v>
      </c>
      <c r="N67" s="52">
        <v>12</v>
      </c>
      <c r="O67" s="51">
        <f>+N67*M67</f>
        <v>48</v>
      </c>
      <c r="P67" s="51">
        <f>+SUM(AA67:NZ67)</f>
        <v>48</v>
      </c>
      <c r="Q67" s="51">
        <f>+O67-P67</f>
        <v>0</v>
      </c>
      <c r="R67" s="19">
        <f>+R66+14</f>
        <v>46097</v>
      </c>
      <c r="S67" s="20">
        <v>10</v>
      </c>
      <c r="T67" s="21">
        <f t="shared" si="84"/>
        <v>46108</v>
      </c>
      <c r="U67" s="22">
        <f>+K67/J67</f>
        <v>0</v>
      </c>
      <c r="V67" s="199">
        <f t="shared" si="85"/>
        <v>0</v>
      </c>
      <c r="W67" s="158">
        <f>SUMIFS($AA67:$NZ67, $AA$8:$NZ$8, $W$13)/$O67</f>
        <v>0</v>
      </c>
      <c r="X67" s="159">
        <f t="shared" si="104"/>
        <v>0</v>
      </c>
      <c r="Y67" s="199">
        <f t="shared" si="86"/>
        <v>0</v>
      </c>
      <c r="Z67" s="36"/>
      <c r="AA67" s="15"/>
      <c r="AB67" s="15"/>
      <c r="AC67" s="15"/>
      <c r="AD67" s="15"/>
      <c r="AE67" s="15"/>
      <c r="AF67" s="15"/>
      <c r="AG67" s="184"/>
      <c r="AH67" s="15"/>
      <c r="AI67" s="15"/>
      <c r="AJ67" s="15"/>
      <c r="AK67" s="15"/>
      <c r="AL67" s="15"/>
      <c r="AM67" s="15"/>
      <c r="AN67" s="184"/>
      <c r="AO67" s="15"/>
      <c r="AP67" s="15"/>
      <c r="AQ67" s="15"/>
      <c r="AR67" s="15"/>
      <c r="AS67" s="15"/>
      <c r="AT67" s="15"/>
      <c r="AU67" s="184"/>
      <c r="AV67" s="15"/>
      <c r="AW67" s="15"/>
      <c r="AX67" s="15"/>
      <c r="AY67" s="15"/>
      <c r="AZ67" s="15"/>
      <c r="BA67" s="15"/>
      <c r="BB67" s="184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84"/>
      <c r="CE67" s="15"/>
      <c r="CF67" s="15"/>
      <c r="CG67" s="15"/>
      <c r="CH67" s="15"/>
      <c r="CI67" s="15"/>
      <c r="CJ67" s="15"/>
      <c r="CK67" s="184"/>
      <c r="CL67" s="15"/>
      <c r="CM67" s="15"/>
      <c r="CN67" s="15"/>
      <c r="CO67" s="15"/>
      <c r="CP67" s="15"/>
      <c r="CQ67" s="15"/>
      <c r="CR67" s="184"/>
      <c r="CS67" s="15"/>
      <c r="CT67" s="15"/>
      <c r="CU67" s="15"/>
      <c r="CV67" s="15"/>
      <c r="CW67" s="15"/>
      <c r="CX67" s="15"/>
      <c r="CY67" s="184"/>
      <c r="CZ67" s="15"/>
      <c r="DA67" s="15"/>
      <c r="DB67" s="15"/>
      <c r="DC67" s="15"/>
      <c r="DD67" s="15"/>
      <c r="DE67" s="15"/>
      <c r="DF67" s="184"/>
      <c r="DG67" s="15"/>
      <c r="DH67" s="15"/>
      <c r="DI67" s="15"/>
      <c r="DJ67" s="15"/>
      <c r="DK67" s="15"/>
      <c r="DL67" s="15"/>
      <c r="DM67" s="184"/>
      <c r="DN67" s="15"/>
      <c r="DO67" s="15"/>
      <c r="DP67" s="15"/>
      <c r="DQ67" s="15"/>
      <c r="DR67" s="15"/>
      <c r="DS67" s="15"/>
      <c r="DT67" s="184"/>
      <c r="DU67" s="15"/>
      <c r="DV67" s="15"/>
      <c r="DW67" s="15"/>
      <c r="DX67" s="15"/>
      <c r="DY67" s="15"/>
      <c r="DZ67" s="15"/>
      <c r="EA67" s="184"/>
      <c r="EB67" s="15"/>
      <c r="EC67" s="15"/>
      <c r="ED67" s="15"/>
      <c r="EE67" s="15"/>
      <c r="EF67" s="15"/>
      <c r="EG67" s="15"/>
      <c r="EH67" s="184"/>
      <c r="EI67" s="15">
        <v>4</v>
      </c>
      <c r="EJ67" s="15">
        <v>4</v>
      </c>
      <c r="EK67" s="15">
        <v>4</v>
      </c>
      <c r="EL67" s="15">
        <v>4</v>
      </c>
      <c r="EM67" s="15">
        <v>4</v>
      </c>
      <c r="EN67" s="15">
        <v>4</v>
      </c>
      <c r="EO67" s="184"/>
      <c r="EP67" s="15">
        <v>4</v>
      </c>
      <c r="EQ67" s="15">
        <v>4</v>
      </c>
      <c r="ER67" s="15">
        <v>4</v>
      </c>
      <c r="ES67" s="15">
        <v>4</v>
      </c>
      <c r="ET67" s="15">
        <v>4</v>
      </c>
      <c r="EU67" s="15">
        <v>4</v>
      </c>
      <c r="EV67" s="184"/>
      <c r="EW67" s="15"/>
      <c r="EX67" s="15"/>
      <c r="EY67" s="15"/>
      <c r="EZ67" s="15"/>
      <c r="FA67" s="15"/>
      <c r="FB67" s="15"/>
      <c r="FC67" s="184"/>
      <c r="FD67" s="15"/>
      <c r="FE67" s="15"/>
      <c r="FF67" s="15"/>
      <c r="FG67" s="15"/>
      <c r="FH67" s="15"/>
      <c r="FI67" s="15"/>
      <c r="FJ67" s="184"/>
      <c r="FK67" s="15"/>
      <c r="FL67" s="15"/>
      <c r="FM67" s="15"/>
      <c r="FN67" s="15"/>
      <c r="FO67" s="15"/>
      <c r="FP67" s="15"/>
      <c r="FQ67" s="184"/>
      <c r="FR67" s="15"/>
      <c r="FS67" s="15"/>
      <c r="FT67" s="15"/>
      <c r="FU67" s="15"/>
      <c r="FV67" s="15"/>
      <c r="FW67" s="178"/>
      <c r="FX67" s="184"/>
      <c r="FY67" s="181"/>
      <c r="FZ67" s="15"/>
      <c r="GA67" s="15"/>
      <c r="GB67" s="15"/>
      <c r="GC67" s="15"/>
      <c r="GD67" s="15"/>
      <c r="GE67" s="184"/>
      <c r="GF67" s="15"/>
      <c r="GG67" s="15"/>
      <c r="GH67" s="15"/>
      <c r="GI67" s="15"/>
      <c r="GJ67" s="15"/>
      <c r="GK67" s="15"/>
      <c r="GL67" s="184"/>
      <c r="GM67" s="15"/>
      <c r="GN67" s="15"/>
      <c r="GO67" s="15"/>
      <c r="GP67" s="15"/>
      <c r="GQ67" s="15"/>
      <c r="GR67" s="15"/>
      <c r="GS67" s="184"/>
      <c r="GT67" s="15"/>
      <c r="GU67" s="15"/>
      <c r="GV67" s="15"/>
      <c r="GW67" s="15"/>
      <c r="GX67" s="15"/>
      <c r="GY67" s="15"/>
      <c r="GZ67" s="184"/>
      <c r="HA67" s="15"/>
      <c r="HB67" s="15"/>
      <c r="HC67" s="15"/>
      <c r="HD67" s="15"/>
      <c r="HE67" s="15"/>
      <c r="HF67" s="15"/>
      <c r="HG67" s="184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/>
      <c r="LI67" s="15"/>
      <c r="LJ67" s="15"/>
      <c r="LK67" s="15"/>
      <c r="LL67" s="15"/>
      <c r="LM67" s="15"/>
      <c r="LN67" s="15"/>
      <c r="LO67" s="15"/>
      <c r="LP67" s="15"/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  <c r="MG67" s="15"/>
      <c r="MH67" s="15"/>
      <c r="MI67" s="15"/>
      <c r="MJ67" s="15"/>
      <c r="MK67" s="15"/>
      <c r="ML67" s="15"/>
      <c r="MM67" s="15"/>
      <c r="MN67" s="15"/>
      <c r="MO67" s="15"/>
      <c r="MP67" s="15"/>
      <c r="MQ67" s="15"/>
      <c r="MR67" s="15"/>
      <c r="MS67" s="15"/>
      <c r="MT67" s="15"/>
      <c r="MU67" s="15"/>
      <c r="MV67" s="15"/>
      <c r="MW67" s="15"/>
      <c r="MX67" s="15"/>
      <c r="MY67" s="15"/>
      <c r="MZ67" s="15"/>
      <c r="NA67" s="15"/>
      <c r="NB67" s="15"/>
      <c r="NC67" s="15"/>
      <c r="ND67" s="15"/>
      <c r="NE67" s="15"/>
      <c r="NF67" s="15"/>
      <c r="NG67" s="15"/>
      <c r="NH67" s="15"/>
      <c r="NI67" s="15"/>
      <c r="NJ67" s="15"/>
      <c r="NK67" s="15"/>
      <c r="NL67" s="15"/>
      <c r="NM67" s="15"/>
      <c r="NN67" s="15"/>
      <c r="NO67" s="15"/>
      <c r="NP67" s="15"/>
      <c r="NQ67" s="15"/>
      <c r="NR67" s="15"/>
      <c r="NS67" s="15"/>
      <c r="NT67" s="15"/>
      <c r="NU67" s="15"/>
      <c r="NV67" s="15"/>
      <c r="NW67" s="15"/>
      <c r="NX67" s="15"/>
      <c r="NY67" s="15"/>
      <c r="NZ67" s="15"/>
    </row>
    <row r="68" spans="2:390" ht="19.5" customHeight="1" x14ac:dyDescent="0.45">
      <c r="B68" s="1">
        <f t="shared" si="99"/>
        <v>2</v>
      </c>
      <c r="C68" s="1">
        <f>+C67</f>
        <v>6</v>
      </c>
      <c r="D68" s="1">
        <f>+D67+1</f>
        <v>3</v>
      </c>
      <c r="E68" s="59" t="str">
        <f t="shared" si="105"/>
        <v>2.6.3</v>
      </c>
      <c r="F68" s="23" t="s">
        <v>63</v>
      </c>
      <c r="G68" s="191" t="s">
        <v>145</v>
      </c>
      <c r="H68" s="52" t="s">
        <v>117</v>
      </c>
      <c r="I68" s="52" t="s">
        <v>158</v>
      </c>
      <c r="J68" s="52">
        <v>143</v>
      </c>
      <c r="K68" s="52">
        <v>0</v>
      </c>
      <c r="L68" s="52">
        <f t="shared" si="103"/>
        <v>143</v>
      </c>
      <c r="M68" s="52">
        <v>4</v>
      </c>
      <c r="N68" s="52">
        <v>6</v>
      </c>
      <c r="O68" s="51">
        <f>+N68*M68</f>
        <v>24</v>
      </c>
      <c r="P68" s="51">
        <f>+SUM(AA68:NZ68)</f>
        <v>24</v>
      </c>
      <c r="Q68" s="51">
        <f>+O68-P68</f>
        <v>0</v>
      </c>
      <c r="R68" s="19">
        <f>+R67+7</f>
        <v>46104</v>
      </c>
      <c r="S68" s="20">
        <v>5</v>
      </c>
      <c r="T68" s="21">
        <f t="shared" si="84"/>
        <v>46108</v>
      </c>
      <c r="U68" s="22">
        <f>+K68/J68</f>
        <v>0</v>
      </c>
      <c r="V68" s="199">
        <f t="shared" si="85"/>
        <v>0</v>
      </c>
      <c r="W68" s="158">
        <f>SUMIFS($AA68:$NZ68, $AA$8:$NZ$8, $W$13)/$O68</f>
        <v>0</v>
      </c>
      <c r="X68" s="159">
        <f t="shared" si="104"/>
        <v>0</v>
      </c>
      <c r="Y68" s="199">
        <f t="shared" si="86"/>
        <v>0</v>
      </c>
      <c r="Z68" s="36"/>
      <c r="AA68" s="15"/>
      <c r="AB68" s="15"/>
      <c r="AC68" s="15"/>
      <c r="AD68" s="15"/>
      <c r="AE68" s="15"/>
      <c r="AF68" s="15"/>
      <c r="AG68" s="184"/>
      <c r="AH68" s="15"/>
      <c r="AI68" s="15"/>
      <c r="AJ68" s="15"/>
      <c r="AK68" s="15"/>
      <c r="AL68" s="15"/>
      <c r="AM68" s="15"/>
      <c r="AN68" s="184"/>
      <c r="AO68" s="15"/>
      <c r="AP68" s="15"/>
      <c r="AQ68" s="15"/>
      <c r="AR68" s="15"/>
      <c r="AS68" s="15"/>
      <c r="AT68" s="15"/>
      <c r="AU68" s="184"/>
      <c r="AV68" s="15"/>
      <c r="AW68" s="15"/>
      <c r="AX68" s="15"/>
      <c r="AY68" s="15"/>
      <c r="AZ68" s="15"/>
      <c r="BA68" s="15"/>
      <c r="BB68" s="184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84"/>
      <c r="CE68" s="15"/>
      <c r="CF68" s="15"/>
      <c r="CG68" s="15"/>
      <c r="CH68" s="15"/>
      <c r="CI68" s="15"/>
      <c r="CJ68" s="15"/>
      <c r="CK68" s="184"/>
      <c r="CL68" s="15"/>
      <c r="CM68" s="15"/>
      <c r="CN68" s="15"/>
      <c r="CO68" s="15"/>
      <c r="CP68" s="15"/>
      <c r="CQ68" s="15"/>
      <c r="CR68" s="184"/>
      <c r="CS68" s="15"/>
      <c r="CT68" s="15"/>
      <c r="CU68" s="15"/>
      <c r="CV68" s="15"/>
      <c r="CW68" s="15"/>
      <c r="CX68" s="15"/>
      <c r="CY68" s="184"/>
      <c r="CZ68" s="15"/>
      <c r="DA68" s="15"/>
      <c r="DB68" s="15"/>
      <c r="DC68" s="15"/>
      <c r="DD68" s="15"/>
      <c r="DE68" s="15"/>
      <c r="DF68" s="184"/>
      <c r="DG68" s="15"/>
      <c r="DH68" s="15"/>
      <c r="DI68" s="15"/>
      <c r="DJ68" s="15"/>
      <c r="DK68" s="15"/>
      <c r="DL68" s="15"/>
      <c r="DM68" s="184"/>
      <c r="DN68" s="15"/>
      <c r="DO68" s="15"/>
      <c r="DP68" s="15"/>
      <c r="DQ68" s="15"/>
      <c r="DR68" s="15"/>
      <c r="DS68" s="15"/>
      <c r="DT68" s="184"/>
      <c r="DU68" s="15"/>
      <c r="DV68" s="15"/>
      <c r="DW68" s="15"/>
      <c r="DX68" s="15"/>
      <c r="DY68" s="15"/>
      <c r="DZ68" s="15"/>
      <c r="EA68" s="184"/>
      <c r="EB68" s="15"/>
      <c r="EC68" s="15"/>
      <c r="ED68" s="15"/>
      <c r="EE68" s="15"/>
      <c r="EF68" s="15"/>
      <c r="EG68" s="15"/>
      <c r="EH68" s="184"/>
      <c r="EI68" s="15"/>
      <c r="EJ68" s="15"/>
      <c r="EK68" s="15"/>
      <c r="EL68" s="15"/>
      <c r="EM68" s="15"/>
      <c r="EN68" s="15"/>
      <c r="EO68" s="184"/>
      <c r="EP68" s="15">
        <v>4</v>
      </c>
      <c r="EQ68" s="15">
        <v>4</v>
      </c>
      <c r="ER68" s="15">
        <v>4</v>
      </c>
      <c r="ES68" s="15">
        <v>4</v>
      </c>
      <c r="ET68" s="15">
        <v>4</v>
      </c>
      <c r="EU68" s="15">
        <v>4</v>
      </c>
      <c r="EV68" s="184"/>
      <c r="EW68" s="15"/>
      <c r="EX68" s="15"/>
      <c r="EY68" s="15"/>
      <c r="EZ68" s="15"/>
      <c r="FA68" s="15"/>
      <c r="FB68" s="15"/>
      <c r="FC68" s="184"/>
      <c r="FD68" s="15"/>
      <c r="FE68" s="15"/>
      <c r="FF68" s="15"/>
      <c r="FG68" s="15"/>
      <c r="FH68" s="15"/>
      <c r="FI68" s="15"/>
      <c r="FJ68" s="184"/>
      <c r="FK68" s="15"/>
      <c r="FL68" s="15"/>
      <c r="FM68" s="15"/>
      <c r="FN68" s="15"/>
      <c r="FO68" s="15"/>
      <c r="FP68" s="15"/>
      <c r="FQ68" s="184"/>
      <c r="FR68" s="15"/>
      <c r="FS68" s="15"/>
      <c r="FT68" s="15"/>
      <c r="FU68" s="15"/>
      <c r="FV68" s="15"/>
      <c r="FW68" s="178"/>
      <c r="FX68" s="184"/>
      <c r="FY68" s="181"/>
      <c r="FZ68" s="15"/>
      <c r="GA68" s="15"/>
      <c r="GB68" s="15"/>
      <c r="GC68" s="15"/>
      <c r="GD68" s="15"/>
      <c r="GE68" s="184"/>
      <c r="GF68" s="15"/>
      <c r="GG68" s="15"/>
      <c r="GH68" s="15"/>
      <c r="GI68" s="15"/>
      <c r="GJ68" s="15"/>
      <c r="GK68" s="15"/>
      <c r="GL68" s="184"/>
      <c r="GM68" s="15"/>
      <c r="GN68" s="15"/>
      <c r="GO68" s="15"/>
      <c r="GP68" s="15"/>
      <c r="GQ68" s="15"/>
      <c r="GR68" s="15"/>
      <c r="GS68" s="184"/>
      <c r="GT68" s="15"/>
      <c r="GU68" s="15"/>
      <c r="GV68" s="15"/>
      <c r="GW68" s="15"/>
      <c r="GX68" s="15"/>
      <c r="GY68" s="15"/>
      <c r="GZ68" s="184"/>
      <c r="HA68" s="15"/>
      <c r="HB68" s="15"/>
      <c r="HC68" s="15"/>
      <c r="HD68" s="15"/>
      <c r="HE68" s="15"/>
      <c r="HF68" s="15"/>
      <c r="HG68" s="184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/>
      <c r="LI68" s="15"/>
      <c r="LJ68" s="15"/>
      <c r="LK68" s="15"/>
      <c r="LL68" s="15"/>
      <c r="LM68" s="15"/>
      <c r="LN68" s="15"/>
      <c r="LO68" s="15"/>
      <c r="LP68" s="15"/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  <c r="MG68" s="15"/>
      <c r="MH68" s="15"/>
      <c r="MI68" s="15"/>
      <c r="MJ68" s="15"/>
      <c r="MK68" s="15"/>
      <c r="ML68" s="15"/>
      <c r="MM68" s="15"/>
      <c r="MN68" s="15"/>
      <c r="MO68" s="15"/>
      <c r="MP68" s="15"/>
      <c r="MQ68" s="15"/>
      <c r="MR68" s="15"/>
      <c r="MS68" s="15"/>
      <c r="MT68" s="15"/>
      <c r="MU68" s="15"/>
      <c r="MV68" s="15"/>
      <c r="MW68" s="15"/>
      <c r="MX68" s="15"/>
      <c r="MY68" s="15"/>
      <c r="MZ68" s="15"/>
      <c r="NA68" s="15"/>
      <c r="NB68" s="15"/>
      <c r="NC68" s="15"/>
      <c r="ND68" s="15"/>
      <c r="NE68" s="15"/>
      <c r="NF68" s="15"/>
      <c r="NG68" s="15"/>
      <c r="NH68" s="15"/>
      <c r="NI68" s="15"/>
      <c r="NJ68" s="15"/>
      <c r="NK68" s="15"/>
      <c r="NL68" s="15"/>
      <c r="NM68" s="15"/>
      <c r="NN68" s="15"/>
      <c r="NO68" s="15"/>
      <c r="NP68" s="15"/>
      <c r="NQ68" s="15"/>
      <c r="NR68" s="15"/>
      <c r="NS68" s="15"/>
      <c r="NT68" s="15"/>
      <c r="NU68" s="15"/>
      <c r="NV68" s="15"/>
      <c r="NW68" s="15"/>
      <c r="NX68" s="15"/>
      <c r="NY68" s="15"/>
      <c r="NZ68" s="15"/>
    </row>
    <row r="69" spans="2:390" ht="19.5" customHeight="1" x14ac:dyDescent="0.45">
      <c r="B69" s="1">
        <f t="shared" si="99"/>
        <v>2</v>
      </c>
      <c r="C69" s="1">
        <f>+C68+1</f>
        <v>7</v>
      </c>
      <c r="D69" s="1">
        <v>0</v>
      </c>
      <c r="E69" s="93" t="str">
        <f t="shared" si="105"/>
        <v>2.7.0</v>
      </c>
      <c r="F69" s="94" t="s">
        <v>32</v>
      </c>
      <c r="G69" s="94"/>
      <c r="H69" s="97" t="s">
        <v>117</v>
      </c>
      <c r="I69" s="97" t="s">
        <v>158</v>
      </c>
      <c r="J69" s="97">
        <v>1</v>
      </c>
      <c r="K69" s="97">
        <v>0</v>
      </c>
      <c r="L69" s="97">
        <f>+J69-K69</f>
        <v>1</v>
      </c>
      <c r="M69" s="97">
        <v>2</v>
      </c>
      <c r="N69" s="97">
        <v>3</v>
      </c>
      <c r="O69" s="95">
        <f>+N69*M69</f>
        <v>6</v>
      </c>
      <c r="P69" s="95"/>
      <c r="Q69" s="95"/>
      <c r="R69" s="153"/>
      <c r="S69" s="154"/>
      <c r="T69" s="155" t="str">
        <f t="shared" si="84"/>
        <v/>
      </c>
      <c r="U69" s="164">
        <f>+K69/J69</f>
        <v>0</v>
      </c>
      <c r="V69" s="200">
        <f t="shared" si="85"/>
        <v>0</v>
      </c>
      <c r="W69" s="158">
        <f>SUMIFS($AA69:$NZ69, $AA$8:$NZ$8, $W$13)/$O69</f>
        <v>0</v>
      </c>
      <c r="X69" s="159">
        <f t="shared" si="104"/>
        <v>0</v>
      </c>
      <c r="Y69" s="199">
        <f t="shared" si="86"/>
        <v>0</v>
      </c>
      <c r="Z69" s="36"/>
      <c r="AA69" s="15"/>
      <c r="AB69" s="15"/>
      <c r="AC69" s="15"/>
      <c r="AD69" s="15"/>
      <c r="AE69" s="15"/>
      <c r="AF69" s="15"/>
      <c r="AG69" s="184"/>
      <c r="AH69" s="15"/>
      <c r="AI69" s="15"/>
      <c r="AJ69" s="15"/>
      <c r="AK69" s="15"/>
      <c r="AL69" s="15"/>
      <c r="AM69" s="15"/>
      <c r="AN69" s="184"/>
      <c r="AO69" s="15"/>
      <c r="AP69" s="15"/>
      <c r="AQ69" s="15"/>
      <c r="AR69" s="15"/>
      <c r="AS69" s="15"/>
      <c r="AT69" s="15"/>
      <c r="AU69" s="184"/>
      <c r="AV69" s="15"/>
      <c r="AW69" s="15"/>
      <c r="AX69" s="15"/>
      <c r="AY69" s="15"/>
      <c r="AZ69" s="15"/>
      <c r="BA69" s="15"/>
      <c r="BB69" s="184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84"/>
      <c r="CE69" s="15"/>
      <c r="CF69" s="15"/>
      <c r="CG69" s="15"/>
      <c r="CH69" s="15"/>
      <c r="CI69" s="15"/>
      <c r="CJ69" s="15"/>
      <c r="CK69" s="184"/>
      <c r="CL69" s="15"/>
      <c r="CM69" s="15"/>
      <c r="CN69" s="15"/>
      <c r="CO69" s="15"/>
      <c r="CP69" s="15"/>
      <c r="CQ69" s="15"/>
      <c r="CR69" s="184"/>
      <c r="CS69" s="15"/>
      <c r="CT69" s="15"/>
      <c r="CU69" s="15"/>
      <c r="CV69" s="15"/>
      <c r="CW69" s="15"/>
      <c r="CX69" s="15"/>
      <c r="CY69" s="184"/>
      <c r="CZ69" s="15"/>
      <c r="DA69" s="15"/>
      <c r="DB69" s="15"/>
      <c r="DC69" s="15"/>
      <c r="DD69" s="15"/>
      <c r="DE69" s="15"/>
      <c r="DF69" s="184"/>
      <c r="DG69" s="15"/>
      <c r="DH69" s="15"/>
      <c r="DI69" s="15"/>
      <c r="DJ69" s="15"/>
      <c r="DK69" s="15"/>
      <c r="DL69" s="15"/>
      <c r="DM69" s="184"/>
      <c r="DN69" s="15"/>
      <c r="DO69" s="15"/>
      <c r="DP69" s="15"/>
      <c r="DQ69" s="15"/>
      <c r="DR69" s="15"/>
      <c r="DS69" s="15"/>
      <c r="DT69" s="184"/>
      <c r="DU69" s="15"/>
      <c r="DV69" s="15"/>
      <c r="DW69" s="15"/>
      <c r="DX69" s="15"/>
      <c r="DY69" s="15"/>
      <c r="DZ69" s="15"/>
      <c r="EA69" s="184"/>
      <c r="EB69" s="15"/>
      <c r="EC69" s="15"/>
      <c r="ED69" s="15"/>
      <c r="EE69" s="15"/>
      <c r="EF69" s="15"/>
      <c r="EG69" s="15"/>
      <c r="EH69" s="184"/>
      <c r="EI69" s="15"/>
      <c r="EJ69" s="15"/>
      <c r="EK69" s="15"/>
      <c r="EL69" s="15"/>
      <c r="EM69" s="15"/>
      <c r="EN69" s="15"/>
      <c r="EO69" s="184"/>
      <c r="EP69" s="15"/>
      <c r="EQ69" s="15"/>
      <c r="ER69" s="15"/>
      <c r="ES69" s="15"/>
      <c r="ET69" s="15"/>
      <c r="EU69" s="15"/>
      <c r="EV69" s="184"/>
      <c r="EW69" s="15"/>
      <c r="EX69" s="15"/>
      <c r="EY69" s="15"/>
      <c r="EZ69" s="15"/>
      <c r="FA69" s="15"/>
      <c r="FB69" s="15"/>
      <c r="FC69" s="184"/>
      <c r="FD69" s="15"/>
      <c r="FE69" s="15"/>
      <c r="FF69" s="15"/>
      <c r="FG69" s="15"/>
      <c r="FH69" s="15"/>
      <c r="FI69" s="15"/>
      <c r="FJ69" s="184"/>
      <c r="FK69" s="15"/>
      <c r="FL69" s="15"/>
      <c r="FM69" s="15"/>
      <c r="FN69" s="15"/>
      <c r="FO69" s="15"/>
      <c r="FP69" s="15"/>
      <c r="FQ69" s="184"/>
      <c r="FR69" s="15"/>
      <c r="FS69" s="15"/>
      <c r="FT69" s="15"/>
      <c r="FU69" s="15"/>
      <c r="FV69" s="15"/>
      <c r="FW69" s="178"/>
      <c r="FX69" s="184"/>
      <c r="FY69" s="181"/>
      <c r="FZ69" s="15"/>
      <c r="GA69" s="15"/>
      <c r="GB69" s="15"/>
      <c r="GC69" s="15"/>
      <c r="GD69" s="15"/>
      <c r="GE69" s="184"/>
      <c r="GF69" s="15"/>
      <c r="GG69" s="15"/>
      <c r="GH69" s="15"/>
      <c r="GI69" s="15"/>
      <c r="GJ69" s="15"/>
      <c r="GK69" s="15"/>
      <c r="GL69" s="184"/>
      <c r="GM69" s="15"/>
      <c r="GN69" s="15"/>
      <c r="GO69" s="15"/>
      <c r="GP69" s="15"/>
      <c r="GQ69" s="15"/>
      <c r="GR69" s="15"/>
      <c r="GS69" s="184"/>
      <c r="GT69" s="15"/>
      <c r="GU69" s="15"/>
      <c r="GV69" s="15"/>
      <c r="GW69" s="15"/>
      <c r="GX69" s="15"/>
      <c r="GY69" s="15"/>
      <c r="GZ69" s="184"/>
      <c r="HA69" s="15"/>
      <c r="HB69" s="15"/>
      <c r="HC69" s="15"/>
      <c r="HD69" s="15"/>
      <c r="HE69" s="15"/>
      <c r="HF69" s="15"/>
      <c r="HG69" s="184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  <c r="MH69" s="15"/>
      <c r="MI69" s="15"/>
      <c r="MJ69" s="15"/>
      <c r="MK69" s="15"/>
      <c r="ML69" s="15"/>
      <c r="MM69" s="15"/>
      <c r="MN69" s="15"/>
      <c r="MO69" s="15"/>
      <c r="MP69" s="15"/>
      <c r="MQ69" s="15"/>
      <c r="MR69" s="15"/>
      <c r="MS69" s="15"/>
      <c r="MT69" s="15"/>
      <c r="MU69" s="15"/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  <c r="NH69" s="15"/>
      <c r="NI69" s="15"/>
      <c r="NJ69" s="15"/>
      <c r="NK69" s="15"/>
      <c r="NL69" s="15"/>
      <c r="NM69" s="15"/>
      <c r="NN69" s="15"/>
      <c r="NO69" s="15"/>
      <c r="NP69" s="15"/>
      <c r="NQ69" s="15"/>
      <c r="NR69" s="15"/>
      <c r="NS69" s="15"/>
      <c r="NT69" s="15"/>
      <c r="NU69" s="15"/>
      <c r="NV69" s="15"/>
      <c r="NW69" s="15"/>
      <c r="NX69" s="15"/>
      <c r="NY69" s="15"/>
      <c r="NZ69" s="15"/>
    </row>
    <row r="70" spans="2:390" ht="19.5" customHeight="1" x14ac:dyDescent="0.45">
      <c r="B70" s="1">
        <f t="shared" si="99"/>
        <v>2</v>
      </c>
      <c r="C70" s="1">
        <f>+C69+1</f>
        <v>8</v>
      </c>
      <c r="D70" s="1">
        <v>0</v>
      </c>
      <c r="E70" s="93" t="str">
        <f t="shared" si="105"/>
        <v>2.8.0</v>
      </c>
      <c r="F70" s="99" t="s">
        <v>92</v>
      </c>
      <c r="G70" s="99"/>
      <c r="H70" s="100"/>
      <c r="I70" s="100"/>
      <c r="J70" s="101"/>
      <c r="K70" s="101"/>
      <c r="L70" s="101"/>
      <c r="M70" s="99"/>
      <c r="N70" s="99"/>
      <c r="O70" s="95">
        <f>SUM(O72:O74)</f>
        <v>10</v>
      </c>
      <c r="P70" s="95"/>
      <c r="Q70" s="95"/>
      <c r="R70" s="168"/>
      <c r="S70" s="98"/>
      <c r="T70" s="163" t="str">
        <f t="shared" si="84"/>
        <v/>
      </c>
      <c r="U70" s="164">
        <f>+SUMPRODUCT(U71:U74,O71:O74)/O70</f>
        <v>0</v>
      </c>
      <c r="V70" s="200">
        <f t="shared" si="85"/>
        <v>0</v>
      </c>
      <c r="W70" s="158">
        <f>SUMIFS($AA70:$NZ70, $AA$8:$NZ$8, $W$13)/$O70</f>
        <v>0</v>
      </c>
      <c r="X70" s="159">
        <f t="shared" si="104"/>
        <v>0</v>
      </c>
      <c r="Y70" s="199">
        <f t="shared" si="86"/>
        <v>0</v>
      </c>
      <c r="Z70" s="36"/>
      <c r="AA70" s="15"/>
      <c r="AB70" s="15"/>
      <c r="AC70" s="15"/>
      <c r="AD70" s="15"/>
      <c r="AE70" s="15"/>
      <c r="AF70" s="15"/>
      <c r="AG70" s="184"/>
      <c r="AH70" s="15"/>
      <c r="AI70" s="15"/>
      <c r="AJ70" s="15"/>
      <c r="AK70" s="15"/>
      <c r="AL70" s="15"/>
      <c r="AM70" s="15"/>
      <c r="AN70" s="184"/>
      <c r="AO70" s="15"/>
      <c r="AP70" s="15"/>
      <c r="AQ70" s="15"/>
      <c r="AR70" s="15"/>
      <c r="AS70" s="15"/>
      <c r="AT70" s="15"/>
      <c r="AU70" s="184"/>
      <c r="AV70" s="15"/>
      <c r="AW70" s="15"/>
      <c r="AX70" s="15"/>
      <c r="AY70" s="15"/>
      <c r="AZ70" s="15"/>
      <c r="BA70" s="15"/>
      <c r="BB70" s="184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84"/>
      <c r="CE70" s="15"/>
      <c r="CF70" s="15"/>
      <c r="CG70" s="15"/>
      <c r="CH70" s="15"/>
      <c r="CI70" s="15"/>
      <c r="CJ70" s="15"/>
      <c r="CK70" s="184"/>
      <c r="CL70" s="15"/>
      <c r="CM70" s="15"/>
      <c r="CN70" s="15"/>
      <c r="CO70" s="15"/>
      <c r="CP70" s="15"/>
      <c r="CQ70" s="15"/>
      <c r="CR70" s="184"/>
      <c r="CS70" s="15"/>
      <c r="CT70" s="15"/>
      <c r="CU70" s="15"/>
      <c r="CV70" s="15"/>
      <c r="CW70" s="15"/>
      <c r="CX70" s="15"/>
      <c r="CY70" s="184"/>
      <c r="CZ70" s="15"/>
      <c r="DA70" s="15"/>
      <c r="DB70" s="15"/>
      <c r="DC70" s="15"/>
      <c r="DD70" s="15"/>
      <c r="DE70" s="15"/>
      <c r="DF70" s="184"/>
      <c r="DG70" s="15"/>
      <c r="DH70" s="15"/>
      <c r="DI70" s="15"/>
      <c r="DJ70" s="15"/>
      <c r="DK70" s="15"/>
      <c r="DL70" s="15"/>
      <c r="DM70" s="184"/>
      <c r="DN70" s="15"/>
      <c r="DO70" s="15"/>
      <c r="DP70" s="15"/>
      <c r="DQ70" s="15"/>
      <c r="DR70" s="15"/>
      <c r="DS70" s="15"/>
      <c r="DT70" s="184"/>
      <c r="DU70" s="15"/>
      <c r="DV70" s="15"/>
      <c r="DW70" s="15"/>
      <c r="DX70" s="15"/>
      <c r="DY70" s="15"/>
      <c r="DZ70" s="15"/>
      <c r="EA70" s="184"/>
      <c r="EB70" s="15"/>
      <c r="EC70" s="15"/>
      <c r="ED70" s="15"/>
      <c r="EE70" s="15"/>
      <c r="EF70" s="15"/>
      <c r="EG70" s="15"/>
      <c r="EH70" s="184"/>
      <c r="EI70" s="15"/>
      <c r="EJ70" s="15"/>
      <c r="EK70" s="15"/>
      <c r="EL70" s="15"/>
      <c r="EM70" s="15"/>
      <c r="EN70" s="15"/>
      <c r="EO70" s="184"/>
      <c r="EP70" s="15"/>
      <c r="EQ70" s="15"/>
      <c r="ER70" s="15"/>
      <c r="ES70" s="15"/>
      <c r="ET70" s="15"/>
      <c r="EU70" s="15"/>
      <c r="EV70" s="184"/>
      <c r="EW70" s="15"/>
      <c r="EX70" s="15"/>
      <c r="EY70" s="15"/>
      <c r="EZ70" s="15"/>
      <c r="FA70" s="15"/>
      <c r="FB70" s="15"/>
      <c r="FC70" s="184"/>
      <c r="FD70" s="15"/>
      <c r="FE70" s="15"/>
      <c r="FF70" s="15"/>
      <c r="FG70" s="15"/>
      <c r="FH70" s="15"/>
      <c r="FI70" s="15"/>
      <c r="FJ70" s="184"/>
      <c r="FK70" s="15"/>
      <c r="FL70" s="15"/>
      <c r="FM70" s="15"/>
      <c r="FN70" s="15"/>
      <c r="FO70" s="15"/>
      <c r="FP70" s="15"/>
      <c r="FQ70" s="184"/>
      <c r="FR70" s="15"/>
      <c r="FS70" s="15"/>
      <c r="FT70" s="15"/>
      <c r="FU70" s="15"/>
      <c r="FV70" s="15"/>
      <c r="FW70" s="178"/>
      <c r="FX70" s="184"/>
      <c r="FY70" s="181"/>
      <c r="FZ70" s="15"/>
      <c r="GA70" s="15"/>
      <c r="GB70" s="15"/>
      <c r="GC70" s="15"/>
      <c r="GD70" s="15"/>
      <c r="GE70" s="184"/>
      <c r="GF70" s="15"/>
      <c r="GG70" s="15"/>
      <c r="GH70" s="15"/>
      <c r="GI70" s="15"/>
      <c r="GJ70" s="15"/>
      <c r="GK70" s="15"/>
      <c r="GL70" s="184"/>
      <c r="GM70" s="15"/>
      <c r="GN70" s="15"/>
      <c r="GO70" s="15"/>
      <c r="GP70" s="15"/>
      <c r="GQ70" s="15"/>
      <c r="GR70" s="15"/>
      <c r="GS70" s="184"/>
      <c r="GT70" s="15"/>
      <c r="GU70" s="15"/>
      <c r="GV70" s="15"/>
      <c r="GW70" s="15"/>
      <c r="GX70" s="15"/>
      <c r="GY70" s="15"/>
      <c r="GZ70" s="184"/>
      <c r="HA70" s="15"/>
      <c r="HB70" s="15"/>
      <c r="HC70" s="15"/>
      <c r="HD70" s="15"/>
      <c r="HE70" s="15"/>
      <c r="HF70" s="15"/>
      <c r="HG70" s="184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/>
      <c r="LI70" s="15"/>
      <c r="LJ70" s="15"/>
      <c r="LK70" s="15"/>
      <c r="LL70" s="15"/>
      <c r="LM70" s="15"/>
      <c r="LN70" s="15"/>
      <c r="LO70" s="15"/>
      <c r="LP70" s="15"/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  <c r="MG70" s="15"/>
      <c r="MH70" s="15"/>
      <c r="MI70" s="15"/>
      <c r="MJ70" s="15"/>
      <c r="MK70" s="15"/>
      <c r="ML70" s="15"/>
      <c r="MM70" s="15"/>
      <c r="MN70" s="15"/>
      <c r="MO70" s="15"/>
      <c r="MP70" s="15"/>
      <c r="MQ70" s="15"/>
      <c r="MR70" s="15"/>
      <c r="MS70" s="15"/>
      <c r="MT70" s="15"/>
      <c r="MU70" s="15"/>
      <c r="MV70" s="15"/>
      <c r="MW70" s="15"/>
      <c r="MX70" s="15"/>
      <c r="MY70" s="15"/>
      <c r="MZ70" s="15"/>
      <c r="NA70" s="15"/>
      <c r="NB70" s="15"/>
      <c r="NC70" s="15"/>
      <c r="ND70" s="15"/>
      <c r="NE70" s="15"/>
      <c r="NF70" s="15"/>
      <c r="NG70" s="15"/>
      <c r="NH70" s="15"/>
      <c r="NI70" s="15"/>
      <c r="NJ70" s="15"/>
      <c r="NK70" s="15"/>
      <c r="NL70" s="15"/>
      <c r="NM70" s="15"/>
      <c r="NN70" s="15"/>
      <c r="NO70" s="15"/>
      <c r="NP70" s="15"/>
      <c r="NQ70" s="15"/>
      <c r="NR70" s="15"/>
      <c r="NS70" s="15"/>
      <c r="NT70" s="15"/>
      <c r="NU70" s="15"/>
      <c r="NV70" s="15"/>
      <c r="NW70" s="15"/>
      <c r="NX70" s="15"/>
      <c r="NY70" s="15"/>
      <c r="NZ70" s="15"/>
    </row>
    <row r="71" spans="2:390" ht="19.5" customHeight="1" x14ac:dyDescent="0.45">
      <c r="B71" s="1">
        <f t="shared" si="99"/>
        <v>2</v>
      </c>
      <c r="C71" s="1">
        <f>+C70</f>
        <v>8</v>
      </c>
      <c r="D71" s="1">
        <f>+D70+1</f>
        <v>1</v>
      </c>
      <c r="E71" s="59" t="str">
        <f t="shared" si="105"/>
        <v>2.8.1</v>
      </c>
      <c r="F71" s="23" t="s">
        <v>88</v>
      </c>
      <c r="G71" s="23"/>
      <c r="H71" s="52" t="s">
        <v>117</v>
      </c>
      <c r="I71" s="118"/>
      <c r="J71" s="118"/>
      <c r="K71" s="119"/>
      <c r="L71" s="119"/>
      <c r="M71" s="120"/>
      <c r="N71" s="120"/>
      <c r="O71" s="121"/>
      <c r="P71" s="121"/>
      <c r="Q71" s="121"/>
      <c r="R71" s="187"/>
      <c r="S71" s="64"/>
      <c r="T71" s="155" t="str">
        <f t="shared" si="84"/>
        <v/>
      </c>
      <c r="U71" s="22"/>
      <c r="V71" s="199">
        <f t="shared" si="85"/>
        <v>0</v>
      </c>
      <c r="W71" s="158"/>
      <c r="X71" s="159"/>
      <c r="Y71" s="199"/>
      <c r="Z71" s="36"/>
      <c r="AA71" s="15"/>
      <c r="AB71" s="15"/>
      <c r="AC71" s="15"/>
      <c r="AD71" s="15"/>
      <c r="AE71" s="15"/>
      <c r="AF71" s="15"/>
      <c r="AG71" s="184"/>
      <c r="AH71" s="15"/>
      <c r="AI71" s="15"/>
      <c r="AJ71" s="15"/>
      <c r="AK71" s="15"/>
      <c r="AL71" s="15"/>
      <c r="AM71" s="15"/>
      <c r="AN71" s="184"/>
      <c r="AO71" s="15"/>
      <c r="AP71" s="15"/>
      <c r="AQ71" s="15"/>
      <c r="AR71" s="15"/>
      <c r="AS71" s="15"/>
      <c r="AT71" s="15"/>
      <c r="AU71" s="184"/>
      <c r="AV71" s="15"/>
      <c r="AW71" s="15"/>
      <c r="AX71" s="15"/>
      <c r="AY71" s="15"/>
      <c r="AZ71" s="15"/>
      <c r="BA71" s="15"/>
      <c r="BB71" s="184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84"/>
      <c r="CE71" s="15"/>
      <c r="CF71" s="15"/>
      <c r="CG71" s="15"/>
      <c r="CH71" s="15"/>
      <c r="CI71" s="15"/>
      <c r="CJ71" s="15"/>
      <c r="CK71" s="184"/>
      <c r="CL71" s="15"/>
      <c r="CM71" s="15"/>
      <c r="CN71" s="15"/>
      <c r="CO71" s="15"/>
      <c r="CP71" s="15"/>
      <c r="CQ71" s="15"/>
      <c r="CR71" s="184"/>
      <c r="CS71" s="15"/>
      <c r="CT71" s="15"/>
      <c r="CU71" s="15"/>
      <c r="CV71" s="15"/>
      <c r="CW71" s="15"/>
      <c r="CX71" s="15"/>
      <c r="CY71" s="184"/>
      <c r="CZ71" s="15"/>
      <c r="DA71" s="15"/>
      <c r="DB71" s="15"/>
      <c r="DC71" s="15"/>
      <c r="DD71" s="15"/>
      <c r="DE71" s="15"/>
      <c r="DF71" s="184"/>
      <c r="DG71" s="15"/>
      <c r="DH71" s="15"/>
      <c r="DI71" s="15"/>
      <c r="DJ71" s="15"/>
      <c r="DK71" s="15"/>
      <c r="DL71" s="15"/>
      <c r="DM71" s="184"/>
      <c r="DN71" s="15"/>
      <c r="DO71" s="15"/>
      <c r="DP71" s="15"/>
      <c r="DQ71" s="15"/>
      <c r="DR71" s="15"/>
      <c r="DS71" s="15"/>
      <c r="DT71" s="184"/>
      <c r="DU71" s="15"/>
      <c r="DV71" s="15"/>
      <c r="DW71" s="15"/>
      <c r="DX71" s="15"/>
      <c r="DY71" s="15"/>
      <c r="DZ71" s="15"/>
      <c r="EA71" s="184"/>
      <c r="EB71" s="15"/>
      <c r="EC71" s="15"/>
      <c r="ED71" s="15"/>
      <c r="EE71" s="15"/>
      <c r="EF71" s="15"/>
      <c r="EG71" s="15"/>
      <c r="EH71" s="184"/>
      <c r="EI71" s="15"/>
      <c r="EJ71" s="15"/>
      <c r="EK71" s="15"/>
      <c r="EL71" s="15"/>
      <c r="EM71" s="15"/>
      <c r="EN71" s="15"/>
      <c r="EO71" s="184"/>
      <c r="EP71" s="15"/>
      <c r="EQ71" s="15"/>
      <c r="ER71" s="15"/>
      <c r="ES71" s="15"/>
      <c r="ET71" s="15"/>
      <c r="EU71" s="15"/>
      <c r="EV71" s="184"/>
      <c r="EW71" s="15"/>
      <c r="EX71" s="15"/>
      <c r="EY71" s="15"/>
      <c r="EZ71" s="15"/>
      <c r="FA71" s="15"/>
      <c r="FB71" s="15"/>
      <c r="FC71" s="184"/>
      <c r="FD71" s="15"/>
      <c r="FE71" s="15"/>
      <c r="FF71" s="15"/>
      <c r="FG71" s="15"/>
      <c r="FH71" s="15"/>
      <c r="FI71" s="15"/>
      <c r="FJ71" s="184"/>
      <c r="FK71" s="15"/>
      <c r="FL71" s="15"/>
      <c r="FM71" s="15"/>
      <c r="FN71" s="15"/>
      <c r="FO71" s="15"/>
      <c r="FP71" s="15"/>
      <c r="FQ71" s="184"/>
      <c r="FR71" s="15"/>
      <c r="FS71" s="15"/>
      <c r="FT71" s="15"/>
      <c r="FU71" s="15"/>
      <c r="FV71" s="15"/>
      <c r="FW71" s="178"/>
      <c r="FX71" s="184"/>
      <c r="FY71" s="181"/>
      <c r="FZ71" s="15"/>
      <c r="GA71" s="15"/>
      <c r="GB71" s="15"/>
      <c r="GC71" s="15"/>
      <c r="GD71" s="15"/>
      <c r="GE71" s="184"/>
      <c r="GF71" s="15"/>
      <c r="GG71" s="15"/>
      <c r="GH71" s="15"/>
      <c r="GI71" s="15"/>
      <c r="GJ71" s="15"/>
      <c r="GK71" s="15"/>
      <c r="GL71" s="184"/>
      <c r="GM71" s="15"/>
      <c r="GN71" s="15"/>
      <c r="GO71" s="15"/>
      <c r="GP71" s="15"/>
      <c r="GQ71" s="15"/>
      <c r="GR71" s="15"/>
      <c r="GS71" s="184"/>
      <c r="GT71" s="15"/>
      <c r="GU71" s="15"/>
      <c r="GV71" s="15"/>
      <c r="GW71" s="15"/>
      <c r="GX71" s="15"/>
      <c r="GY71" s="15"/>
      <c r="GZ71" s="184"/>
      <c r="HA71" s="15"/>
      <c r="HB71" s="15"/>
      <c r="HC71" s="15"/>
      <c r="HD71" s="15"/>
      <c r="HE71" s="15"/>
      <c r="HF71" s="15"/>
      <c r="HG71" s="184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/>
      <c r="LI71" s="15"/>
      <c r="LJ71" s="15"/>
      <c r="LK71" s="15"/>
      <c r="LL71" s="15"/>
      <c r="LM71" s="15"/>
      <c r="LN71" s="15"/>
      <c r="LO71" s="15"/>
      <c r="LP71" s="15"/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  <c r="MG71" s="15"/>
      <c r="MH71" s="15"/>
      <c r="MI71" s="15"/>
      <c r="MJ71" s="15"/>
      <c r="MK71" s="15"/>
      <c r="ML71" s="15"/>
      <c r="MM71" s="15"/>
      <c r="MN71" s="15"/>
      <c r="MO71" s="15"/>
      <c r="MP71" s="15"/>
      <c r="MQ71" s="15"/>
      <c r="MR71" s="15"/>
      <c r="MS71" s="15"/>
      <c r="MT71" s="15"/>
      <c r="MU71" s="15"/>
      <c r="MV71" s="15"/>
      <c r="MW71" s="15"/>
      <c r="MX71" s="15"/>
      <c r="MY71" s="15"/>
      <c r="MZ71" s="15"/>
      <c r="NA71" s="15"/>
      <c r="NB71" s="15"/>
      <c r="NC71" s="15"/>
      <c r="ND71" s="15"/>
      <c r="NE71" s="15"/>
      <c r="NF71" s="15"/>
      <c r="NG71" s="15"/>
      <c r="NH71" s="15"/>
      <c r="NI71" s="15"/>
      <c r="NJ71" s="15"/>
      <c r="NK71" s="15"/>
      <c r="NL71" s="15"/>
      <c r="NM71" s="15"/>
      <c r="NN71" s="15"/>
      <c r="NO71" s="15"/>
      <c r="NP71" s="15"/>
      <c r="NQ71" s="15"/>
      <c r="NR71" s="15"/>
      <c r="NS71" s="15"/>
      <c r="NT71" s="15"/>
      <c r="NU71" s="15"/>
      <c r="NV71" s="15"/>
      <c r="NW71" s="15"/>
      <c r="NX71" s="15"/>
      <c r="NY71" s="15"/>
      <c r="NZ71" s="15"/>
    </row>
    <row r="72" spans="2:390" ht="19.5" customHeight="1" x14ac:dyDescent="0.45">
      <c r="B72" s="1">
        <f t="shared" si="99"/>
        <v>2</v>
      </c>
      <c r="C72" s="1">
        <f>+C71</f>
        <v>8</v>
      </c>
      <c r="D72" s="1">
        <f>+D71+1</f>
        <v>2</v>
      </c>
      <c r="E72" s="59" t="str">
        <f t="shared" si="105"/>
        <v>2.8.2</v>
      </c>
      <c r="F72" s="23" t="s">
        <v>89</v>
      </c>
      <c r="G72" s="23"/>
      <c r="H72" s="73" t="s">
        <v>119</v>
      </c>
      <c r="I72" s="195"/>
      <c r="J72" s="122"/>
      <c r="K72" s="123"/>
      <c r="L72" s="123"/>
      <c r="M72" s="124"/>
      <c r="N72" s="124"/>
      <c r="O72" s="125"/>
      <c r="P72" s="125"/>
      <c r="Q72" s="125"/>
      <c r="R72" s="187"/>
      <c r="S72" s="64"/>
      <c r="T72" s="155" t="str">
        <f t="shared" si="84"/>
        <v/>
      </c>
      <c r="U72" s="22"/>
      <c r="V72" s="199">
        <f t="shared" si="85"/>
        <v>0</v>
      </c>
      <c r="W72" s="158"/>
      <c r="X72" s="159"/>
      <c r="Y72" s="199"/>
      <c r="Z72" s="36"/>
      <c r="AA72" s="15"/>
      <c r="AB72" s="15"/>
      <c r="AC72" s="15"/>
      <c r="AD72" s="15"/>
      <c r="AE72" s="15"/>
      <c r="AF72" s="15"/>
      <c r="AG72" s="184"/>
      <c r="AH72" s="15"/>
      <c r="AI72" s="15"/>
      <c r="AJ72" s="15"/>
      <c r="AK72" s="15"/>
      <c r="AL72" s="15"/>
      <c r="AM72" s="15"/>
      <c r="AN72" s="184"/>
      <c r="AO72" s="15"/>
      <c r="AP72" s="15"/>
      <c r="AQ72" s="15"/>
      <c r="AR72" s="15"/>
      <c r="AS72" s="15"/>
      <c r="AT72" s="15"/>
      <c r="AU72" s="184"/>
      <c r="AV72" s="15"/>
      <c r="AW72" s="15"/>
      <c r="AX72" s="15"/>
      <c r="AY72" s="15"/>
      <c r="AZ72" s="15"/>
      <c r="BA72" s="15"/>
      <c r="BB72" s="184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84"/>
      <c r="CE72" s="15"/>
      <c r="CF72" s="15"/>
      <c r="CG72" s="15"/>
      <c r="CH72" s="15"/>
      <c r="CI72" s="15"/>
      <c r="CJ72" s="15"/>
      <c r="CK72" s="184"/>
      <c r="CL72" s="15"/>
      <c r="CM72" s="15"/>
      <c r="CN72" s="15"/>
      <c r="CO72" s="15"/>
      <c r="CP72" s="15"/>
      <c r="CQ72" s="15"/>
      <c r="CR72" s="184"/>
      <c r="CS72" s="15"/>
      <c r="CT72" s="15"/>
      <c r="CU72" s="15"/>
      <c r="CV72" s="15"/>
      <c r="CW72" s="15"/>
      <c r="CX72" s="15"/>
      <c r="CY72" s="184"/>
      <c r="CZ72" s="15"/>
      <c r="DA72" s="15"/>
      <c r="DB72" s="15"/>
      <c r="DC72" s="15"/>
      <c r="DD72" s="15"/>
      <c r="DE72" s="15"/>
      <c r="DF72" s="184"/>
      <c r="DG72" s="15"/>
      <c r="DH72" s="15"/>
      <c r="DI72" s="15"/>
      <c r="DJ72" s="15"/>
      <c r="DK72" s="15"/>
      <c r="DL72" s="15"/>
      <c r="DM72" s="184"/>
      <c r="DN72" s="15"/>
      <c r="DO72" s="15"/>
      <c r="DP72" s="15"/>
      <c r="DQ72" s="15"/>
      <c r="DR72" s="15"/>
      <c r="DS72" s="15"/>
      <c r="DT72" s="184"/>
      <c r="DU72" s="15"/>
      <c r="DV72" s="15"/>
      <c r="DW72" s="15"/>
      <c r="DX72" s="15"/>
      <c r="DY72" s="15"/>
      <c r="DZ72" s="15"/>
      <c r="EA72" s="184"/>
      <c r="EB72" s="15"/>
      <c r="EC72" s="15"/>
      <c r="ED72" s="15"/>
      <c r="EE72" s="15"/>
      <c r="EF72" s="15"/>
      <c r="EG72" s="15"/>
      <c r="EH72" s="184"/>
      <c r="EI72" s="15"/>
      <c r="EJ72" s="15"/>
      <c r="EK72" s="15"/>
      <c r="EL72" s="15"/>
      <c r="EM72" s="15"/>
      <c r="EN72" s="15"/>
      <c r="EO72" s="184"/>
      <c r="EP72" s="15"/>
      <c r="EQ72" s="15"/>
      <c r="ER72" s="15"/>
      <c r="ES72" s="15"/>
      <c r="ET72" s="15"/>
      <c r="EU72" s="15"/>
      <c r="EV72" s="184"/>
      <c r="EW72" s="15"/>
      <c r="EX72" s="15"/>
      <c r="EY72" s="15"/>
      <c r="EZ72" s="15"/>
      <c r="FA72" s="15"/>
      <c r="FB72" s="15"/>
      <c r="FC72" s="184"/>
      <c r="FD72" s="15"/>
      <c r="FE72" s="15"/>
      <c r="FF72" s="15"/>
      <c r="FG72" s="15"/>
      <c r="FH72" s="15"/>
      <c r="FI72" s="15"/>
      <c r="FJ72" s="184"/>
      <c r="FK72" s="15"/>
      <c r="FL72" s="15"/>
      <c r="FM72" s="15"/>
      <c r="FN72" s="15"/>
      <c r="FO72" s="15"/>
      <c r="FP72" s="15"/>
      <c r="FQ72" s="184"/>
      <c r="FR72" s="15"/>
      <c r="FS72" s="15"/>
      <c r="FT72" s="15"/>
      <c r="FU72" s="15"/>
      <c r="FV72" s="15"/>
      <c r="FW72" s="178"/>
      <c r="FX72" s="184"/>
      <c r="FY72" s="181"/>
      <c r="FZ72" s="15"/>
      <c r="GA72" s="15"/>
      <c r="GB72" s="15"/>
      <c r="GC72" s="15"/>
      <c r="GD72" s="15"/>
      <c r="GE72" s="184"/>
      <c r="GF72" s="15"/>
      <c r="GG72" s="15"/>
      <c r="GH72" s="15"/>
      <c r="GI72" s="15"/>
      <c r="GJ72" s="15"/>
      <c r="GK72" s="15"/>
      <c r="GL72" s="184"/>
      <c r="GM72" s="15"/>
      <c r="GN72" s="15"/>
      <c r="GO72" s="15"/>
      <c r="GP72" s="15"/>
      <c r="GQ72" s="15"/>
      <c r="GR72" s="15"/>
      <c r="GS72" s="184"/>
      <c r="GT72" s="15"/>
      <c r="GU72" s="15"/>
      <c r="GV72" s="15"/>
      <c r="GW72" s="15"/>
      <c r="GX72" s="15"/>
      <c r="GY72" s="15"/>
      <c r="GZ72" s="184"/>
      <c r="HA72" s="15"/>
      <c r="HB72" s="15"/>
      <c r="HC72" s="15"/>
      <c r="HD72" s="15"/>
      <c r="HE72" s="15"/>
      <c r="HF72" s="15"/>
      <c r="HG72" s="184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/>
      <c r="LI72" s="15"/>
      <c r="LJ72" s="15"/>
      <c r="LK72" s="15"/>
      <c r="LL72" s="15"/>
      <c r="LM72" s="15"/>
      <c r="LN72" s="15"/>
      <c r="LO72" s="15"/>
      <c r="LP72" s="15"/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  <c r="MG72" s="15"/>
      <c r="MH72" s="15"/>
      <c r="MI72" s="15"/>
      <c r="MJ72" s="15"/>
      <c r="MK72" s="15"/>
      <c r="ML72" s="15"/>
      <c r="MM72" s="15"/>
      <c r="MN72" s="15"/>
      <c r="MO72" s="15"/>
      <c r="MP72" s="15"/>
      <c r="MQ72" s="15"/>
      <c r="MR72" s="15"/>
      <c r="MS72" s="15"/>
      <c r="MT72" s="15"/>
      <c r="MU72" s="15"/>
      <c r="MV72" s="15"/>
      <c r="MW72" s="15"/>
      <c r="MX72" s="15"/>
      <c r="MY72" s="15"/>
      <c r="MZ72" s="15"/>
      <c r="NA72" s="15"/>
      <c r="NB72" s="15"/>
      <c r="NC72" s="15"/>
      <c r="ND72" s="15"/>
      <c r="NE72" s="15"/>
      <c r="NF72" s="15"/>
      <c r="NG72" s="15"/>
      <c r="NH72" s="15"/>
      <c r="NI72" s="15"/>
      <c r="NJ72" s="15"/>
      <c r="NK72" s="15"/>
      <c r="NL72" s="15"/>
      <c r="NM72" s="15"/>
      <c r="NN72" s="15"/>
      <c r="NO72" s="15"/>
      <c r="NP72" s="15"/>
      <c r="NQ72" s="15"/>
      <c r="NR72" s="15"/>
      <c r="NS72" s="15"/>
      <c r="NT72" s="15"/>
      <c r="NU72" s="15"/>
      <c r="NV72" s="15"/>
      <c r="NW72" s="15"/>
      <c r="NX72" s="15"/>
      <c r="NY72" s="15"/>
      <c r="NZ72" s="15"/>
    </row>
    <row r="73" spans="2:390" ht="19.5" customHeight="1" x14ac:dyDescent="0.45">
      <c r="B73" s="1">
        <f t="shared" si="99"/>
        <v>2</v>
      </c>
      <c r="C73" s="1">
        <f>+C72</f>
        <v>8</v>
      </c>
      <c r="D73" s="1">
        <f>+D72+1</f>
        <v>3</v>
      </c>
      <c r="E73" s="59" t="str">
        <f t="shared" si="105"/>
        <v>2.8.3</v>
      </c>
      <c r="F73" s="23" t="s">
        <v>90</v>
      </c>
      <c r="G73" s="23"/>
      <c r="H73" s="52" t="s">
        <v>117</v>
      </c>
      <c r="I73" s="52"/>
      <c r="J73" s="61">
        <v>2</v>
      </c>
      <c r="K73" s="61">
        <v>0</v>
      </c>
      <c r="L73" s="52">
        <f>+J73-K73</f>
        <v>2</v>
      </c>
      <c r="M73" s="52"/>
      <c r="N73" s="52"/>
      <c r="O73" s="51">
        <f>+N73*M73</f>
        <v>0</v>
      </c>
      <c r="P73" s="51"/>
      <c r="Q73" s="51"/>
      <c r="R73" s="187"/>
      <c r="S73" s="64"/>
      <c r="T73" s="155" t="str">
        <f t="shared" si="84"/>
        <v/>
      </c>
      <c r="U73" s="22">
        <f>+K73/J73</f>
        <v>0</v>
      </c>
      <c r="V73" s="199">
        <f t="shared" si="85"/>
        <v>0</v>
      </c>
      <c r="W73" s="158"/>
      <c r="X73" s="159"/>
      <c r="Y73" s="199"/>
      <c r="Z73" s="36"/>
      <c r="AA73" s="15"/>
      <c r="AB73" s="15"/>
      <c r="AC73" s="15"/>
      <c r="AD73" s="15"/>
      <c r="AE73" s="15"/>
      <c r="AF73" s="15"/>
      <c r="AG73" s="184"/>
      <c r="AH73" s="15"/>
      <c r="AI73" s="15"/>
      <c r="AJ73" s="15"/>
      <c r="AK73" s="15"/>
      <c r="AL73" s="15"/>
      <c r="AM73" s="15"/>
      <c r="AN73" s="184"/>
      <c r="AO73" s="15"/>
      <c r="AP73" s="15"/>
      <c r="AQ73" s="15"/>
      <c r="AR73" s="15"/>
      <c r="AS73" s="15"/>
      <c r="AT73" s="15"/>
      <c r="AU73" s="184"/>
      <c r="AV73" s="15"/>
      <c r="AW73" s="15"/>
      <c r="AX73" s="15"/>
      <c r="AY73" s="15"/>
      <c r="AZ73" s="15"/>
      <c r="BA73" s="15"/>
      <c r="BB73" s="184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84"/>
      <c r="CE73" s="15"/>
      <c r="CF73" s="15"/>
      <c r="CG73" s="15"/>
      <c r="CH73" s="15"/>
      <c r="CI73" s="15"/>
      <c r="CJ73" s="15"/>
      <c r="CK73" s="184"/>
      <c r="CL73" s="15"/>
      <c r="CM73" s="15"/>
      <c r="CN73" s="15"/>
      <c r="CO73" s="15"/>
      <c r="CP73" s="15"/>
      <c r="CQ73" s="15"/>
      <c r="CR73" s="184"/>
      <c r="CS73" s="15"/>
      <c r="CT73" s="15"/>
      <c r="CU73" s="15"/>
      <c r="CV73" s="15"/>
      <c r="CW73" s="15"/>
      <c r="CX73" s="15"/>
      <c r="CY73" s="184"/>
      <c r="CZ73" s="15"/>
      <c r="DA73" s="15"/>
      <c r="DB73" s="15"/>
      <c r="DC73" s="15"/>
      <c r="DD73" s="15"/>
      <c r="DE73" s="15"/>
      <c r="DF73" s="184"/>
      <c r="DG73" s="15"/>
      <c r="DH73" s="15"/>
      <c r="DI73" s="15"/>
      <c r="DJ73" s="15"/>
      <c r="DK73" s="15"/>
      <c r="DL73" s="15"/>
      <c r="DM73" s="184"/>
      <c r="DN73" s="15"/>
      <c r="DO73" s="15"/>
      <c r="DP73" s="15"/>
      <c r="DQ73" s="15"/>
      <c r="DR73" s="15"/>
      <c r="DS73" s="15"/>
      <c r="DT73" s="184"/>
      <c r="DU73" s="15"/>
      <c r="DV73" s="15"/>
      <c r="DW73" s="15"/>
      <c r="DX73" s="15"/>
      <c r="DY73" s="15"/>
      <c r="DZ73" s="15"/>
      <c r="EA73" s="184"/>
      <c r="EB73" s="15"/>
      <c r="EC73" s="15"/>
      <c r="ED73" s="15"/>
      <c r="EE73" s="15"/>
      <c r="EF73" s="15"/>
      <c r="EG73" s="15"/>
      <c r="EH73" s="184"/>
      <c r="EI73" s="15"/>
      <c r="EJ73" s="15"/>
      <c r="EK73" s="15"/>
      <c r="EL73" s="15"/>
      <c r="EM73" s="15"/>
      <c r="EN73" s="15"/>
      <c r="EO73" s="184"/>
      <c r="EP73" s="15"/>
      <c r="EQ73" s="15"/>
      <c r="ER73" s="15"/>
      <c r="ES73" s="15"/>
      <c r="ET73" s="15"/>
      <c r="EU73" s="15"/>
      <c r="EV73" s="184"/>
      <c r="EW73" s="15"/>
      <c r="EX73" s="15"/>
      <c r="EY73" s="15"/>
      <c r="EZ73" s="15"/>
      <c r="FA73" s="15"/>
      <c r="FB73" s="15"/>
      <c r="FC73" s="184"/>
      <c r="FD73" s="15"/>
      <c r="FE73" s="15"/>
      <c r="FF73" s="15"/>
      <c r="FG73" s="15"/>
      <c r="FH73" s="15"/>
      <c r="FI73" s="15"/>
      <c r="FJ73" s="184"/>
      <c r="FK73" s="15"/>
      <c r="FL73" s="15"/>
      <c r="FM73" s="15"/>
      <c r="FN73" s="15"/>
      <c r="FO73" s="15"/>
      <c r="FP73" s="15"/>
      <c r="FQ73" s="184"/>
      <c r="FR73" s="15"/>
      <c r="FS73" s="15"/>
      <c r="FT73" s="15"/>
      <c r="FU73" s="15"/>
      <c r="FV73" s="15"/>
      <c r="FW73" s="15"/>
      <c r="FX73" s="184"/>
      <c r="FY73" s="181"/>
      <c r="FZ73" s="15"/>
      <c r="GA73" s="15"/>
      <c r="GB73" s="15"/>
      <c r="GC73" s="15"/>
      <c r="GD73" s="15"/>
      <c r="GE73" s="184"/>
      <c r="GF73" s="15"/>
      <c r="GG73" s="15"/>
      <c r="GH73" s="15"/>
      <c r="GI73" s="15"/>
      <c r="GJ73" s="15"/>
      <c r="GK73" s="15"/>
      <c r="GL73" s="184"/>
      <c r="GM73" s="15"/>
      <c r="GN73" s="15"/>
      <c r="GO73" s="15"/>
      <c r="GP73" s="15"/>
      <c r="GQ73" s="15"/>
      <c r="GR73" s="15"/>
      <c r="GS73" s="184"/>
      <c r="GT73" s="15"/>
      <c r="GU73" s="15"/>
      <c r="GV73" s="15"/>
      <c r="GW73" s="15"/>
      <c r="GX73" s="15"/>
      <c r="GY73" s="15"/>
      <c r="GZ73" s="184"/>
      <c r="HA73" s="15"/>
      <c r="HB73" s="15"/>
      <c r="HC73" s="15"/>
      <c r="HD73" s="15"/>
      <c r="HE73" s="15"/>
      <c r="HF73" s="15"/>
      <c r="HG73" s="184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/>
      <c r="LP73" s="15"/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  <c r="MG73" s="15"/>
      <c r="MH73" s="15"/>
      <c r="MI73" s="15"/>
      <c r="MJ73" s="15"/>
      <c r="MK73" s="15"/>
      <c r="ML73" s="15"/>
      <c r="MM73" s="15"/>
      <c r="MN73" s="15"/>
      <c r="MO73" s="15"/>
      <c r="MP73" s="15"/>
      <c r="MQ73" s="15"/>
      <c r="MR73" s="15"/>
      <c r="MS73" s="15"/>
      <c r="MT73" s="15"/>
      <c r="MU73" s="15"/>
      <c r="MV73" s="15"/>
      <c r="MW73" s="15"/>
      <c r="MX73" s="15"/>
      <c r="MY73" s="15"/>
      <c r="MZ73" s="15"/>
      <c r="NA73" s="15"/>
      <c r="NB73" s="15"/>
      <c r="NC73" s="15"/>
      <c r="ND73" s="15"/>
      <c r="NE73" s="15"/>
      <c r="NF73" s="15"/>
      <c r="NG73" s="15"/>
      <c r="NH73" s="15"/>
      <c r="NI73" s="15"/>
      <c r="NJ73" s="15"/>
      <c r="NK73" s="15"/>
      <c r="NL73" s="15"/>
      <c r="NM73" s="15"/>
      <c r="NN73" s="15"/>
      <c r="NO73" s="15"/>
      <c r="NP73" s="15"/>
      <c r="NQ73" s="15"/>
      <c r="NR73" s="15"/>
      <c r="NS73" s="15"/>
      <c r="NT73" s="15"/>
      <c r="NU73" s="15"/>
      <c r="NV73" s="15"/>
      <c r="NW73" s="15"/>
      <c r="NX73" s="15"/>
      <c r="NY73" s="15"/>
      <c r="NZ73" s="15"/>
    </row>
    <row r="74" spans="2:390" ht="19.5" customHeight="1" x14ac:dyDescent="0.45">
      <c r="B74" s="1">
        <f t="shared" ref="B74:B85" si="106">+B73</f>
        <v>2</v>
      </c>
      <c r="C74" s="1">
        <f>+C73</f>
        <v>8</v>
      </c>
      <c r="D74" s="1">
        <f>+D73+1</f>
        <v>4</v>
      </c>
      <c r="E74" s="59" t="str">
        <f t="shared" si="105"/>
        <v>2.8.4</v>
      </c>
      <c r="F74" s="23" t="s">
        <v>91</v>
      </c>
      <c r="G74" s="191">
        <v>1</v>
      </c>
      <c r="H74" s="52" t="s">
        <v>117</v>
      </c>
      <c r="I74" s="52" t="s">
        <v>157</v>
      </c>
      <c r="J74" s="61">
        <v>2</v>
      </c>
      <c r="K74" s="61">
        <v>0</v>
      </c>
      <c r="L74" s="52">
        <f>+J74-K74</f>
        <v>2</v>
      </c>
      <c r="M74" s="52">
        <v>2</v>
      </c>
      <c r="N74" s="52">
        <v>5</v>
      </c>
      <c r="O74" s="51">
        <f>+N74*M74</f>
        <v>10</v>
      </c>
      <c r="P74" s="51">
        <f>+SUM(AA74:NZ74)</f>
        <v>10</v>
      </c>
      <c r="Q74" s="51">
        <f>+O74-P74</f>
        <v>0</v>
      </c>
      <c r="R74" s="19">
        <v>46125</v>
      </c>
      <c r="S74" s="20">
        <v>5</v>
      </c>
      <c r="T74" s="21">
        <f t="shared" si="84"/>
        <v>46129</v>
      </c>
      <c r="U74" s="22">
        <f>+K74/J74</f>
        <v>0</v>
      </c>
      <c r="V74" s="199">
        <f t="shared" si="85"/>
        <v>0</v>
      </c>
      <c r="W74" s="158">
        <f>SUMIFS($AA74:$NZ74, $AA$8:$NZ$8, $W$13)/$O74</f>
        <v>0</v>
      </c>
      <c r="X74" s="159">
        <f>SUMIF($AA$9:$NZ$9, "&lt;=" &amp; $W$11,$AA74:$NZ74)/$O74</f>
        <v>0</v>
      </c>
      <c r="Y74" s="199">
        <f t="shared" si="86"/>
        <v>0</v>
      </c>
      <c r="Z74" s="36"/>
      <c r="AA74" s="15"/>
      <c r="AB74" s="15"/>
      <c r="AC74" s="15"/>
      <c r="AD74" s="15"/>
      <c r="AE74" s="15"/>
      <c r="AF74" s="15"/>
      <c r="AG74" s="184"/>
      <c r="AH74" s="15"/>
      <c r="AI74" s="15"/>
      <c r="AJ74" s="15"/>
      <c r="AK74" s="15"/>
      <c r="AL74" s="15"/>
      <c r="AM74" s="15"/>
      <c r="AN74" s="184"/>
      <c r="AO74" s="15"/>
      <c r="AP74" s="15"/>
      <c r="AQ74" s="15"/>
      <c r="AR74" s="15"/>
      <c r="AS74" s="15"/>
      <c r="AT74" s="15"/>
      <c r="AU74" s="184"/>
      <c r="AV74" s="15"/>
      <c r="AW74" s="15"/>
      <c r="AX74" s="15"/>
      <c r="AY74" s="15"/>
      <c r="AZ74" s="15"/>
      <c r="BA74" s="15"/>
      <c r="BB74" s="184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84"/>
      <c r="CE74" s="15"/>
      <c r="CF74" s="15"/>
      <c r="CG74" s="15"/>
      <c r="CH74" s="15"/>
      <c r="CI74" s="15"/>
      <c r="CJ74" s="15"/>
      <c r="CK74" s="184"/>
      <c r="CL74" s="15"/>
      <c r="CM74" s="15"/>
      <c r="CN74" s="15"/>
      <c r="CO74" s="15"/>
      <c r="CP74" s="15"/>
      <c r="CQ74" s="15"/>
      <c r="CR74" s="184"/>
      <c r="CS74" s="15"/>
      <c r="CT74" s="15"/>
      <c r="CU74" s="15"/>
      <c r="CV74" s="15"/>
      <c r="CW74" s="15"/>
      <c r="CX74" s="15"/>
      <c r="CY74" s="184"/>
      <c r="CZ74" s="15"/>
      <c r="DA74" s="15"/>
      <c r="DB74" s="15"/>
      <c r="DC74" s="15"/>
      <c r="DD74" s="15"/>
      <c r="DE74" s="15"/>
      <c r="DF74" s="184"/>
      <c r="DG74" s="15"/>
      <c r="DH74" s="15"/>
      <c r="DI74" s="15"/>
      <c r="DJ74" s="15"/>
      <c r="DK74" s="15"/>
      <c r="DL74" s="15"/>
      <c r="DM74" s="184"/>
      <c r="DN74" s="15"/>
      <c r="DO74" s="15"/>
      <c r="DP74" s="15"/>
      <c r="DQ74" s="15"/>
      <c r="DR74" s="15"/>
      <c r="DS74" s="15"/>
      <c r="DT74" s="184"/>
      <c r="DU74" s="15"/>
      <c r="DV74" s="15"/>
      <c r="DW74" s="15"/>
      <c r="DX74" s="15"/>
      <c r="DY74" s="15"/>
      <c r="DZ74" s="15"/>
      <c r="EA74" s="184"/>
      <c r="EB74" s="15"/>
      <c r="EC74" s="15"/>
      <c r="ED74" s="15"/>
      <c r="EE74" s="15"/>
      <c r="EF74" s="15"/>
      <c r="EG74" s="15"/>
      <c r="EH74" s="184"/>
      <c r="EI74" s="15"/>
      <c r="EJ74" s="15"/>
      <c r="EK74" s="15"/>
      <c r="EL74" s="15"/>
      <c r="EM74" s="15"/>
      <c r="EN74" s="15"/>
      <c r="EO74" s="184"/>
      <c r="EP74" s="15"/>
      <c r="EQ74" s="15"/>
      <c r="ER74" s="15"/>
      <c r="ES74" s="15"/>
      <c r="ET74" s="15"/>
      <c r="EU74" s="15"/>
      <c r="EV74" s="184"/>
      <c r="EW74" s="15"/>
      <c r="EX74" s="15"/>
      <c r="EY74" s="15"/>
      <c r="EZ74" s="15"/>
      <c r="FA74" s="15"/>
      <c r="FB74" s="15"/>
      <c r="FC74" s="184"/>
      <c r="FD74" s="15"/>
      <c r="FE74" s="15"/>
      <c r="FF74" s="15"/>
      <c r="FG74" s="15"/>
      <c r="FH74" s="15"/>
      <c r="FI74" s="15"/>
      <c r="FJ74" s="184"/>
      <c r="FK74" s="15">
        <v>2</v>
      </c>
      <c r="FL74" s="15">
        <v>2</v>
      </c>
      <c r="FM74" s="15">
        <v>2</v>
      </c>
      <c r="FN74" s="15">
        <v>2</v>
      </c>
      <c r="FO74" s="15">
        <v>2</v>
      </c>
      <c r="FP74" s="15"/>
      <c r="FQ74" s="184"/>
      <c r="FR74" s="15"/>
      <c r="FS74" s="15"/>
      <c r="FT74" s="15"/>
      <c r="FU74" s="15"/>
      <c r="FV74" s="15"/>
      <c r="FW74" s="15"/>
      <c r="FX74" s="184"/>
      <c r="FY74" s="181"/>
      <c r="FZ74" s="15"/>
      <c r="GA74" s="15"/>
      <c r="GB74" s="15"/>
      <c r="GC74" s="15"/>
      <c r="GD74" s="15"/>
      <c r="GE74" s="184"/>
      <c r="GF74" s="15"/>
      <c r="GG74" s="15"/>
      <c r="GH74" s="15"/>
      <c r="GI74" s="15"/>
      <c r="GJ74" s="15"/>
      <c r="GK74" s="15"/>
      <c r="GL74" s="184"/>
      <c r="GM74" s="15"/>
      <c r="GN74" s="15"/>
      <c r="GO74" s="15"/>
      <c r="GP74" s="15"/>
      <c r="GQ74" s="15"/>
      <c r="GR74" s="15"/>
      <c r="GS74" s="184"/>
      <c r="GT74" s="15"/>
      <c r="GU74" s="15"/>
      <c r="GV74" s="15"/>
      <c r="GW74" s="15"/>
      <c r="GX74" s="15"/>
      <c r="GY74" s="15"/>
      <c r="GZ74" s="184"/>
      <c r="HA74" s="15"/>
      <c r="HB74" s="15"/>
      <c r="HC74" s="15"/>
      <c r="HD74" s="15"/>
      <c r="HE74" s="15"/>
      <c r="HF74" s="15"/>
      <c r="HG74" s="184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  <c r="MG74" s="15"/>
      <c r="MH74" s="15"/>
      <c r="MI74" s="15"/>
      <c r="MJ74" s="15"/>
      <c r="MK74" s="15"/>
      <c r="ML74" s="15"/>
      <c r="MM74" s="15"/>
      <c r="MN74" s="15"/>
      <c r="MO74" s="15"/>
      <c r="MP74" s="15"/>
      <c r="MQ74" s="15"/>
      <c r="MR74" s="15"/>
      <c r="MS74" s="15"/>
      <c r="MT74" s="15"/>
      <c r="MU74" s="15"/>
      <c r="MV74" s="15"/>
      <c r="MW74" s="15"/>
      <c r="MX74" s="15"/>
      <c r="MY74" s="15"/>
      <c r="MZ74" s="15"/>
      <c r="NA74" s="15"/>
      <c r="NB74" s="15"/>
      <c r="NC74" s="15"/>
      <c r="ND74" s="15"/>
      <c r="NE74" s="15"/>
      <c r="NF74" s="15"/>
      <c r="NG74" s="15"/>
      <c r="NH74" s="15"/>
      <c r="NI74" s="15"/>
      <c r="NJ74" s="15"/>
      <c r="NK74" s="15"/>
      <c r="NL74" s="15"/>
      <c r="NM74" s="15"/>
      <c r="NN74" s="15"/>
      <c r="NO74" s="15"/>
      <c r="NP74" s="15"/>
      <c r="NQ74" s="15"/>
      <c r="NR74" s="15"/>
      <c r="NS74" s="15"/>
      <c r="NT74" s="15"/>
      <c r="NU74" s="15"/>
      <c r="NV74" s="15"/>
      <c r="NW74" s="15"/>
      <c r="NX74" s="15"/>
      <c r="NY74" s="15"/>
      <c r="NZ74" s="15"/>
    </row>
    <row r="75" spans="2:390" ht="19.5" customHeight="1" x14ac:dyDescent="0.45">
      <c r="B75" s="1">
        <f t="shared" si="106"/>
        <v>2</v>
      </c>
      <c r="C75" s="1">
        <f>+C74+1</f>
        <v>9</v>
      </c>
      <c r="D75" s="1">
        <v>0</v>
      </c>
      <c r="E75" s="93" t="str">
        <f t="shared" si="105"/>
        <v>2.9.0</v>
      </c>
      <c r="F75" s="99" t="s">
        <v>93</v>
      </c>
      <c r="G75" s="99"/>
      <c r="H75" s="100"/>
      <c r="I75" s="100"/>
      <c r="J75" s="101"/>
      <c r="K75" s="101"/>
      <c r="L75" s="101"/>
      <c r="M75" s="99"/>
      <c r="N75" s="99"/>
      <c r="O75" s="95">
        <f>SUM(O77:O79)</f>
        <v>10</v>
      </c>
      <c r="P75" s="95"/>
      <c r="Q75" s="95"/>
      <c r="R75" s="168"/>
      <c r="S75" s="98"/>
      <c r="T75" s="163" t="str">
        <f t="shared" si="84"/>
        <v/>
      </c>
      <c r="U75" s="164">
        <f>+SUMPRODUCT(U76:U79,O76:O79)/O75</f>
        <v>0</v>
      </c>
      <c r="V75" s="200">
        <f t="shared" si="85"/>
        <v>0</v>
      </c>
      <c r="W75" s="158">
        <f>SUMIFS($AA75:$NZ75, $AA$8:$NZ$8, $W$13)/$O75</f>
        <v>0</v>
      </c>
      <c r="X75" s="159">
        <f>SUMIF($AA$9:$NZ$9, "&lt;=" &amp; $W$11,$AA75:$NZ75)/$O75</f>
        <v>0</v>
      </c>
      <c r="Y75" s="199">
        <f t="shared" si="86"/>
        <v>0</v>
      </c>
      <c r="Z75" s="36"/>
      <c r="AA75" s="15"/>
      <c r="AB75" s="15"/>
      <c r="AC75" s="15"/>
      <c r="AD75" s="15"/>
      <c r="AE75" s="15"/>
      <c r="AF75" s="15"/>
      <c r="AG75" s="184"/>
      <c r="AH75" s="15"/>
      <c r="AI75" s="15"/>
      <c r="AJ75" s="15"/>
      <c r="AK75" s="15"/>
      <c r="AL75" s="15"/>
      <c r="AM75" s="15"/>
      <c r="AN75" s="184"/>
      <c r="AO75" s="15"/>
      <c r="AP75" s="15"/>
      <c r="AQ75" s="15"/>
      <c r="AR75" s="15"/>
      <c r="AS75" s="15"/>
      <c r="AT75" s="15"/>
      <c r="AU75" s="184"/>
      <c r="AV75" s="15"/>
      <c r="AW75" s="15"/>
      <c r="AX75" s="15"/>
      <c r="AY75" s="15"/>
      <c r="AZ75" s="15"/>
      <c r="BA75" s="15"/>
      <c r="BB75" s="184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84"/>
      <c r="CE75" s="15"/>
      <c r="CF75" s="15"/>
      <c r="CG75" s="15"/>
      <c r="CH75" s="15"/>
      <c r="CI75" s="15"/>
      <c r="CJ75" s="15"/>
      <c r="CK75" s="184"/>
      <c r="CL75" s="15"/>
      <c r="CM75" s="15"/>
      <c r="CN75" s="15"/>
      <c r="CO75" s="15"/>
      <c r="CP75" s="15"/>
      <c r="CQ75" s="15"/>
      <c r="CR75" s="184"/>
      <c r="CS75" s="15"/>
      <c r="CT75" s="15"/>
      <c r="CU75" s="15"/>
      <c r="CV75" s="15"/>
      <c r="CW75" s="15"/>
      <c r="CX75" s="15"/>
      <c r="CY75" s="184"/>
      <c r="CZ75" s="15"/>
      <c r="DA75" s="15"/>
      <c r="DB75" s="15"/>
      <c r="DC75" s="15"/>
      <c r="DD75" s="15"/>
      <c r="DE75" s="15"/>
      <c r="DF75" s="184"/>
      <c r="DG75" s="15"/>
      <c r="DH75" s="15"/>
      <c r="DI75" s="15"/>
      <c r="DJ75" s="15"/>
      <c r="DK75" s="15"/>
      <c r="DL75" s="15"/>
      <c r="DM75" s="184"/>
      <c r="DN75" s="15"/>
      <c r="DO75" s="15"/>
      <c r="DP75" s="15"/>
      <c r="DQ75" s="15"/>
      <c r="DR75" s="15"/>
      <c r="DS75" s="15"/>
      <c r="DT75" s="184"/>
      <c r="DU75" s="15"/>
      <c r="DV75" s="15"/>
      <c r="DW75" s="15"/>
      <c r="DX75" s="15"/>
      <c r="DY75" s="15"/>
      <c r="DZ75" s="15"/>
      <c r="EA75" s="184"/>
      <c r="EB75" s="15"/>
      <c r="EC75" s="15"/>
      <c r="ED75" s="15"/>
      <c r="EE75" s="15"/>
      <c r="EF75" s="15"/>
      <c r="EG75" s="15"/>
      <c r="EH75" s="184"/>
      <c r="EI75" s="15"/>
      <c r="EJ75" s="15"/>
      <c r="EK75" s="15"/>
      <c r="EL75" s="15"/>
      <c r="EM75" s="15"/>
      <c r="EN75" s="15"/>
      <c r="EO75" s="184"/>
      <c r="EP75" s="15"/>
      <c r="EQ75" s="15"/>
      <c r="ER75" s="15"/>
      <c r="ES75" s="15"/>
      <c r="ET75" s="15"/>
      <c r="EU75" s="15"/>
      <c r="EV75" s="184"/>
      <c r="EW75" s="15"/>
      <c r="EX75" s="15"/>
      <c r="EY75" s="15"/>
      <c r="EZ75" s="15"/>
      <c r="FA75" s="15"/>
      <c r="FB75" s="15"/>
      <c r="FC75" s="184"/>
      <c r="FD75" s="15"/>
      <c r="FE75" s="15"/>
      <c r="FF75" s="15"/>
      <c r="FG75" s="15"/>
      <c r="FH75" s="15"/>
      <c r="FI75" s="15"/>
      <c r="FJ75" s="184"/>
      <c r="FK75" s="15"/>
      <c r="FL75" s="15"/>
      <c r="FM75" s="15"/>
      <c r="FN75" s="15"/>
      <c r="FO75" s="15"/>
      <c r="FP75" s="15"/>
      <c r="FQ75" s="184"/>
      <c r="FR75" s="15"/>
      <c r="FS75" s="15"/>
      <c r="FT75" s="15"/>
      <c r="FU75" s="15"/>
      <c r="FV75" s="15"/>
      <c r="FW75" s="15"/>
      <c r="FX75" s="184"/>
      <c r="FY75" s="181"/>
      <c r="FZ75" s="15"/>
      <c r="GA75" s="15"/>
      <c r="GB75" s="15"/>
      <c r="GC75" s="15"/>
      <c r="GD75" s="15"/>
      <c r="GE75" s="184"/>
      <c r="GF75" s="15"/>
      <c r="GG75" s="15"/>
      <c r="GH75" s="15"/>
      <c r="GI75" s="15"/>
      <c r="GJ75" s="15"/>
      <c r="GK75" s="15"/>
      <c r="GL75" s="184"/>
      <c r="GM75" s="15"/>
      <c r="GN75" s="15"/>
      <c r="GO75" s="15"/>
      <c r="GP75" s="15"/>
      <c r="GQ75" s="15"/>
      <c r="GR75" s="15"/>
      <c r="GS75" s="184"/>
      <c r="GT75" s="15"/>
      <c r="GU75" s="15"/>
      <c r="GV75" s="15"/>
      <c r="GW75" s="15"/>
      <c r="GX75" s="15"/>
      <c r="GY75" s="15"/>
      <c r="GZ75" s="184"/>
      <c r="HA75" s="15"/>
      <c r="HB75" s="15"/>
      <c r="HC75" s="15"/>
      <c r="HD75" s="15"/>
      <c r="HE75" s="15"/>
      <c r="HF75" s="15"/>
      <c r="HG75" s="184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  <c r="MG75" s="15"/>
      <c r="MH75" s="15"/>
      <c r="MI75" s="15"/>
      <c r="MJ75" s="15"/>
      <c r="MK75" s="15"/>
      <c r="ML75" s="15"/>
      <c r="MM75" s="15"/>
      <c r="MN75" s="15"/>
      <c r="MO75" s="15"/>
      <c r="MP75" s="15"/>
      <c r="MQ75" s="15"/>
      <c r="MR75" s="15"/>
      <c r="MS75" s="15"/>
      <c r="MT75" s="15"/>
      <c r="MU75" s="15"/>
      <c r="MV75" s="15"/>
      <c r="MW75" s="15"/>
      <c r="MX75" s="15"/>
      <c r="MY75" s="15"/>
      <c r="MZ75" s="15"/>
      <c r="NA75" s="15"/>
      <c r="NB75" s="15"/>
      <c r="NC75" s="15"/>
      <c r="ND75" s="15"/>
      <c r="NE75" s="15"/>
      <c r="NF75" s="15"/>
      <c r="NG75" s="15"/>
      <c r="NH75" s="15"/>
      <c r="NI75" s="15"/>
      <c r="NJ75" s="15"/>
      <c r="NK75" s="15"/>
      <c r="NL75" s="15"/>
      <c r="NM75" s="15"/>
      <c r="NN75" s="15"/>
      <c r="NO75" s="15"/>
      <c r="NP75" s="15"/>
      <c r="NQ75" s="15"/>
      <c r="NR75" s="15"/>
      <c r="NS75" s="15"/>
      <c r="NT75" s="15"/>
      <c r="NU75" s="15"/>
      <c r="NV75" s="15"/>
      <c r="NW75" s="15"/>
      <c r="NX75" s="15"/>
      <c r="NY75" s="15"/>
      <c r="NZ75" s="15"/>
    </row>
    <row r="76" spans="2:390" ht="19.5" customHeight="1" x14ac:dyDescent="0.45">
      <c r="B76" s="1">
        <f t="shared" si="106"/>
        <v>2</v>
      </c>
      <c r="C76" s="1">
        <f>+C75</f>
        <v>9</v>
      </c>
      <c r="D76" s="1">
        <f>+D75+1</f>
        <v>1</v>
      </c>
      <c r="E76" s="59" t="str">
        <f t="shared" si="105"/>
        <v>2.9.1</v>
      </c>
      <c r="F76" s="23" t="s">
        <v>88</v>
      </c>
      <c r="G76" s="23"/>
      <c r="H76" s="52" t="s">
        <v>117</v>
      </c>
      <c r="I76" s="118"/>
      <c r="J76" s="118"/>
      <c r="K76" s="119"/>
      <c r="L76" s="119"/>
      <c r="M76" s="120"/>
      <c r="N76" s="120"/>
      <c r="O76" s="121"/>
      <c r="P76" s="121"/>
      <c r="Q76" s="121"/>
      <c r="R76" s="187"/>
      <c r="S76" s="64"/>
      <c r="T76" s="155" t="str">
        <f t="shared" si="84"/>
        <v/>
      </c>
      <c r="U76" s="22"/>
      <c r="V76" s="199">
        <f t="shared" si="85"/>
        <v>0</v>
      </c>
      <c r="W76" s="158"/>
      <c r="X76" s="159"/>
      <c r="Y76" s="199">
        <f t="shared" si="86"/>
        <v>0</v>
      </c>
      <c r="Z76" s="36"/>
      <c r="AA76" s="15"/>
      <c r="AB76" s="15"/>
      <c r="AC76" s="15"/>
      <c r="AD76" s="15"/>
      <c r="AE76" s="15"/>
      <c r="AF76" s="15"/>
      <c r="AG76" s="184"/>
      <c r="AH76" s="15"/>
      <c r="AI76" s="15"/>
      <c r="AJ76" s="15"/>
      <c r="AK76" s="15"/>
      <c r="AL76" s="15"/>
      <c r="AM76" s="15"/>
      <c r="AN76" s="184"/>
      <c r="AO76" s="15"/>
      <c r="AP76" s="15"/>
      <c r="AQ76" s="15"/>
      <c r="AR76" s="15"/>
      <c r="AS76" s="15"/>
      <c r="AT76" s="15"/>
      <c r="AU76" s="184"/>
      <c r="AV76" s="15"/>
      <c r="AW76" s="15"/>
      <c r="AX76" s="15"/>
      <c r="AY76" s="15"/>
      <c r="AZ76" s="15"/>
      <c r="BA76" s="15"/>
      <c r="BB76" s="184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84"/>
      <c r="CE76" s="15"/>
      <c r="CF76" s="15"/>
      <c r="CG76" s="15"/>
      <c r="CH76" s="15"/>
      <c r="CI76" s="15"/>
      <c r="CJ76" s="15"/>
      <c r="CK76" s="184"/>
      <c r="CL76" s="15"/>
      <c r="CM76" s="15"/>
      <c r="CN76" s="15"/>
      <c r="CO76" s="15"/>
      <c r="CP76" s="15"/>
      <c r="CQ76" s="15"/>
      <c r="CR76" s="184"/>
      <c r="CS76" s="15"/>
      <c r="CT76" s="15"/>
      <c r="CU76" s="15"/>
      <c r="CV76" s="15"/>
      <c r="CW76" s="15"/>
      <c r="CX76" s="15"/>
      <c r="CY76" s="184"/>
      <c r="CZ76" s="15"/>
      <c r="DA76" s="15"/>
      <c r="DB76" s="15"/>
      <c r="DC76" s="15"/>
      <c r="DD76" s="15"/>
      <c r="DE76" s="15"/>
      <c r="DF76" s="184"/>
      <c r="DG76" s="15"/>
      <c r="DH76" s="15"/>
      <c r="DI76" s="15"/>
      <c r="DJ76" s="15"/>
      <c r="DK76" s="15"/>
      <c r="DL76" s="15"/>
      <c r="DM76" s="184"/>
      <c r="DN76" s="15"/>
      <c r="DO76" s="15"/>
      <c r="DP76" s="15"/>
      <c r="DQ76" s="15"/>
      <c r="DR76" s="15"/>
      <c r="DS76" s="15"/>
      <c r="DT76" s="184"/>
      <c r="DU76" s="15"/>
      <c r="DV76" s="15"/>
      <c r="DW76" s="15"/>
      <c r="DX76" s="15"/>
      <c r="DY76" s="15"/>
      <c r="DZ76" s="15"/>
      <c r="EA76" s="184"/>
      <c r="EB76" s="15"/>
      <c r="EC76" s="15"/>
      <c r="ED76" s="15"/>
      <c r="EE76" s="15"/>
      <c r="EF76" s="15"/>
      <c r="EG76" s="15"/>
      <c r="EH76" s="184"/>
      <c r="EI76" s="15"/>
      <c r="EJ76" s="15"/>
      <c r="EK76" s="15"/>
      <c r="EL76" s="15"/>
      <c r="EM76" s="15"/>
      <c r="EN76" s="15"/>
      <c r="EO76" s="184"/>
      <c r="EP76" s="15"/>
      <c r="EQ76" s="15"/>
      <c r="ER76" s="15"/>
      <c r="ES76" s="15"/>
      <c r="ET76" s="15"/>
      <c r="EU76" s="15"/>
      <c r="EV76" s="184"/>
      <c r="EW76" s="15"/>
      <c r="EX76" s="15"/>
      <c r="EY76" s="15"/>
      <c r="EZ76" s="15"/>
      <c r="FA76" s="15"/>
      <c r="FB76" s="15"/>
      <c r="FC76" s="184"/>
      <c r="FD76" s="15"/>
      <c r="FE76" s="15"/>
      <c r="FF76" s="15"/>
      <c r="FG76" s="15"/>
      <c r="FH76" s="15"/>
      <c r="FI76" s="15"/>
      <c r="FJ76" s="184"/>
      <c r="FK76" s="15"/>
      <c r="FL76" s="15"/>
      <c r="FM76" s="15"/>
      <c r="FN76" s="15"/>
      <c r="FO76" s="15"/>
      <c r="FP76" s="15"/>
      <c r="FQ76" s="184"/>
      <c r="FR76" s="15"/>
      <c r="FS76" s="15"/>
      <c r="FT76" s="15"/>
      <c r="FU76" s="15"/>
      <c r="FV76" s="15"/>
      <c r="FW76" s="15"/>
      <c r="FX76" s="184"/>
      <c r="FY76" s="181"/>
      <c r="FZ76" s="15"/>
      <c r="GA76" s="15"/>
      <c r="GB76" s="15"/>
      <c r="GC76" s="15"/>
      <c r="GD76" s="15"/>
      <c r="GE76" s="184"/>
      <c r="GF76" s="15"/>
      <c r="GG76" s="15"/>
      <c r="GH76" s="15"/>
      <c r="GI76" s="15"/>
      <c r="GJ76" s="15"/>
      <c r="GK76" s="15"/>
      <c r="GL76" s="184"/>
      <c r="GM76" s="15"/>
      <c r="GN76" s="15"/>
      <c r="GO76" s="15"/>
      <c r="GP76" s="15"/>
      <c r="GQ76" s="15"/>
      <c r="GR76" s="15"/>
      <c r="GS76" s="184"/>
      <c r="GT76" s="15"/>
      <c r="GU76" s="15"/>
      <c r="GV76" s="15"/>
      <c r="GW76" s="15"/>
      <c r="GX76" s="15"/>
      <c r="GY76" s="15"/>
      <c r="GZ76" s="184"/>
      <c r="HA76" s="15"/>
      <c r="HB76" s="15"/>
      <c r="HC76" s="15"/>
      <c r="HD76" s="15"/>
      <c r="HE76" s="15"/>
      <c r="HF76" s="15"/>
      <c r="HG76" s="184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/>
      <c r="MM76" s="15"/>
      <c r="MN76" s="15"/>
      <c r="MO76" s="15"/>
      <c r="MP76" s="15"/>
      <c r="MQ76" s="15"/>
      <c r="MR76" s="15"/>
      <c r="MS76" s="15"/>
      <c r="MT76" s="15"/>
      <c r="MU76" s="15"/>
      <c r="MV76" s="15"/>
      <c r="MW76" s="15"/>
      <c r="MX76" s="15"/>
      <c r="MY76" s="15"/>
      <c r="MZ76" s="15"/>
      <c r="NA76" s="15"/>
      <c r="NB76" s="15"/>
      <c r="NC76" s="15"/>
      <c r="ND76" s="15"/>
      <c r="NE76" s="15"/>
      <c r="NF76" s="15"/>
      <c r="NG76" s="15"/>
      <c r="NH76" s="15"/>
      <c r="NI76" s="15"/>
      <c r="NJ76" s="15"/>
      <c r="NK76" s="15"/>
      <c r="NL76" s="15"/>
      <c r="NM76" s="15"/>
      <c r="NN76" s="15"/>
      <c r="NO76" s="15"/>
      <c r="NP76" s="15"/>
      <c r="NQ76" s="15"/>
      <c r="NR76" s="15"/>
      <c r="NS76" s="15"/>
      <c r="NT76" s="15"/>
      <c r="NU76" s="15"/>
      <c r="NV76" s="15"/>
      <c r="NW76" s="15"/>
      <c r="NX76" s="15"/>
      <c r="NY76" s="15"/>
      <c r="NZ76" s="15"/>
    </row>
    <row r="77" spans="2:390" ht="19.5" customHeight="1" x14ac:dyDescent="0.45">
      <c r="B77" s="1">
        <f t="shared" si="106"/>
        <v>2</v>
      </c>
      <c r="C77" s="1">
        <f>+C76</f>
        <v>9</v>
      </c>
      <c r="D77" s="1">
        <f>+D76+1</f>
        <v>2</v>
      </c>
      <c r="E77" s="59" t="str">
        <f t="shared" si="105"/>
        <v>2.9.2</v>
      </c>
      <c r="F77" s="23" t="s">
        <v>89</v>
      </c>
      <c r="G77" s="23"/>
      <c r="H77" s="73" t="s">
        <v>119</v>
      </c>
      <c r="I77" s="195"/>
      <c r="J77" s="122"/>
      <c r="K77" s="123"/>
      <c r="L77" s="123"/>
      <c r="M77" s="124"/>
      <c r="N77" s="124"/>
      <c r="O77" s="125"/>
      <c r="P77" s="125"/>
      <c r="Q77" s="125"/>
      <c r="R77" s="187"/>
      <c r="S77" s="64"/>
      <c r="T77" s="155" t="str">
        <f t="shared" si="84"/>
        <v/>
      </c>
      <c r="U77" s="22"/>
      <c r="V77" s="199">
        <f t="shared" si="85"/>
        <v>0</v>
      </c>
      <c r="W77" s="158"/>
      <c r="X77" s="159"/>
      <c r="Y77" s="199">
        <f t="shared" si="86"/>
        <v>0</v>
      </c>
      <c r="Z77" s="36"/>
      <c r="AA77" s="15"/>
      <c r="AB77" s="15"/>
      <c r="AC77" s="15"/>
      <c r="AD77" s="15"/>
      <c r="AE77" s="15"/>
      <c r="AF77" s="15"/>
      <c r="AG77" s="184"/>
      <c r="AH77" s="15"/>
      <c r="AI77" s="15"/>
      <c r="AJ77" s="15"/>
      <c r="AK77" s="15"/>
      <c r="AL77" s="15"/>
      <c r="AM77" s="15"/>
      <c r="AN77" s="184"/>
      <c r="AO77" s="15"/>
      <c r="AP77" s="15"/>
      <c r="AQ77" s="15"/>
      <c r="AR77" s="15"/>
      <c r="AS77" s="15"/>
      <c r="AT77" s="15"/>
      <c r="AU77" s="184"/>
      <c r="AV77" s="15"/>
      <c r="AW77" s="15"/>
      <c r="AX77" s="15"/>
      <c r="AY77" s="15"/>
      <c r="AZ77" s="15"/>
      <c r="BA77" s="15"/>
      <c r="BB77" s="184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84"/>
      <c r="CE77" s="15"/>
      <c r="CF77" s="15"/>
      <c r="CG77" s="15"/>
      <c r="CH77" s="15"/>
      <c r="CI77" s="15"/>
      <c r="CJ77" s="15"/>
      <c r="CK77" s="184"/>
      <c r="CL77" s="15"/>
      <c r="CM77" s="15"/>
      <c r="CN77" s="15"/>
      <c r="CO77" s="15"/>
      <c r="CP77" s="15"/>
      <c r="CQ77" s="15"/>
      <c r="CR77" s="184"/>
      <c r="CS77" s="15"/>
      <c r="CT77" s="15"/>
      <c r="CU77" s="15"/>
      <c r="CV77" s="15"/>
      <c r="CW77" s="15"/>
      <c r="CX77" s="15"/>
      <c r="CY77" s="184"/>
      <c r="CZ77" s="15"/>
      <c r="DA77" s="15"/>
      <c r="DB77" s="15"/>
      <c r="DC77" s="15"/>
      <c r="DD77" s="15"/>
      <c r="DE77" s="15"/>
      <c r="DF77" s="184"/>
      <c r="DG77" s="15"/>
      <c r="DH77" s="15"/>
      <c r="DI77" s="15"/>
      <c r="DJ77" s="15"/>
      <c r="DK77" s="15"/>
      <c r="DL77" s="15"/>
      <c r="DM77" s="184"/>
      <c r="DN77" s="15"/>
      <c r="DO77" s="15"/>
      <c r="DP77" s="15"/>
      <c r="DQ77" s="15"/>
      <c r="DR77" s="15"/>
      <c r="DS77" s="15"/>
      <c r="DT77" s="184"/>
      <c r="DU77" s="15"/>
      <c r="DV77" s="15"/>
      <c r="DW77" s="15"/>
      <c r="DX77" s="15"/>
      <c r="DY77" s="15"/>
      <c r="DZ77" s="15"/>
      <c r="EA77" s="184"/>
      <c r="EB77" s="15"/>
      <c r="EC77" s="15"/>
      <c r="ED77" s="15"/>
      <c r="EE77" s="15"/>
      <c r="EF77" s="15"/>
      <c r="EG77" s="15"/>
      <c r="EH77" s="184"/>
      <c r="EI77" s="15"/>
      <c r="EJ77" s="15"/>
      <c r="EK77" s="15"/>
      <c r="EL77" s="15"/>
      <c r="EM77" s="15"/>
      <c r="EN77" s="15"/>
      <c r="EO77" s="184"/>
      <c r="EP77" s="15"/>
      <c r="EQ77" s="15"/>
      <c r="ER77" s="15"/>
      <c r="ES77" s="15"/>
      <c r="ET77" s="15"/>
      <c r="EU77" s="15"/>
      <c r="EV77" s="184"/>
      <c r="EW77" s="15"/>
      <c r="EX77" s="15"/>
      <c r="EY77" s="15"/>
      <c r="EZ77" s="15"/>
      <c r="FA77" s="15"/>
      <c r="FB77" s="15"/>
      <c r="FC77" s="184"/>
      <c r="FD77" s="15"/>
      <c r="FE77" s="15"/>
      <c r="FF77" s="15"/>
      <c r="FG77" s="15"/>
      <c r="FH77" s="15"/>
      <c r="FI77" s="15"/>
      <c r="FJ77" s="184"/>
      <c r="FK77" s="15"/>
      <c r="FL77" s="15"/>
      <c r="FM77" s="15"/>
      <c r="FN77" s="15"/>
      <c r="FO77" s="15"/>
      <c r="FP77" s="15"/>
      <c r="FQ77" s="184"/>
      <c r="FR77" s="15"/>
      <c r="FS77" s="15"/>
      <c r="FT77" s="15"/>
      <c r="FU77" s="15"/>
      <c r="FV77" s="15"/>
      <c r="FW77" s="15"/>
      <c r="FX77" s="184"/>
      <c r="FY77" s="181"/>
      <c r="FZ77" s="15"/>
      <c r="GA77" s="15"/>
      <c r="GB77" s="15"/>
      <c r="GC77" s="15"/>
      <c r="GD77" s="15"/>
      <c r="GE77" s="184"/>
      <c r="GF77" s="15"/>
      <c r="GG77" s="15"/>
      <c r="GH77" s="15"/>
      <c r="GI77" s="15"/>
      <c r="GJ77" s="15"/>
      <c r="GK77" s="15"/>
      <c r="GL77" s="184"/>
      <c r="GM77" s="15"/>
      <c r="GN77" s="15"/>
      <c r="GO77" s="15"/>
      <c r="GP77" s="15"/>
      <c r="GQ77" s="15"/>
      <c r="GR77" s="15"/>
      <c r="GS77" s="184"/>
      <c r="GT77" s="15"/>
      <c r="GU77" s="15"/>
      <c r="GV77" s="15"/>
      <c r="GW77" s="15"/>
      <c r="GX77" s="15"/>
      <c r="GY77" s="15"/>
      <c r="GZ77" s="184"/>
      <c r="HA77" s="15"/>
      <c r="HB77" s="15"/>
      <c r="HC77" s="15"/>
      <c r="HD77" s="15"/>
      <c r="HE77" s="15"/>
      <c r="HF77" s="15"/>
      <c r="HG77" s="184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/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</row>
    <row r="78" spans="2:390" ht="19.5" customHeight="1" x14ac:dyDescent="0.45">
      <c r="B78" s="1">
        <f t="shared" si="106"/>
        <v>2</v>
      </c>
      <c r="C78" s="1">
        <f>+C77</f>
        <v>9</v>
      </c>
      <c r="D78" s="1">
        <f>+D77+1</f>
        <v>3</v>
      </c>
      <c r="E78" s="59" t="str">
        <f t="shared" si="105"/>
        <v>2.9.3</v>
      </c>
      <c r="F78" s="23" t="s">
        <v>90</v>
      </c>
      <c r="G78" s="23"/>
      <c r="H78" s="52" t="s">
        <v>117</v>
      </c>
      <c r="I78" s="52"/>
      <c r="J78" s="52">
        <v>2</v>
      </c>
      <c r="K78" s="52">
        <v>0</v>
      </c>
      <c r="L78" s="52">
        <f>+J78-K78</f>
        <v>2</v>
      </c>
      <c r="M78" s="52"/>
      <c r="N78" s="52"/>
      <c r="O78" s="51">
        <f t="shared" ref="O78:O85" si="107">+N78*M78</f>
        <v>0</v>
      </c>
      <c r="P78" s="51">
        <f>+SUM(AA78:NZ78)</f>
        <v>0</v>
      </c>
      <c r="Q78" s="51">
        <f>+O78-P78</f>
        <v>0</v>
      </c>
      <c r="R78" s="187"/>
      <c r="S78" s="64"/>
      <c r="T78" s="155" t="str">
        <f t="shared" si="84"/>
        <v/>
      </c>
      <c r="U78" s="22">
        <f>+K78/J78</f>
        <v>0</v>
      </c>
      <c r="V78" s="199">
        <f t="shared" si="85"/>
        <v>0</v>
      </c>
      <c r="W78" s="158"/>
      <c r="X78" s="159"/>
      <c r="Y78" s="199">
        <f t="shared" si="86"/>
        <v>0</v>
      </c>
      <c r="Z78" s="36"/>
      <c r="AA78" s="15"/>
      <c r="AB78" s="15"/>
      <c r="AC78" s="15"/>
      <c r="AD78" s="15"/>
      <c r="AE78" s="15"/>
      <c r="AF78" s="15"/>
      <c r="AG78" s="184"/>
      <c r="AH78" s="15"/>
      <c r="AI78" s="15"/>
      <c r="AJ78" s="15"/>
      <c r="AK78" s="15"/>
      <c r="AL78" s="15"/>
      <c r="AM78" s="15"/>
      <c r="AN78" s="184"/>
      <c r="AO78" s="15"/>
      <c r="AP78" s="15"/>
      <c r="AQ78" s="15"/>
      <c r="AR78" s="15"/>
      <c r="AS78" s="15"/>
      <c r="AT78" s="15"/>
      <c r="AU78" s="184"/>
      <c r="AV78" s="15"/>
      <c r="AW78" s="15"/>
      <c r="AX78" s="15"/>
      <c r="AY78" s="15"/>
      <c r="AZ78" s="15"/>
      <c r="BA78" s="15"/>
      <c r="BB78" s="184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84"/>
      <c r="CE78" s="15"/>
      <c r="CF78" s="15"/>
      <c r="CG78" s="15"/>
      <c r="CH78" s="15"/>
      <c r="CI78" s="15"/>
      <c r="CJ78" s="15"/>
      <c r="CK78" s="184"/>
      <c r="CL78" s="15"/>
      <c r="CM78" s="15"/>
      <c r="CN78" s="15"/>
      <c r="CO78" s="15"/>
      <c r="CP78" s="15"/>
      <c r="CQ78" s="15"/>
      <c r="CR78" s="184"/>
      <c r="CS78" s="15"/>
      <c r="CT78" s="15"/>
      <c r="CU78" s="15"/>
      <c r="CV78" s="15"/>
      <c r="CW78" s="15"/>
      <c r="CX78" s="15"/>
      <c r="CY78" s="184"/>
      <c r="CZ78" s="15"/>
      <c r="DA78" s="15"/>
      <c r="DB78" s="15"/>
      <c r="DC78" s="15"/>
      <c r="DD78" s="15"/>
      <c r="DE78" s="15"/>
      <c r="DF78" s="184"/>
      <c r="DG78" s="15"/>
      <c r="DH78" s="15"/>
      <c r="DI78" s="15"/>
      <c r="DJ78" s="15"/>
      <c r="DK78" s="15"/>
      <c r="DL78" s="15"/>
      <c r="DM78" s="184"/>
      <c r="DN78" s="15"/>
      <c r="DO78" s="15"/>
      <c r="DP78" s="15"/>
      <c r="DQ78" s="15"/>
      <c r="DR78" s="15"/>
      <c r="DS78" s="15"/>
      <c r="DT78" s="184"/>
      <c r="DU78" s="15"/>
      <c r="DV78" s="15"/>
      <c r="DW78" s="15"/>
      <c r="DX78" s="15"/>
      <c r="DY78" s="15"/>
      <c r="DZ78" s="15"/>
      <c r="EA78" s="184"/>
      <c r="EB78" s="15"/>
      <c r="EC78" s="15"/>
      <c r="ED78" s="15"/>
      <c r="EE78" s="15"/>
      <c r="EF78" s="15"/>
      <c r="EG78" s="15"/>
      <c r="EH78" s="184"/>
      <c r="EI78" s="15"/>
      <c r="EJ78" s="15"/>
      <c r="EK78" s="15"/>
      <c r="EL78" s="15"/>
      <c r="EM78" s="15"/>
      <c r="EN78" s="15"/>
      <c r="EO78" s="184"/>
      <c r="EP78" s="15"/>
      <c r="EQ78" s="15"/>
      <c r="ER78" s="15"/>
      <c r="ES78" s="15"/>
      <c r="ET78" s="15"/>
      <c r="EU78" s="15"/>
      <c r="EV78" s="184"/>
      <c r="EW78" s="15"/>
      <c r="EX78" s="15"/>
      <c r="EY78" s="15"/>
      <c r="EZ78" s="15"/>
      <c r="FA78" s="15"/>
      <c r="FB78" s="15"/>
      <c r="FC78" s="184"/>
      <c r="FD78" s="15"/>
      <c r="FE78" s="15"/>
      <c r="FF78" s="15"/>
      <c r="FG78" s="15"/>
      <c r="FH78" s="15"/>
      <c r="FI78" s="15"/>
      <c r="FJ78" s="184"/>
      <c r="FK78" s="15"/>
      <c r="FL78" s="15"/>
      <c r="FM78" s="15"/>
      <c r="FN78" s="15"/>
      <c r="FO78" s="15"/>
      <c r="FP78" s="15"/>
      <c r="FQ78" s="184"/>
      <c r="FR78" s="15"/>
      <c r="FS78" s="15"/>
      <c r="FT78" s="15"/>
      <c r="FU78" s="15"/>
      <c r="FV78" s="15"/>
      <c r="FW78" s="15"/>
      <c r="FX78" s="184"/>
      <c r="FY78" s="181"/>
      <c r="FZ78" s="15"/>
      <c r="GA78" s="15"/>
      <c r="GB78" s="15"/>
      <c r="GC78" s="15"/>
      <c r="GD78" s="15"/>
      <c r="GE78" s="184"/>
      <c r="GF78" s="15"/>
      <c r="GG78" s="15"/>
      <c r="GH78" s="15"/>
      <c r="GI78" s="15"/>
      <c r="GJ78" s="15"/>
      <c r="GK78" s="15"/>
      <c r="GL78" s="184"/>
      <c r="GM78" s="15"/>
      <c r="GN78" s="15"/>
      <c r="GO78" s="15"/>
      <c r="GP78" s="15"/>
      <c r="GQ78" s="15"/>
      <c r="GR78" s="15"/>
      <c r="GS78" s="184"/>
      <c r="GT78" s="15"/>
      <c r="GU78" s="15"/>
      <c r="GV78" s="15"/>
      <c r="GW78" s="15"/>
      <c r="GX78" s="15"/>
      <c r="GY78" s="15"/>
      <c r="GZ78" s="184"/>
      <c r="HA78" s="15"/>
      <c r="HB78" s="15"/>
      <c r="HC78" s="15"/>
      <c r="HD78" s="15"/>
      <c r="HE78" s="15"/>
      <c r="HF78" s="15"/>
      <c r="HG78" s="184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  <c r="MG78" s="15"/>
      <c r="MH78" s="15"/>
      <c r="MI78" s="15"/>
      <c r="MJ78" s="15"/>
      <c r="MK78" s="15"/>
      <c r="ML78" s="15"/>
      <c r="MM78" s="15"/>
      <c r="MN78" s="15"/>
      <c r="MO78" s="15"/>
      <c r="MP78" s="15"/>
      <c r="MQ78" s="15"/>
      <c r="MR78" s="15"/>
      <c r="MS78" s="15"/>
      <c r="MT78" s="15"/>
      <c r="MU78" s="15"/>
      <c r="MV78" s="15"/>
      <c r="MW78" s="15"/>
      <c r="MX78" s="15"/>
      <c r="MY78" s="15"/>
      <c r="MZ78" s="15"/>
      <c r="NA78" s="15"/>
      <c r="NB78" s="15"/>
      <c r="NC78" s="15"/>
      <c r="ND78" s="15"/>
      <c r="NE78" s="15"/>
      <c r="NF78" s="15"/>
      <c r="NG78" s="15"/>
      <c r="NH78" s="15"/>
      <c r="NI78" s="15"/>
      <c r="NJ78" s="15"/>
      <c r="NK78" s="15"/>
      <c r="NL78" s="15"/>
      <c r="NM78" s="15"/>
      <c r="NN78" s="15"/>
      <c r="NO78" s="15"/>
      <c r="NP78" s="15"/>
      <c r="NQ78" s="15"/>
      <c r="NR78" s="15"/>
      <c r="NS78" s="15"/>
      <c r="NT78" s="15"/>
      <c r="NU78" s="15"/>
      <c r="NV78" s="15"/>
      <c r="NW78" s="15"/>
      <c r="NX78" s="15"/>
      <c r="NY78" s="15"/>
      <c r="NZ78" s="15"/>
    </row>
    <row r="79" spans="2:390" ht="19.5" customHeight="1" x14ac:dyDescent="0.45">
      <c r="B79" s="1">
        <f t="shared" si="106"/>
        <v>2</v>
      </c>
      <c r="C79" s="1">
        <f>+C78</f>
        <v>9</v>
      </c>
      <c r="D79" s="1">
        <f>+D78+1</f>
        <v>4</v>
      </c>
      <c r="E79" s="59" t="str">
        <f t="shared" si="105"/>
        <v>2.9.4</v>
      </c>
      <c r="F79" s="23" t="s">
        <v>91</v>
      </c>
      <c r="G79" s="191">
        <v>1.6</v>
      </c>
      <c r="H79" s="52" t="s">
        <v>117</v>
      </c>
      <c r="I79" s="52" t="s">
        <v>157</v>
      </c>
      <c r="J79" s="52">
        <v>2</v>
      </c>
      <c r="K79" s="52">
        <v>0</v>
      </c>
      <c r="L79" s="52">
        <f>+J79-K79</f>
        <v>2</v>
      </c>
      <c r="M79" s="52">
        <v>2</v>
      </c>
      <c r="N79" s="52">
        <v>5</v>
      </c>
      <c r="O79" s="51">
        <f t="shared" si="107"/>
        <v>10</v>
      </c>
      <c r="P79" s="51">
        <f>+SUM(AA79:NZ79)</f>
        <v>10</v>
      </c>
      <c r="Q79" s="51">
        <f>+O79-P79</f>
        <v>0</v>
      </c>
      <c r="R79" s="19">
        <v>46125</v>
      </c>
      <c r="S79" s="20">
        <v>5</v>
      </c>
      <c r="T79" s="21">
        <f t="shared" si="84"/>
        <v>46129</v>
      </c>
      <c r="U79" s="22">
        <f>+K79/J79</f>
        <v>0</v>
      </c>
      <c r="V79" s="199">
        <f t="shared" si="85"/>
        <v>0</v>
      </c>
      <c r="W79" s="158">
        <f>SUMIFS($AA79:$NZ79, $AA$8:$NZ$8, $W$13)/$O79</f>
        <v>0</v>
      </c>
      <c r="X79" s="159">
        <f t="shared" ref="X79:X87" si="108">SUMIF($AA$9:$NZ$9, "&lt;=" &amp; $W$11,$AA79:$NZ79)/$O79</f>
        <v>0</v>
      </c>
      <c r="Y79" s="199">
        <f t="shared" si="86"/>
        <v>0</v>
      </c>
      <c r="Z79" s="36"/>
      <c r="AA79" s="15"/>
      <c r="AB79" s="15"/>
      <c r="AC79" s="15"/>
      <c r="AD79" s="15"/>
      <c r="AE79" s="15"/>
      <c r="AF79" s="15"/>
      <c r="AG79" s="184"/>
      <c r="AH79" s="15"/>
      <c r="AI79" s="15"/>
      <c r="AJ79" s="15"/>
      <c r="AK79" s="15"/>
      <c r="AL79" s="15"/>
      <c r="AM79" s="15"/>
      <c r="AN79" s="184"/>
      <c r="AO79" s="15"/>
      <c r="AP79" s="15"/>
      <c r="AQ79" s="15"/>
      <c r="AR79" s="15"/>
      <c r="AS79" s="15"/>
      <c r="AT79" s="15"/>
      <c r="AU79" s="184"/>
      <c r="AV79" s="15"/>
      <c r="AW79" s="15"/>
      <c r="AX79" s="15"/>
      <c r="AY79" s="15"/>
      <c r="AZ79" s="15"/>
      <c r="BA79" s="15"/>
      <c r="BB79" s="184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84"/>
      <c r="CE79" s="15"/>
      <c r="CF79" s="15"/>
      <c r="CG79" s="15"/>
      <c r="CH79" s="15"/>
      <c r="CI79" s="15"/>
      <c r="CJ79" s="15"/>
      <c r="CK79" s="184"/>
      <c r="CL79" s="15"/>
      <c r="CM79" s="15"/>
      <c r="CN79" s="15"/>
      <c r="CO79" s="15"/>
      <c r="CP79" s="15"/>
      <c r="CQ79" s="15"/>
      <c r="CR79" s="184"/>
      <c r="CS79" s="15"/>
      <c r="CT79" s="15"/>
      <c r="CU79" s="15"/>
      <c r="CV79" s="15"/>
      <c r="CW79" s="15"/>
      <c r="CX79" s="15"/>
      <c r="CY79" s="184"/>
      <c r="CZ79" s="15"/>
      <c r="DA79" s="15"/>
      <c r="DB79" s="15"/>
      <c r="DC79" s="15"/>
      <c r="DD79" s="15"/>
      <c r="DE79" s="15"/>
      <c r="DF79" s="184"/>
      <c r="DG79" s="15"/>
      <c r="DH79" s="15"/>
      <c r="DI79" s="15"/>
      <c r="DJ79" s="15"/>
      <c r="DK79" s="15"/>
      <c r="DL79" s="15"/>
      <c r="DM79" s="184"/>
      <c r="DN79" s="15"/>
      <c r="DO79" s="15"/>
      <c r="DP79" s="15"/>
      <c r="DQ79" s="15"/>
      <c r="DR79" s="15"/>
      <c r="DS79" s="15"/>
      <c r="DT79" s="184"/>
      <c r="DU79" s="15"/>
      <c r="DV79" s="15"/>
      <c r="DW79" s="15"/>
      <c r="DX79" s="15"/>
      <c r="DY79" s="15"/>
      <c r="DZ79" s="15"/>
      <c r="EA79" s="184"/>
      <c r="EB79" s="15"/>
      <c r="EC79" s="15"/>
      <c r="ED79" s="15"/>
      <c r="EE79" s="15"/>
      <c r="EF79" s="15"/>
      <c r="EG79" s="15"/>
      <c r="EH79" s="184"/>
      <c r="EI79" s="15"/>
      <c r="EJ79" s="15"/>
      <c r="EK79" s="15"/>
      <c r="EL79" s="15"/>
      <c r="EM79" s="15"/>
      <c r="EN79" s="15"/>
      <c r="EO79" s="184"/>
      <c r="EP79" s="15"/>
      <c r="EQ79" s="15"/>
      <c r="ER79" s="15"/>
      <c r="ES79" s="15"/>
      <c r="ET79" s="15"/>
      <c r="EU79" s="15"/>
      <c r="EV79" s="184"/>
      <c r="EW79" s="15"/>
      <c r="EX79" s="15"/>
      <c r="EY79" s="15"/>
      <c r="EZ79" s="15"/>
      <c r="FA79" s="15"/>
      <c r="FB79" s="15"/>
      <c r="FC79" s="184"/>
      <c r="FD79" s="15"/>
      <c r="FE79" s="15"/>
      <c r="FF79" s="15"/>
      <c r="FG79" s="15"/>
      <c r="FH79" s="15"/>
      <c r="FI79" s="15"/>
      <c r="FJ79" s="184"/>
      <c r="FK79" s="15">
        <v>2</v>
      </c>
      <c r="FL79" s="15">
        <v>2</v>
      </c>
      <c r="FM79" s="15">
        <v>2</v>
      </c>
      <c r="FN79" s="15">
        <v>2</v>
      </c>
      <c r="FO79" s="15">
        <v>2</v>
      </c>
      <c r="FP79" s="15"/>
      <c r="FQ79" s="184"/>
      <c r="FR79" s="15"/>
      <c r="FS79" s="15"/>
      <c r="FT79" s="15"/>
      <c r="FU79" s="15"/>
      <c r="FV79" s="15"/>
      <c r="FW79" s="15"/>
      <c r="FX79" s="184"/>
      <c r="FY79" s="181"/>
      <c r="FZ79" s="15"/>
      <c r="GA79" s="15"/>
      <c r="GB79" s="15"/>
      <c r="GC79" s="15"/>
      <c r="GD79" s="15"/>
      <c r="GE79" s="184"/>
      <c r="GF79" s="15"/>
      <c r="GG79" s="15"/>
      <c r="GH79" s="15"/>
      <c r="GI79" s="15"/>
      <c r="GJ79" s="15"/>
      <c r="GK79" s="15"/>
      <c r="GL79" s="184"/>
      <c r="GM79" s="15"/>
      <c r="GN79" s="15"/>
      <c r="GO79" s="15"/>
      <c r="GP79" s="15"/>
      <c r="GQ79" s="15"/>
      <c r="GR79" s="15"/>
      <c r="GS79" s="184"/>
      <c r="GT79" s="15"/>
      <c r="GU79" s="15"/>
      <c r="GV79" s="15"/>
      <c r="GW79" s="15"/>
      <c r="GX79" s="15"/>
      <c r="GY79" s="15"/>
      <c r="GZ79" s="184"/>
      <c r="HA79" s="15"/>
      <c r="HB79" s="15"/>
      <c r="HC79" s="15"/>
      <c r="HD79" s="15"/>
      <c r="HE79" s="15"/>
      <c r="HF79" s="15"/>
      <c r="HG79" s="184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  <c r="MG79" s="15"/>
      <c r="MH79" s="15"/>
      <c r="MI79" s="15"/>
      <c r="MJ79" s="15"/>
      <c r="MK79" s="15"/>
      <c r="ML79" s="15"/>
      <c r="MM79" s="15"/>
      <c r="MN79" s="15"/>
      <c r="MO79" s="15"/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/>
      <c r="NG79" s="15"/>
      <c r="NH79" s="15"/>
      <c r="NI79" s="15"/>
      <c r="NJ79" s="15"/>
      <c r="NK79" s="15"/>
      <c r="NL79" s="15"/>
      <c r="NM79" s="15"/>
      <c r="NN79" s="15"/>
      <c r="NO79" s="15"/>
      <c r="NP79" s="15"/>
      <c r="NQ79" s="15"/>
      <c r="NR79" s="15"/>
      <c r="NS79" s="15"/>
      <c r="NT79" s="15"/>
      <c r="NU79" s="15"/>
      <c r="NV79" s="15"/>
      <c r="NW79" s="15"/>
      <c r="NX79" s="15"/>
      <c r="NY79" s="15"/>
      <c r="NZ79" s="15"/>
    </row>
    <row r="80" spans="2:390" ht="19.5" customHeight="1" x14ac:dyDescent="0.45">
      <c r="B80" s="1">
        <f t="shared" si="106"/>
        <v>2</v>
      </c>
      <c r="C80" s="1">
        <f>+C79+1</f>
        <v>10</v>
      </c>
      <c r="D80" s="1">
        <v>0</v>
      </c>
      <c r="E80" s="93" t="str">
        <f t="shared" si="105"/>
        <v>2.10.0</v>
      </c>
      <c r="F80" s="99" t="s">
        <v>28</v>
      </c>
      <c r="G80" s="108"/>
      <c r="H80" s="97" t="s">
        <v>117</v>
      </c>
      <c r="I80" s="97" t="s">
        <v>158</v>
      </c>
      <c r="J80" s="97">
        <v>36</v>
      </c>
      <c r="K80" s="97">
        <v>0</v>
      </c>
      <c r="L80" s="97">
        <f>+J80-K80</f>
        <v>36</v>
      </c>
      <c r="M80" s="97">
        <v>4</v>
      </c>
      <c r="N80" s="97">
        <v>12</v>
      </c>
      <c r="O80" s="95">
        <f t="shared" si="107"/>
        <v>48</v>
      </c>
      <c r="P80" s="95"/>
      <c r="Q80" s="95"/>
      <c r="R80" s="153"/>
      <c r="S80" s="154"/>
      <c r="T80" s="155" t="str">
        <f t="shared" ref="T80:T143" si="109">IF(S80&lt;&gt;"",IF($Z$9="x",WORKDAY(IF(WEEKDAY(R80,1)=7,R80+2,IF(WEEKDAY(R80,1)=1,R80+1,R80)),S80-1),R80+S80-1),"")</f>
        <v/>
      </c>
      <c r="U80" s="164">
        <f>+K80/J80</f>
        <v>0</v>
      </c>
      <c r="V80" s="200">
        <f t="shared" ref="V80:V143" si="110">+U80*O80</f>
        <v>0</v>
      </c>
      <c r="W80" s="158">
        <f>SUMIFS($AA80:$NZ80, $AA$8:$NZ$8, $W$13)/$O80</f>
        <v>0</v>
      </c>
      <c r="X80" s="159">
        <f t="shared" si="108"/>
        <v>0</v>
      </c>
      <c r="Y80" s="199">
        <f t="shared" ref="Y80:Y143" si="111">+X80*O80</f>
        <v>0</v>
      </c>
      <c r="Z80" s="36"/>
      <c r="AA80" s="15"/>
      <c r="AB80" s="15"/>
      <c r="AC80" s="15"/>
      <c r="AD80" s="15"/>
      <c r="AE80" s="15"/>
      <c r="AF80" s="15"/>
      <c r="AG80" s="184"/>
      <c r="AH80" s="15"/>
      <c r="AI80" s="15"/>
      <c r="AJ80" s="15"/>
      <c r="AK80" s="15"/>
      <c r="AL80" s="15"/>
      <c r="AM80" s="15"/>
      <c r="AN80" s="184"/>
      <c r="AO80" s="15"/>
      <c r="AP80" s="15"/>
      <c r="AQ80" s="15"/>
      <c r="AR80" s="15"/>
      <c r="AS80" s="15"/>
      <c r="AT80" s="15"/>
      <c r="AU80" s="184"/>
      <c r="AV80" s="15"/>
      <c r="AW80" s="15"/>
      <c r="AX80" s="15"/>
      <c r="AY80" s="15"/>
      <c r="AZ80" s="15"/>
      <c r="BA80" s="15"/>
      <c r="BB80" s="184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84"/>
      <c r="CE80" s="15"/>
      <c r="CF80" s="15"/>
      <c r="CG80" s="15"/>
      <c r="CH80" s="15"/>
      <c r="CI80" s="15"/>
      <c r="CJ80" s="15"/>
      <c r="CK80" s="184"/>
      <c r="CL80" s="15"/>
      <c r="CM80" s="15"/>
      <c r="CN80" s="15"/>
      <c r="CO80" s="15"/>
      <c r="CP80" s="15"/>
      <c r="CQ80" s="15"/>
      <c r="CR80" s="184"/>
      <c r="CS80" s="15"/>
      <c r="CT80" s="15"/>
      <c r="CU80" s="15"/>
      <c r="CV80" s="15"/>
      <c r="CW80" s="15"/>
      <c r="CX80" s="15"/>
      <c r="CY80" s="184"/>
      <c r="CZ80" s="15"/>
      <c r="DA80" s="15"/>
      <c r="DB80" s="15"/>
      <c r="DC80" s="15"/>
      <c r="DD80" s="15"/>
      <c r="DE80" s="15"/>
      <c r="DF80" s="184"/>
      <c r="DG80" s="15"/>
      <c r="DH80" s="15"/>
      <c r="DI80" s="15"/>
      <c r="DJ80" s="15"/>
      <c r="DK80" s="15"/>
      <c r="DL80" s="15"/>
      <c r="DM80" s="184"/>
      <c r="DN80" s="15"/>
      <c r="DO80" s="15"/>
      <c r="DP80" s="15"/>
      <c r="DQ80" s="15"/>
      <c r="DR80" s="15"/>
      <c r="DS80" s="15"/>
      <c r="DT80" s="184"/>
      <c r="DU80" s="15"/>
      <c r="DV80" s="15"/>
      <c r="DW80" s="15"/>
      <c r="DX80" s="15"/>
      <c r="DY80" s="15"/>
      <c r="DZ80" s="15"/>
      <c r="EA80" s="184"/>
      <c r="EB80" s="15"/>
      <c r="EC80" s="15"/>
      <c r="ED80" s="15"/>
      <c r="EE80" s="15"/>
      <c r="EF80" s="15"/>
      <c r="EG80" s="15"/>
      <c r="EH80" s="184"/>
      <c r="EI80" s="15"/>
      <c r="EJ80" s="15"/>
      <c r="EK80" s="15"/>
      <c r="EL80" s="15"/>
      <c r="EM80" s="15"/>
      <c r="EN80" s="15"/>
      <c r="EO80" s="184"/>
      <c r="EP80" s="15"/>
      <c r="EQ80" s="15"/>
      <c r="ER80" s="15"/>
      <c r="ES80" s="15"/>
      <c r="ET80" s="15"/>
      <c r="EU80" s="15"/>
      <c r="EV80" s="184"/>
      <c r="EW80" s="15"/>
      <c r="EX80" s="15"/>
      <c r="EY80" s="15"/>
      <c r="EZ80" s="15"/>
      <c r="FA80" s="15"/>
      <c r="FB80" s="15"/>
      <c r="FC80" s="184"/>
      <c r="FD80" s="15"/>
      <c r="FE80" s="15"/>
      <c r="FF80" s="15"/>
      <c r="FG80" s="15"/>
      <c r="FH80" s="15"/>
      <c r="FI80" s="15"/>
      <c r="FJ80" s="184"/>
      <c r="FK80" s="15"/>
      <c r="FL80" s="15"/>
      <c r="FM80" s="15"/>
      <c r="FN80" s="15"/>
      <c r="FO80" s="15"/>
      <c r="FP80" s="15"/>
      <c r="FQ80" s="184"/>
      <c r="FR80" s="15"/>
      <c r="FS80" s="15"/>
      <c r="FT80" s="15"/>
      <c r="FU80" s="15"/>
      <c r="FV80" s="15"/>
      <c r="FW80" s="178"/>
      <c r="FX80" s="184"/>
      <c r="FY80" s="181"/>
      <c r="FZ80" s="15"/>
      <c r="GA80" s="15"/>
      <c r="GB80" s="15"/>
      <c r="GC80" s="15"/>
      <c r="GD80" s="15"/>
      <c r="GE80" s="184"/>
      <c r="GF80" s="15"/>
      <c r="GG80" s="15"/>
      <c r="GH80" s="15"/>
      <c r="GI80" s="15"/>
      <c r="GJ80" s="15"/>
      <c r="GK80" s="15"/>
      <c r="GL80" s="184"/>
      <c r="GM80" s="15"/>
      <c r="GN80" s="15"/>
      <c r="GO80" s="15"/>
      <c r="GP80" s="15"/>
      <c r="GQ80" s="15"/>
      <c r="GR80" s="15"/>
      <c r="GS80" s="184"/>
      <c r="GT80" s="15"/>
      <c r="GU80" s="15"/>
      <c r="GV80" s="15"/>
      <c r="GW80" s="15"/>
      <c r="GX80" s="15"/>
      <c r="GY80" s="15"/>
      <c r="GZ80" s="184"/>
      <c r="HA80" s="15"/>
      <c r="HB80" s="15"/>
      <c r="HC80" s="15"/>
      <c r="HD80" s="15"/>
      <c r="HE80" s="15"/>
      <c r="HF80" s="15"/>
      <c r="HG80" s="184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/>
      <c r="LI80" s="15"/>
      <c r="LJ80" s="15"/>
      <c r="LK80" s="15"/>
      <c r="LL80" s="15"/>
      <c r="LM80" s="15"/>
      <c r="LN80" s="15"/>
      <c r="LO80" s="15"/>
      <c r="LP80" s="15"/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  <c r="MG80" s="15"/>
      <c r="MH80" s="15"/>
      <c r="MI80" s="15"/>
      <c r="MJ80" s="15"/>
      <c r="MK80" s="15"/>
      <c r="ML80" s="15"/>
      <c r="MM80" s="15"/>
      <c r="MN80" s="15"/>
      <c r="MO80" s="15"/>
      <c r="MP80" s="15"/>
      <c r="MQ80" s="15"/>
      <c r="MR80" s="15"/>
      <c r="MS80" s="15"/>
      <c r="MT80" s="15"/>
      <c r="MU80" s="15"/>
      <c r="MV80" s="15"/>
      <c r="MW80" s="15"/>
      <c r="MX80" s="15"/>
      <c r="MY80" s="15"/>
      <c r="MZ80" s="15"/>
      <c r="NA80" s="15"/>
      <c r="NB80" s="15"/>
      <c r="NC80" s="15"/>
      <c r="ND80" s="15"/>
      <c r="NE80" s="15"/>
      <c r="NF80" s="15"/>
      <c r="NG80" s="15"/>
      <c r="NH80" s="15"/>
      <c r="NI80" s="15"/>
      <c r="NJ80" s="15"/>
      <c r="NK80" s="15"/>
      <c r="NL80" s="15"/>
      <c r="NM80" s="15"/>
      <c r="NN80" s="15"/>
      <c r="NO80" s="15"/>
      <c r="NP80" s="15"/>
      <c r="NQ80" s="15"/>
      <c r="NR80" s="15"/>
      <c r="NS80" s="15"/>
      <c r="NT80" s="15"/>
      <c r="NU80" s="15"/>
      <c r="NV80" s="15"/>
      <c r="NW80" s="15"/>
      <c r="NX80" s="15"/>
      <c r="NY80" s="15"/>
      <c r="NZ80" s="15"/>
    </row>
    <row r="81" spans="2:390" ht="19.5" customHeight="1" x14ac:dyDescent="0.45">
      <c r="B81" s="1">
        <f t="shared" si="106"/>
        <v>2</v>
      </c>
      <c r="C81" s="1">
        <f>+C80+1</f>
        <v>11</v>
      </c>
      <c r="D81" s="1">
        <v>0</v>
      </c>
      <c r="E81" s="93" t="str">
        <f t="shared" si="105"/>
        <v>2.11.0</v>
      </c>
      <c r="F81" s="99" t="s">
        <v>114</v>
      </c>
      <c r="G81" s="108"/>
      <c r="H81" s="97" t="s">
        <v>117</v>
      </c>
      <c r="I81" s="97" t="s">
        <v>157</v>
      </c>
      <c r="J81" s="97">
        <v>6</v>
      </c>
      <c r="K81" s="97">
        <v>0</v>
      </c>
      <c r="L81" s="97">
        <f>+J81-K81</f>
        <v>6</v>
      </c>
      <c r="M81" s="97">
        <v>4</v>
      </c>
      <c r="N81" s="97">
        <v>6</v>
      </c>
      <c r="O81" s="95">
        <f t="shared" si="107"/>
        <v>24</v>
      </c>
      <c r="P81" s="95"/>
      <c r="Q81" s="95"/>
      <c r="R81" s="153"/>
      <c r="S81" s="154"/>
      <c r="T81" s="155" t="str">
        <f t="shared" si="109"/>
        <v/>
      </c>
      <c r="U81" s="164">
        <f>+K81/J81</f>
        <v>0</v>
      </c>
      <c r="V81" s="200">
        <f t="shared" si="110"/>
        <v>0</v>
      </c>
      <c r="W81" s="158">
        <f>SUMIFS($AA81:$NZ81, $AA$8:$NZ$8, $W$13)/$O81</f>
        <v>0</v>
      </c>
      <c r="X81" s="159">
        <f t="shared" si="108"/>
        <v>0</v>
      </c>
      <c r="Y81" s="199">
        <f t="shared" si="111"/>
        <v>0</v>
      </c>
      <c r="Z81" s="36"/>
      <c r="AA81" s="15"/>
      <c r="AB81" s="15"/>
      <c r="AC81" s="15"/>
      <c r="AD81" s="15"/>
      <c r="AE81" s="15"/>
      <c r="AF81" s="15"/>
      <c r="AG81" s="184"/>
      <c r="AH81" s="15"/>
      <c r="AI81" s="15"/>
      <c r="AJ81" s="15"/>
      <c r="AK81" s="15"/>
      <c r="AL81" s="15"/>
      <c r="AM81" s="15"/>
      <c r="AN81" s="184"/>
      <c r="AO81" s="15"/>
      <c r="AP81" s="15"/>
      <c r="AQ81" s="15"/>
      <c r="AR81" s="15"/>
      <c r="AS81" s="15"/>
      <c r="AT81" s="15"/>
      <c r="AU81" s="184"/>
      <c r="AV81" s="15"/>
      <c r="AW81" s="15"/>
      <c r="AX81" s="15"/>
      <c r="AY81" s="15"/>
      <c r="AZ81" s="15"/>
      <c r="BA81" s="15"/>
      <c r="BB81" s="184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84"/>
      <c r="CE81" s="15"/>
      <c r="CF81" s="15"/>
      <c r="CG81" s="15"/>
      <c r="CH81" s="15"/>
      <c r="CI81" s="15"/>
      <c r="CJ81" s="15"/>
      <c r="CK81" s="184"/>
      <c r="CL81" s="15"/>
      <c r="CM81" s="15"/>
      <c r="CN81" s="15"/>
      <c r="CO81" s="15"/>
      <c r="CP81" s="15"/>
      <c r="CQ81" s="15"/>
      <c r="CR81" s="184"/>
      <c r="CS81" s="15"/>
      <c r="CT81" s="15"/>
      <c r="CU81" s="15"/>
      <c r="CV81" s="15"/>
      <c r="CW81" s="15"/>
      <c r="CX81" s="15"/>
      <c r="CY81" s="184"/>
      <c r="CZ81" s="15"/>
      <c r="DA81" s="15"/>
      <c r="DB81" s="15"/>
      <c r="DC81" s="15"/>
      <c r="DD81" s="15"/>
      <c r="DE81" s="15"/>
      <c r="DF81" s="184"/>
      <c r="DG81" s="15"/>
      <c r="DH81" s="15"/>
      <c r="DI81" s="15"/>
      <c r="DJ81" s="15"/>
      <c r="DK81" s="15"/>
      <c r="DL81" s="15"/>
      <c r="DM81" s="184"/>
      <c r="DN81" s="15"/>
      <c r="DO81" s="15"/>
      <c r="DP81" s="15"/>
      <c r="DQ81" s="15"/>
      <c r="DR81" s="15"/>
      <c r="DS81" s="15"/>
      <c r="DT81" s="184"/>
      <c r="DU81" s="15"/>
      <c r="DV81" s="15"/>
      <c r="DW81" s="15"/>
      <c r="DX81" s="15"/>
      <c r="DY81" s="15"/>
      <c r="DZ81" s="15"/>
      <c r="EA81" s="184"/>
      <c r="EB81" s="15"/>
      <c r="EC81" s="15"/>
      <c r="ED81" s="15"/>
      <c r="EE81" s="15"/>
      <c r="EF81" s="15"/>
      <c r="EG81" s="15"/>
      <c r="EH81" s="184"/>
      <c r="EI81" s="15"/>
      <c r="EJ81" s="15"/>
      <c r="EK81" s="15"/>
      <c r="EL81" s="15"/>
      <c r="EM81" s="15"/>
      <c r="EN81" s="15"/>
      <c r="EO81" s="184"/>
      <c r="EP81" s="15"/>
      <c r="EQ81" s="15"/>
      <c r="ER81" s="15"/>
      <c r="ES81" s="15"/>
      <c r="ET81" s="15"/>
      <c r="EU81" s="15"/>
      <c r="EV81" s="184"/>
      <c r="EW81" s="15"/>
      <c r="EX81" s="15"/>
      <c r="EY81" s="15"/>
      <c r="EZ81" s="15"/>
      <c r="FA81" s="15"/>
      <c r="FB81" s="15"/>
      <c r="FC81" s="184"/>
      <c r="FD81" s="15"/>
      <c r="FE81" s="15"/>
      <c r="FF81" s="15"/>
      <c r="FG81" s="15"/>
      <c r="FH81" s="15"/>
      <c r="FI81" s="15"/>
      <c r="FJ81" s="184"/>
      <c r="FK81" s="15"/>
      <c r="FL81" s="15"/>
      <c r="FM81" s="15"/>
      <c r="FN81" s="15"/>
      <c r="FO81" s="15"/>
      <c r="FP81" s="15"/>
      <c r="FQ81" s="184"/>
      <c r="FR81" s="15"/>
      <c r="FS81" s="15"/>
      <c r="FT81" s="15"/>
      <c r="FU81" s="15"/>
      <c r="FV81" s="15"/>
      <c r="FW81" s="178"/>
      <c r="FX81" s="184"/>
      <c r="FY81" s="181"/>
      <c r="FZ81" s="15"/>
      <c r="GA81" s="15"/>
      <c r="GB81" s="15"/>
      <c r="GC81" s="15"/>
      <c r="GD81" s="15"/>
      <c r="GE81" s="184"/>
      <c r="GF81" s="15"/>
      <c r="GG81" s="15"/>
      <c r="GH81" s="15"/>
      <c r="GI81" s="15"/>
      <c r="GJ81" s="15"/>
      <c r="GK81" s="15"/>
      <c r="GL81" s="184"/>
      <c r="GM81" s="15"/>
      <c r="GN81" s="15"/>
      <c r="GO81" s="15"/>
      <c r="GP81" s="15"/>
      <c r="GQ81" s="15"/>
      <c r="GR81" s="15"/>
      <c r="GS81" s="184"/>
      <c r="GT81" s="15"/>
      <c r="GU81" s="15"/>
      <c r="GV81" s="15"/>
      <c r="GW81" s="15"/>
      <c r="GX81" s="15"/>
      <c r="GY81" s="15"/>
      <c r="GZ81" s="184"/>
      <c r="HA81" s="15"/>
      <c r="HB81" s="15"/>
      <c r="HC81" s="15"/>
      <c r="HD81" s="15"/>
      <c r="HE81" s="15"/>
      <c r="HF81" s="15"/>
      <c r="HG81" s="184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/>
      <c r="KE81" s="15"/>
      <c r="KF81" s="15"/>
      <c r="KG81" s="15"/>
      <c r="KH81" s="15"/>
      <c r="KI81" s="15"/>
      <c r="KJ81" s="15"/>
      <c r="KK81" s="15"/>
      <c r="KL81" s="15"/>
      <c r="KM81" s="15"/>
      <c r="KN81" s="15"/>
      <c r="KO81" s="15"/>
      <c r="KP81" s="15"/>
      <c r="KQ81" s="15"/>
      <c r="KR81" s="15"/>
      <c r="KS81" s="15"/>
      <c r="KT81" s="15"/>
      <c r="KU81" s="15"/>
      <c r="KV81" s="15"/>
      <c r="KW81" s="15"/>
      <c r="KX81" s="15"/>
      <c r="KY81" s="15"/>
      <c r="KZ81" s="15"/>
      <c r="LA81" s="15"/>
      <c r="LB81" s="15"/>
      <c r="LC81" s="15"/>
      <c r="LD81" s="15"/>
      <c r="LE81" s="15"/>
      <c r="LF81" s="15"/>
      <c r="LG81" s="15"/>
      <c r="LH81" s="15"/>
      <c r="LI81" s="15"/>
      <c r="LJ81" s="15"/>
      <c r="LK81" s="15"/>
      <c r="LL81" s="15"/>
      <c r="LM81" s="15"/>
      <c r="LN81" s="15"/>
      <c r="LO81" s="15"/>
      <c r="LP81" s="15"/>
      <c r="LQ81" s="15"/>
      <c r="LR81" s="15"/>
      <c r="LS81" s="15"/>
      <c r="LT81" s="15"/>
      <c r="LU81" s="15"/>
      <c r="LV81" s="15"/>
      <c r="LW81" s="15"/>
      <c r="LX81" s="15"/>
      <c r="LY81" s="15"/>
      <c r="LZ81" s="15"/>
      <c r="MA81" s="15"/>
      <c r="MB81" s="15"/>
      <c r="MC81" s="15"/>
      <c r="MD81" s="15"/>
      <c r="ME81" s="15"/>
      <c r="MF81" s="15"/>
      <c r="MG81" s="15"/>
      <c r="MH81" s="15"/>
      <c r="MI81" s="15"/>
      <c r="MJ81" s="15"/>
      <c r="MK81" s="15"/>
      <c r="ML81" s="15"/>
      <c r="MM81" s="15"/>
      <c r="MN81" s="15"/>
      <c r="MO81" s="15"/>
      <c r="MP81" s="15"/>
      <c r="MQ81" s="15"/>
      <c r="MR81" s="15"/>
      <c r="MS81" s="15"/>
      <c r="MT81" s="15"/>
      <c r="MU81" s="15"/>
      <c r="MV81" s="15"/>
      <c r="MW81" s="15"/>
      <c r="MX81" s="15"/>
      <c r="MY81" s="15"/>
      <c r="MZ81" s="15"/>
      <c r="NA81" s="15"/>
      <c r="NB81" s="15"/>
      <c r="NC81" s="15"/>
      <c r="ND81" s="15"/>
      <c r="NE81" s="15"/>
      <c r="NF81" s="15"/>
      <c r="NG81" s="15"/>
      <c r="NH81" s="15"/>
      <c r="NI81" s="15"/>
      <c r="NJ81" s="15"/>
      <c r="NK81" s="15"/>
      <c r="NL81" s="15"/>
      <c r="NM81" s="15"/>
      <c r="NN81" s="15"/>
      <c r="NO81" s="15"/>
      <c r="NP81" s="15"/>
      <c r="NQ81" s="15"/>
      <c r="NR81" s="15"/>
      <c r="NS81" s="15"/>
      <c r="NT81" s="15"/>
      <c r="NU81" s="15"/>
      <c r="NV81" s="15"/>
      <c r="NW81" s="15"/>
      <c r="NX81" s="15"/>
      <c r="NY81" s="15"/>
      <c r="NZ81" s="15"/>
    </row>
    <row r="82" spans="2:390" ht="19.5" customHeight="1" x14ac:dyDescent="0.45">
      <c r="B82" s="1">
        <f t="shared" si="106"/>
        <v>2</v>
      </c>
      <c r="C82" s="1">
        <f>+C81+1</f>
        <v>12</v>
      </c>
      <c r="D82" s="1">
        <v>0</v>
      </c>
      <c r="E82" s="93" t="str">
        <f t="shared" si="105"/>
        <v>2.12.0</v>
      </c>
      <c r="F82" s="99" t="s">
        <v>33</v>
      </c>
      <c r="G82" s="108"/>
      <c r="H82" s="109"/>
      <c r="I82" s="109"/>
      <c r="J82" s="110"/>
      <c r="K82" s="110"/>
      <c r="L82" s="110"/>
      <c r="M82" s="108"/>
      <c r="N82" s="108"/>
      <c r="O82" s="95">
        <f>SUM(O83:O85)</f>
        <v>588</v>
      </c>
      <c r="P82" s="95"/>
      <c r="Q82" s="95"/>
      <c r="R82" s="166"/>
      <c r="S82" s="167"/>
      <c r="T82" s="163" t="str">
        <f t="shared" si="109"/>
        <v/>
      </c>
      <c r="U82" s="164">
        <f>+SUMPRODUCT(U83:U85,O83:O85)/O82</f>
        <v>1.9988817444786134E-2</v>
      </c>
      <c r="V82" s="200">
        <f t="shared" si="110"/>
        <v>11.753424657534246</v>
      </c>
      <c r="W82" s="158">
        <f>SUMIFS($AA82:$NZ82, $AA$8:$NZ$8, $W$13)/$O82</f>
        <v>0</v>
      </c>
      <c r="X82" s="159">
        <f t="shared" si="108"/>
        <v>0</v>
      </c>
      <c r="Y82" s="199">
        <f t="shared" si="111"/>
        <v>0</v>
      </c>
      <c r="Z82" s="36"/>
      <c r="AA82" s="15"/>
      <c r="AB82" s="15"/>
      <c r="AC82" s="15"/>
      <c r="AD82" s="15"/>
      <c r="AE82" s="15"/>
      <c r="AF82" s="15"/>
      <c r="AG82" s="184"/>
      <c r="AH82" s="15"/>
      <c r="AI82" s="15"/>
      <c r="AJ82" s="15"/>
      <c r="AK82" s="15"/>
      <c r="AL82" s="15"/>
      <c r="AM82" s="15"/>
      <c r="AN82" s="184"/>
      <c r="AO82" s="15"/>
      <c r="AP82" s="15"/>
      <c r="AQ82" s="15"/>
      <c r="AR82" s="15"/>
      <c r="AS82" s="15"/>
      <c r="AT82" s="15"/>
      <c r="AU82" s="184"/>
      <c r="AV82" s="15"/>
      <c r="AW82" s="15"/>
      <c r="AX82" s="15"/>
      <c r="AY82" s="15"/>
      <c r="AZ82" s="15"/>
      <c r="BA82" s="15"/>
      <c r="BB82" s="184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84"/>
      <c r="CE82" s="15"/>
      <c r="CF82" s="15"/>
      <c r="CG82" s="15"/>
      <c r="CH82" s="15"/>
      <c r="CI82" s="15"/>
      <c r="CJ82" s="15"/>
      <c r="CK82" s="184"/>
      <c r="CL82" s="15"/>
      <c r="CM82" s="15"/>
      <c r="CN82" s="15"/>
      <c r="CO82" s="15"/>
      <c r="CP82" s="15"/>
      <c r="CQ82" s="15"/>
      <c r="CR82" s="184"/>
      <c r="CS82" s="15"/>
      <c r="CT82" s="15"/>
      <c r="CU82" s="15"/>
      <c r="CV82" s="15"/>
      <c r="CW82" s="15"/>
      <c r="CX82" s="15"/>
      <c r="CY82" s="184"/>
      <c r="CZ82" s="15"/>
      <c r="DA82" s="15"/>
      <c r="DB82" s="15"/>
      <c r="DC82" s="15"/>
      <c r="DD82" s="15"/>
      <c r="DE82" s="15"/>
      <c r="DF82" s="184"/>
      <c r="DG82" s="15"/>
      <c r="DH82" s="15"/>
      <c r="DI82" s="15"/>
      <c r="DJ82" s="15"/>
      <c r="DK82" s="15"/>
      <c r="DL82" s="15"/>
      <c r="DM82" s="184"/>
      <c r="DN82" s="15"/>
      <c r="DO82" s="15"/>
      <c r="DP82" s="15"/>
      <c r="DQ82" s="15"/>
      <c r="DR82" s="15"/>
      <c r="DS82" s="15"/>
      <c r="DT82" s="184"/>
      <c r="DU82" s="15"/>
      <c r="DV82" s="15"/>
      <c r="DW82" s="15"/>
      <c r="DX82" s="15"/>
      <c r="DY82" s="15"/>
      <c r="DZ82" s="15"/>
      <c r="EA82" s="184"/>
      <c r="EB82" s="15"/>
      <c r="EC82" s="15"/>
      <c r="ED82" s="15"/>
      <c r="EE82" s="15"/>
      <c r="EF82" s="15"/>
      <c r="EG82" s="15"/>
      <c r="EH82" s="184"/>
      <c r="EI82" s="15"/>
      <c r="EJ82" s="15"/>
      <c r="EK82" s="15"/>
      <c r="EL82" s="15"/>
      <c r="EM82" s="15"/>
      <c r="EN82" s="15"/>
      <c r="EO82" s="184"/>
      <c r="EP82" s="15"/>
      <c r="EQ82" s="15"/>
      <c r="ER82" s="15"/>
      <c r="ES82" s="15"/>
      <c r="ET82" s="15"/>
      <c r="EU82" s="15"/>
      <c r="EV82" s="184"/>
      <c r="EW82" s="15"/>
      <c r="EX82" s="15"/>
      <c r="EY82" s="15"/>
      <c r="EZ82" s="15"/>
      <c r="FA82" s="15"/>
      <c r="FB82" s="15"/>
      <c r="FC82" s="184"/>
      <c r="FD82" s="15"/>
      <c r="FE82" s="15"/>
      <c r="FF82" s="15"/>
      <c r="FG82" s="15"/>
      <c r="FH82" s="15"/>
      <c r="FI82" s="15"/>
      <c r="FJ82" s="184"/>
      <c r="FK82" s="15"/>
      <c r="FL82" s="15"/>
      <c r="FM82" s="15"/>
      <c r="FN82" s="15"/>
      <c r="FO82" s="15"/>
      <c r="FP82" s="15"/>
      <c r="FQ82" s="184"/>
      <c r="FR82" s="15"/>
      <c r="FS82" s="15"/>
      <c r="FT82" s="15"/>
      <c r="FU82" s="15"/>
      <c r="FV82" s="15"/>
      <c r="FW82" s="178"/>
      <c r="FX82" s="184"/>
      <c r="FY82" s="181"/>
      <c r="FZ82" s="15"/>
      <c r="GA82" s="15"/>
      <c r="GB82" s="15"/>
      <c r="GC82" s="15"/>
      <c r="GD82" s="15"/>
      <c r="GE82" s="184"/>
      <c r="GF82" s="15"/>
      <c r="GG82" s="15"/>
      <c r="GH82" s="15"/>
      <c r="GI82" s="15"/>
      <c r="GJ82" s="15"/>
      <c r="GK82" s="15"/>
      <c r="GL82" s="184"/>
      <c r="GM82" s="15"/>
      <c r="GN82" s="15"/>
      <c r="GO82" s="15"/>
      <c r="GP82" s="15"/>
      <c r="GQ82" s="15"/>
      <c r="GR82" s="15"/>
      <c r="GS82" s="184"/>
      <c r="GT82" s="15"/>
      <c r="GU82" s="15"/>
      <c r="GV82" s="15"/>
      <c r="GW82" s="15"/>
      <c r="GX82" s="15"/>
      <c r="GY82" s="15"/>
      <c r="GZ82" s="184"/>
      <c r="HA82" s="15"/>
      <c r="HB82" s="15"/>
      <c r="HC82" s="15"/>
      <c r="HD82" s="15"/>
      <c r="HE82" s="15"/>
      <c r="HF82" s="15"/>
      <c r="HG82" s="184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  <c r="MG82" s="15"/>
      <c r="MH82" s="15"/>
      <c r="MI82" s="15"/>
      <c r="MJ82" s="15"/>
      <c r="MK82" s="15"/>
      <c r="ML82" s="15"/>
      <c r="MM82" s="15"/>
      <c r="MN82" s="15"/>
      <c r="MO82" s="15"/>
      <c r="MP82" s="15"/>
      <c r="MQ82" s="15"/>
      <c r="MR82" s="15"/>
      <c r="MS82" s="15"/>
      <c r="MT82" s="15"/>
      <c r="MU82" s="15"/>
      <c r="MV82" s="15"/>
      <c r="MW82" s="15"/>
      <c r="MX82" s="15"/>
      <c r="MY82" s="15"/>
      <c r="MZ82" s="15"/>
      <c r="NA82" s="15"/>
      <c r="NB82" s="15"/>
      <c r="NC82" s="15"/>
      <c r="ND82" s="15"/>
      <c r="NE82" s="15"/>
      <c r="NF82" s="15"/>
      <c r="NG82" s="15"/>
      <c r="NH82" s="15"/>
      <c r="NI82" s="15"/>
      <c r="NJ82" s="15"/>
      <c r="NK82" s="15"/>
      <c r="NL82" s="15"/>
      <c r="NM82" s="15"/>
      <c r="NN82" s="15"/>
      <c r="NO82" s="15"/>
      <c r="NP82" s="15"/>
      <c r="NQ82" s="15"/>
      <c r="NR82" s="15"/>
      <c r="NS82" s="15"/>
      <c r="NT82" s="15"/>
      <c r="NU82" s="15"/>
      <c r="NV82" s="15"/>
      <c r="NW82" s="15"/>
      <c r="NX82" s="15"/>
      <c r="NY82" s="15"/>
      <c r="NZ82" s="15"/>
    </row>
    <row r="83" spans="2:390" ht="19.5" customHeight="1" x14ac:dyDescent="0.45">
      <c r="B83" s="1">
        <f t="shared" si="106"/>
        <v>2</v>
      </c>
      <c r="C83" s="1">
        <f>+C82</f>
        <v>12</v>
      </c>
      <c r="D83" s="1">
        <f>+D82+1</f>
        <v>1</v>
      </c>
      <c r="E83" s="59" t="str">
        <f t="shared" si="105"/>
        <v>2.12.1</v>
      </c>
      <c r="F83" s="23" t="s">
        <v>82</v>
      </c>
      <c r="G83" s="191">
        <v>2.6</v>
      </c>
      <c r="H83" s="52" t="s">
        <v>117</v>
      </c>
      <c r="I83" s="52" t="s">
        <v>158</v>
      </c>
      <c r="J83" s="52">
        <v>146</v>
      </c>
      <c r="K83" s="52">
        <v>143</v>
      </c>
      <c r="L83" s="52">
        <f>+J83-K83</f>
        <v>3</v>
      </c>
      <c r="M83" s="20">
        <v>4</v>
      </c>
      <c r="N83" s="20">
        <v>3</v>
      </c>
      <c r="O83" s="51">
        <f t="shared" si="107"/>
        <v>12</v>
      </c>
      <c r="P83" s="51">
        <f>+SUM(AA83:NZ83)</f>
        <v>12</v>
      </c>
      <c r="Q83" s="51">
        <f>+O83-P83</f>
        <v>0</v>
      </c>
      <c r="R83" s="79">
        <v>46107</v>
      </c>
      <c r="S83" s="80">
        <v>2</v>
      </c>
      <c r="T83" s="21">
        <f t="shared" si="109"/>
        <v>46108</v>
      </c>
      <c r="U83" s="22">
        <f>+K83/J83</f>
        <v>0.97945205479452058</v>
      </c>
      <c r="V83" s="199">
        <f t="shared" si="110"/>
        <v>11.753424657534246</v>
      </c>
      <c r="W83" s="158">
        <f>SUMIFS($AA83:$NZ83, $AA$8:$NZ$8, $W$13)/$O83</f>
        <v>0</v>
      </c>
      <c r="X83" s="159">
        <f t="shared" si="108"/>
        <v>0</v>
      </c>
      <c r="Y83" s="199">
        <f t="shared" si="111"/>
        <v>0</v>
      </c>
      <c r="Z83" s="36"/>
      <c r="AA83" s="15"/>
      <c r="AB83" s="15"/>
      <c r="AC83" s="15"/>
      <c r="AD83" s="15"/>
      <c r="AE83" s="15"/>
      <c r="AF83" s="15"/>
      <c r="AG83" s="184"/>
      <c r="AH83" s="15"/>
      <c r="AI83" s="15"/>
      <c r="AJ83" s="15"/>
      <c r="AK83" s="15"/>
      <c r="AL83" s="15"/>
      <c r="AM83" s="15"/>
      <c r="AN83" s="184"/>
      <c r="AO83" s="15"/>
      <c r="AP83" s="15"/>
      <c r="AQ83" s="15"/>
      <c r="AR83" s="15"/>
      <c r="AS83" s="15"/>
      <c r="AT83" s="15"/>
      <c r="AU83" s="184"/>
      <c r="AV83" s="15"/>
      <c r="AW83" s="15"/>
      <c r="AX83" s="15"/>
      <c r="AY83" s="15"/>
      <c r="AZ83" s="15"/>
      <c r="BA83" s="15"/>
      <c r="BB83" s="184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84"/>
      <c r="CE83" s="15"/>
      <c r="CF83" s="15"/>
      <c r="CG83" s="15"/>
      <c r="CH83" s="15"/>
      <c r="CI83" s="15"/>
      <c r="CJ83" s="15"/>
      <c r="CK83" s="184"/>
      <c r="CL83" s="15"/>
      <c r="CM83" s="15"/>
      <c r="CN83" s="15"/>
      <c r="CO83" s="15"/>
      <c r="CP83" s="15"/>
      <c r="CQ83" s="15"/>
      <c r="CR83" s="184"/>
      <c r="CS83" s="15"/>
      <c r="CT83" s="15"/>
      <c r="CU83" s="15"/>
      <c r="CV83" s="15"/>
      <c r="CW83" s="15"/>
      <c r="CX83" s="15"/>
      <c r="CY83" s="184"/>
      <c r="CZ83" s="15"/>
      <c r="DA83" s="15"/>
      <c r="DB83" s="15"/>
      <c r="DC83" s="15"/>
      <c r="DD83" s="15"/>
      <c r="DE83" s="15"/>
      <c r="DF83" s="184"/>
      <c r="DG83" s="15"/>
      <c r="DH83" s="15"/>
      <c r="DI83" s="15"/>
      <c r="DJ83" s="15"/>
      <c r="DK83" s="15"/>
      <c r="DL83" s="15"/>
      <c r="DM83" s="184"/>
      <c r="DN83" s="15"/>
      <c r="DO83" s="15"/>
      <c r="DP83" s="15"/>
      <c r="DQ83" s="15"/>
      <c r="DR83" s="15"/>
      <c r="DS83" s="15"/>
      <c r="DT83" s="184"/>
      <c r="DU83" s="15"/>
      <c r="DV83" s="15"/>
      <c r="DW83" s="15"/>
      <c r="DX83" s="15"/>
      <c r="DY83" s="15"/>
      <c r="DZ83" s="15"/>
      <c r="EA83" s="184"/>
      <c r="EB83" s="15"/>
      <c r="EC83" s="15"/>
      <c r="ED83" s="15"/>
      <c r="EE83" s="15"/>
      <c r="EF83" s="15"/>
      <c r="EG83" s="15"/>
      <c r="EH83" s="184"/>
      <c r="EI83" s="15"/>
      <c r="EJ83" s="15"/>
      <c r="EK83" s="15"/>
      <c r="EL83" s="15"/>
      <c r="EM83" s="15"/>
      <c r="EN83" s="15"/>
      <c r="EO83" s="184"/>
      <c r="EP83" s="15"/>
      <c r="EQ83" s="15"/>
      <c r="ER83" s="15"/>
      <c r="ES83" s="15">
        <v>4</v>
      </c>
      <c r="ET83" s="15">
        <v>4</v>
      </c>
      <c r="EU83" s="15">
        <v>4</v>
      </c>
      <c r="EV83" s="184"/>
      <c r="EW83" s="15"/>
      <c r="EX83" s="15"/>
      <c r="EY83" s="15"/>
      <c r="EZ83" s="15"/>
      <c r="FA83" s="15"/>
      <c r="FB83" s="15"/>
      <c r="FC83" s="184"/>
      <c r="FD83" s="15"/>
      <c r="FE83" s="15"/>
      <c r="FF83" s="15"/>
      <c r="FG83" s="15"/>
      <c r="FH83" s="15"/>
      <c r="FI83" s="15"/>
      <c r="FJ83" s="184"/>
      <c r="FK83" s="15"/>
      <c r="FL83" s="15"/>
      <c r="FM83" s="15"/>
      <c r="FN83" s="15"/>
      <c r="FO83" s="15"/>
      <c r="FP83" s="15"/>
      <c r="FQ83" s="184"/>
      <c r="FR83" s="15"/>
      <c r="FS83" s="15"/>
      <c r="FT83" s="15"/>
      <c r="FU83" s="15"/>
      <c r="FV83" s="15"/>
      <c r="FW83" s="178"/>
      <c r="FX83" s="184"/>
      <c r="FY83" s="181"/>
      <c r="FZ83" s="15"/>
      <c r="GA83" s="15"/>
      <c r="GB83" s="15"/>
      <c r="GC83" s="15"/>
      <c r="GD83" s="15"/>
      <c r="GE83" s="184"/>
      <c r="GF83" s="15"/>
      <c r="GG83" s="15"/>
      <c r="GH83" s="15"/>
      <c r="GI83" s="15"/>
      <c r="GJ83" s="15"/>
      <c r="GK83" s="15"/>
      <c r="GL83" s="184"/>
      <c r="GM83" s="15"/>
      <c r="GN83" s="15"/>
      <c r="GO83" s="15"/>
      <c r="GP83" s="15"/>
      <c r="GQ83" s="15"/>
      <c r="GR83" s="15"/>
      <c r="GS83" s="184"/>
      <c r="GT83" s="15"/>
      <c r="GU83" s="15"/>
      <c r="GV83" s="15"/>
      <c r="GW83" s="15"/>
      <c r="GX83" s="15"/>
      <c r="GY83" s="15"/>
      <c r="GZ83" s="184"/>
      <c r="HA83" s="15"/>
      <c r="HB83" s="15"/>
      <c r="HC83" s="15"/>
      <c r="HD83" s="15"/>
      <c r="HE83" s="15"/>
      <c r="HF83" s="15"/>
      <c r="HG83" s="184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/>
      <c r="KE83" s="15"/>
      <c r="KF83" s="15"/>
      <c r="KG83" s="15"/>
      <c r="KH83" s="15"/>
      <c r="KI83" s="15"/>
      <c r="KJ83" s="15"/>
      <c r="KK83" s="15"/>
      <c r="KL83" s="15"/>
      <c r="KM83" s="15"/>
      <c r="KN83" s="15"/>
      <c r="KO83" s="15"/>
      <c r="KP83" s="15"/>
      <c r="KQ83" s="15"/>
      <c r="KR83" s="15"/>
      <c r="KS83" s="15"/>
      <c r="KT83" s="15"/>
      <c r="KU83" s="15"/>
      <c r="KV83" s="15"/>
      <c r="KW83" s="15"/>
      <c r="KX83" s="15"/>
      <c r="KY83" s="15"/>
      <c r="KZ83" s="15"/>
      <c r="LA83" s="15"/>
      <c r="LB83" s="15"/>
      <c r="LC83" s="15"/>
      <c r="LD83" s="15"/>
      <c r="LE83" s="15"/>
      <c r="LF83" s="15"/>
      <c r="LG83" s="15"/>
      <c r="LH83" s="15"/>
      <c r="LI83" s="15"/>
      <c r="LJ83" s="15"/>
      <c r="LK83" s="15"/>
      <c r="LL83" s="15"/>
      <c r="LM83" s="15"/>
      <c r="LN83" s="15"/>
      <c r="LO83" s="15"/>
      <c r="LP83" s="15"/>
      <c r="LQ83" s="15"/>
      <c r="LR83" s="15"/>
      <c r="LS83" s="15"/>
      <c r="LT83" s="15"/>
      <c r="LU83" s="15"/>
      <c r="LV83" s="15"/>
      <c r="LW83" s="15"/>
      <c r="LX83" s="15"/>
      <c r="LY83" s="15"/>
      <c r="LZ83" s="15"/>
      <c r="MA83" s="15"/>
      <c r="MB83" s="15"/>
      <c r="MC83" s="15"/>
      <c r="MD83" s="15"/>
      <c r="ME83" s="15"/>
      <c r="MF83" s="15"/>
      <c r="MG83" s="15"/>
      <c r="MH83" s="15"/>
      <c r="MI83" s="15"/>
      <c r="MJ83" s="15"/>
      <c r="MK83" s="15"/>
      <c r="ML83" s="15"/>
      <c r="MM83" s="15"/>
      <c r="MN83" s="15"/>
      <c r="MO83" s="15"/>
      <c r="MP83" s="15"/>
      <c r="MQ83" s="15"/>
      <c r="MR83" s="15"/>
      <c r="MS83" s="15"/>
      <c r="MT83" s="15"/>
      <c r="MU83" s="15"/>
      <c r="MV83" s="15"/>
      <c r="MW83" s="15"/>
      <c r="MX83" s="15"/>
      <c r="MY83" s="15"/>
      <c r="MZ83" s="15"/>
      <c r="NA83" s="15"/>
      <c r="NB83" s="15"/>
      <c r="NC83" s="15"/>
      <c r="ND83" s="15"/>
      <c r="NE83" s="15"/>
      <c r="NF83" s="15"/>
      <c r="NG83" s="15"/>
      <c r="NH83" s="15"/>
      <c r="NI83" s="15"/>
      <c r="NJ83" s="15"/>
      <c r="NK83" s="15"/>
      <c r="NL83" s="15"/>
      <c r="NM83" s="15"/>
      <c r="NN83" s="15"/>
      <c r="NO83" s="15"/>
      <c r="NP83" s="15"/>
      <c r="NQ83" s="15"/>
      <c r="NR83" s="15"/>
      <c r="NS83" s="15"/>
      <c r="NT83" s="15"/>
      <c r="NU83" s="15"/>
      <c r="NV83" s="15"/>
      <c r="NW83" s="15"/>
      <c r="NX83" s="15"/>
      <c r="NY83" s="15"/>
      <c r="NZ83" s="15"/>
    </row>
    <row r="84" spans="2:390" ht="19.5" customHeight="1" x14ac:dyDescent="0.45">
      <c r="B84" s="1">
        <f t="shared" si="106"/>
        <v>2</v>
      </c>
      <c r="C84" s="1">
        <f>+C83</f>
        <v>12</v>
      </c>
      <c r="D84" s="1">
        <f>+D83+1</f>
        <v>2</v>
      </c>
      <c r="E84" s="59" t="str">
        <f t="shared" si="105"/>
        <v>2.12.2</v>
      </c>
      <c r="F84" s="23" t="s">
        <v>29</v>
      </c>
      <c r="G84" s="191">
        <v>2.5</v>
      </c>
      <c r="H84" s="52" t="s">
        <v>117</v>
      </c>
      <c r="I84" s="52" t="s">
        <v>156</v>
      </c>
      <c r="J84" s="52">
        <v>1</v>
      </c>
      <c r="K84" s="52">
        <v>0</v>
      </c>
      <c r="L84" s="52">
        <f>+J84-K84</f>
        <v>1</v>
      </c>
      <c r="M84" s="20">
        <v>10</v>
      </c>
      <c r="N84" s="20">
        <v>48</v>
      </c>
      <c r="O84" s="51">
        <f>+N84*M84</f>
        <v>480</v>
      </c>
      <c r="P84" s="51">
        <f>+SUM(AA84:NZ84)</f>
        <v>480</v>
      </c>
      <c r="Q84" s="51">
        <f>+O84-P84</f>
        <v>0</v>
      </c>
      <c r="R84" s="79">
        <v>46055</v>
      </c>
      <c r="S84" s="80">
        <v>40</v>
      </c>
      <c r="T84" s="21">
        <f t="shared" si="109"/>
        <v>46108</v>
      </c>
      <c r="U84" s="22">
        <f>+K84/J84</f>
        <v>0</v>
      </c>
      <c r="V84" s="199">
        <f t="shared" si="110"/>
        <v>0</v>
      </c>
      <c r="W84" s="158">
        <f>SUMIFS($AA84:$NZ84, $AA$8:$NZ$8, $W$13)/$O84</f>
        <v>0</v>
      </c>
      <c r="X84" s="159">
        <f t="shared" si="108"/>
        <v>0</v>
      </c>
      <c r="Y84" s="199">
        <f t="shared" si="111"/>
        <v>0</v>
      </c>
      <c r="Z84" s="36"/>
      <c r="AA84" s="15"/>
      <c r="AB84" s="15"/>
      <c r="AC84" s="15"/>
      <c r="AD84" s="15"/>
      <c r="AE84" s="15"/>
      <c r="AF84" s="15"/>
      <c r="AG84" s="184"/>
      <c r="AH84" s="15"/>
      <c r="AI84" s="15"/>
      <c r="AJ84" s="15"/>
      <c r="AK84" s="15"/>
      <c r="AL84" s="15"/>
      <c r="AM84" s="15"/>
      <c r="AN84" s="184"/>
      <c r="AO84" s="15"/>
      <c r="AP84" s="15"/>
      <c r="AQ84" s="15"/>
      <c r="AR84" s="15"/>
      <c r="AS84" s="15"/>
      <c r="AT84" s="15"/>
      <c r="AU84" s="184"/>
      <c r="AV84" s="15"/>
      <c r="AW84" s="15"/>
      <c r="AX84" s="15"/>
      <c r="AY84" s="15"/>
      <c r="AZ84" s="15"/>
      <c r="BA84" s="15"/>
      <c r="BB84" s="184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84"/>
      <c r="CE84" s="15"/>
      <c r="CF84" s="15"/>
      <c r="CG84" s="15"/>
      <c r="CH84" s="15"/>
      <c r="CI84" s="15"/>
      <c r="CJ84" s="15"/>
      <c r="CK84" s="184"/>
      <c r="CL84" s="15"/>
      <c r="CM84" s="15"/>
      <c r="CN84" s="15"/>
      <c r="CO84" s="15"/>
      <c r="CP84" s="15"/>
      <c r="CQ84" s="15"/>
      <c r="CR84" s="184"/>
      <c r="CS84" s="15">
        <v>10</v>
      </c>
      <c r="CT84" s="15">
        <v>10</v>
      </c>
      <c r="CU84" s="15">
        <v>10</v>
      </c>
      <c r="CV84" s="15">
        <v>10</v>
      </c>
      <c r="CW84" s="15">
        <v>10</v>
      </c>
      <c r="CX84" s="15">
        <v>10</v>
      </c>
      <c r="CY84" s="184"/>
      <c r="CZ84" s="15">
        <v>10</v>
      </c>
      <c r="DA84" s="15">
        <v>10</v>
      </c>
      <c r="DB84" s="15">
        <v>10</v>
      </c>
      <c r="DC84" s="15">
        <v>10</v>
      </c>
      <c r="DD84" s="15">
        <v>10</v>
      </c>
      <c r="DE84" s="15">
        <v>10</v>
      </c>
      <c r="DF84" s="184"/>
      <c r="DG84" s="15">
        <v>10</v>
      </c>
      <c r="DH84" s="15">
        <v>10</v>
      </c>
      <c r="DI84" s="15">
        <v>10</v>
      </c>
      <c r="DJ84" s="15">
        <v>10</v>
      </c>
      <c r="DK84" s="15">
        <v>10</v>
      </c>
      <c r="DL84" s="15">
        <v>10</v>
      </c>
      <c r="DM84" s="184"/>
      <c r="DN84" s="15">
        <v>10</v>
      </c>
      <c r="DO84" s="15">
        <v>10</v>
      </c>
      <c r="DP84" s="15">
        <v>10</v>
      </c>
      <c r="DQ84" s="15">
        <v>10</v>
      </c>
      <c r="DR84" s="15">
        <v>10</v>
      </c>
      <c r="DS84" s="15">
        <v>10</v>
      </c>
      <c r="DT84" s="184"/>
      <c r="DU84" s="15">
        <v>10</v>
      </c>
      <c r="DV84" s="15">
        <v>10</v>
      </c>
      <c r="DW84" s="15">
        <v>10</v>
      </c>
      <c r="DX84" s="15">
        <v>10</v>
      </c>
      <c r="DY84" s="15">
        <v>10</v>
      </c>
      <c r="DZ84" s="15">
        <v>10</v>
      </c>
      <c r="EA84" s="184"/>
      <c r="EB84" s="15">
        <v>10</v>
      </c>
      <c r="EC84" s="15">
        <v>10</v>
      </c>
      <c r="ED84" s="15">
        <v>10</v>
      </c>
      <c r="EE84" s="15">
        <v>10</v>
      </c>
      <c r="EF84" s="15">
        <v>10</v>
      </c>
      <c r="EG84" s="15">
        <v>10</v>
      </c>
      <c r="EH84" s="184"/>
      <c r="EI84" s="15">
        <v>10</v>
      </c>
      <c r="EJ84" s="15">
        <v>10</v>
      </c>
      <c r="EK84" s="15">
        <v>10</v>
      </c>
      <c r="EL84" s="15">
        <v>10</v>
      </c>
      <c r="EM84" s="15">
        <v>10</v>
      </c>
      <c r="EN84" s="15">
        <v>10</v>
      </c>
      <c r="EO84" s="184"/>
      <c r="EP84" s="15">
        <v>10</v>
      </c>
      <c r="EQ84" s="15">
        <v>10</v>
      </c>
      <c r="ER84" s="15">
        <v>10</v>
      </c>
      <c r="ES84" s="15">
        <v>10</v>
      </c>
      <c r="ET84" s="15">
        <v>10</v>
      </c>
      <c r="EU84" s="15">
        <v>10</v>
      </c>
      <c r="EV84" s="184"/>
      <c r="EW84" s="15"/>
      <c r="EX84" s="15"/>
      <c r="EY84" s="15"/>
      <c r="EZ84" s="15"/>
      <c r="FA84" s="15"/>
      <c r="FB84" s="15"/>
      <c r="FC84" s="184"/>
      <c r="FD84" s="15"/>
      <c r="FE84" s="15"/>
      <c r="FF84" s="15"/>
      <c r="FG84" s="15"/>
      <c r="FH84" s="15"/>
      <c r="FI84" s="15"/>
      <c r="FJ84" s="184"/>
      <c r="FK84" s="15"/>
      <c r="FL84" s="15"/>
      <c r="FM84" s="15"/>
      <c r="FN84" s="15"/>
      <c r="FO84" s="15"/>
      <c r="FP84" s="15"/>
      <c r="FQ84" s="184"/>
      <c r="FR84" s="15"/>
      <c r="FS84" s="15"/>
      <c r="FT84" s="15"/>
      <c r="FU84" s="15"/>
      <c r="FV84" s="15"/>
      <c r="FW84" s="178"/>
      <c r="FX84" s="184"/>
      <c r="FY84" s="181"/>
      <c r="FZ84" s="15"/>
      <c r="GA84" s="15"/>
      <c r="GB84" s="15"/>
      <c r="GC84" s="15"/>
      <c r="GD84" s="15"/>
      <c r="GE84" s="184"/>
      <c r="GF84" s="15"/>
      <c r="GG84" s="15"/>
      <c r="GH84" s="15"/>
      <c r="GI84" s="15"/>
      <c r="GJ84" s="15"/>
      <c r="GK84" s="15"/>
      <c r="GL84" s="184"/>
      <c r="GM84" s="15"/>
      <c r="GN84" s="15"/>
      <c r="GO84" s="15"/>
      <c r="GP84" s="15"/>
      <c r="GQ84" s="15"/>
      <c r="GR84" s="15"/>
      <c r="GS84" s="184"/>
      <c r="GT84" s="15"/>
      <c r="GU84" s="15"/>
      <c r="GV84" s="15"/>
      <c r="GW84" s="15"/>
      <c r="GX84" s="15"/>
      <c r="GY84" s="15"/>
      <c r="GZ84" s="184"/>
      <c r="HA84" s="15"/>
      <c r="HB84" s="15"/>
      <c r="HC84" s="15"/>
      <c r="HD84" s="15"/>
      <c r="HE84" s="15"/>
      <c r="HF84" s="15"/>
      <c r="HG84" s="184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/>
      <c r="KE84" s="15"/>
      <c r="KF84" s="15"/>
      <c r="KG84" s="15"/>
      <c r="KH84" s="15"/>
      <c r="KI84" s="15"/>
      <c r="KJ84" s="15"/>
      <c r="KK84" s="15"/>
      <c r="KL84" s="15"/>
      <c r="KM84" s="15"/>
      <c r="KN84" s="15"/>
      <c r="KO84" s="15"/>
      <c r="KP84" s="15"/>
      <c r="KQ84" s="15"/>
      <c r="KR84" s="15"/>
      <c r="KS84" s="15"/>
      <c r="KT84" s="15"/>
      <c r="KU84" s="15"/>
      <c r="KV84" s="15"/>
      <c r="KW84" s="15"/>
      <c r="KX84" s="15"/>
      <c r="KY84" s="15"/>
      <c r="KZ84" s="15"/>
      <c r="LA84" s="15"/>
      <c r="LB84" s="15"/>
      <c r="LC84" s="15"/>
      <c r="LD84" s="15"/>
      <c r="LE84" s="15"/>
      <c r="LF84" s="15"/>
      <c r="LG84" s="15"/>
      <c r="LH84" s="15"/>
      <c r="LI84" s="15"/>
      <c r="LJ84" s="15"/>
      <c r="LK84" s="15"/>
      <c r="LL84" s="15"/>
      <c r="LM84" s="15"/>
      <c r="LN84" s="15"/>
      <c r="LO84" s="15"/>
      <c r="LP84" s="15"/>
      <c r="LQ84" s="15"/>
      <c r="LR84" s="15"/>
      <c r="LS84" s="15"/>
      <c r="LT84" s="15"/>
      <c r="LU84" s="15"/>
      <c r="LV84" s="15"/>
      <c r="LW84" s="15"/>
      <c r="LX84" s="15"/>
      <c r="LY84" s="15"/>
      <c r="LZ84" s="15"/>
      <c r="MA84" s="15"/>
      <c r="MB84" s="15"/>
      <c r="MC84" s="15"/>
      <c r="MD84" s="15"/>
      <c r="ME84" s="15"/>
      <c r="MF84" s="15"/>
      <c r="MG84" s="15"/>
      <c r="MH84" s="15"/>
      <c r="MI84" s="15"/>
      <c r="MJ84" s="15"/>
      <c r="MK84" s="15"/>
      <c r="ML84" s="15"/>
      <c r="MM84" s="15"/>
      <c r="MN84" s="15"/>
      <c r="MO84" s="15"/>
      <c r="MP84" s="15"/>
      <c r="MQ84" s="15"/>
      <c r="MR84" s="15"/>
      <c r="MS84" s="15"/>
      <c r="MT84" s="15"/>
      <c r="MU84" s="15"/>
      <c r="MV84" s="15"/>
      <c r="MW84" s="15"/>
      <c r="MX84" s="15"/>
      <c r="MY84" s="15"/>
      <c r="MZ84" s="15"/>
      <c r="NA84" s="15"/>
      <c r="NB84" s="15"/>
      <c r="NC84" s="15"/>
      <c r="ND84" s="15"/>
      <c r="NE84" s="15"/>
      <c r="NF84" s="15"/>
      <c r="NG84" s="15"/>
      <c r="NH84" s="15"/>
      <c r="NI84" s="15"/>
      <c r="NJ84" s="15"/>
      <c r="NK84" s="15"/>
      <c r="NL84" s="15"/>
      <c r="NM84" s="15"/>
      <c r="NN84" s="15"/>
      <c r="NO84" s="15"/>
      <c r="NP84" s="15"/>
      <c r="NQ84" s="15"/>
      <c r="NR84" s="15"/>
      <c r="NS84" s="15"/>
      <c r="NT84" s="15"/>
      <c r="NU84" s="15"/>
      <c r="NV84" s="15"/>
      <c r="NW84" s="15"/>
      <c r="NX84" s="15"/>
      <c r="NY84" s="15"/>
      <c r="NZ84" s="15"/>
    </row>
    <row r="85" spans="2:390" ht="19.5" customHeight="1" x14ac:dyDescent="0.45">
      <c r="B85" s="1">
        <f t="shared" si="106"/>
        <v>2</v>
      </c>
      <c r="C85" s="1">
        <f>+C84</f>
        <v>12</v>
      </c>
      <c r="D85" s="1">
        <f>+D84+1</f>
        <v>3</v>
      </c>
      <c r="E85" s="59" t="str">
        <f t="shared" si="105"/>
        <v>2.12.3</v>
      </c>
      <c r="F85" s="23" t="s">
        <v>81</v>
      </c>
      <c r="G85" s="191">
        <v>2.5</v>
      </c>
      <c r="H85" s="52" t="s">
        <v>117</v>
      </c>
      <c r="I85" s="52" t="s">
        <v>158</v>
      </c>
      <c r="J85" s="52">
        <v>265</v>
      </c>
      <c r="K85" s="52">
        <v>0</v>
      </c>
      <c r="L85" s="52">
        <f>+J85-K85</f>
        <v>265</v>
      </c>
      <c r="M85" s="20">
        <v>4</v>
      </c>
      <c r="N85" s="20">
        <v>24</v>
      </c>
      <c r="O85" s="51">
        <f t="shared" si="107"/>
        <v>96</v>
      </c>
      <c r="P85" s="51">
        <f>+SUM(AA85:NZ85)</f>
        <v>96</v>
      </c>
      <c r="Q85" s="51">
        <f>+O85-P85</f>
        <v>0</v>
      </c>
      <c r="R85" s="79">
        <v>46097</v>
      </c>
      <c r="S85" s="80">
        <v>10</v>
      </c>
      <c r="T85" s="21">
        <f t="shared" si="109"/>
        <v>46108</v>
      </c>
      <c r="U85" s="22">
        <f>+K85/J85</f>
        <v>0</v>
      </c>
      <c r="V85" s="199">
        <f t="shared" si="110"/>
        <v>0</v>
      </c>
      <c r="W85" s="158">
        <f>SUMIFS($AA85:$NZ85, $AA$8:$NZ$8, $W$13)/$O85</f>
        <v>0</v>
      </c>
      <c r="X85" s="159">
        <f t="shared" si="108"/>
        <v>0</v>
      </c>
      <c r="Y85" s="199">
        <f t="shared" si="111"/>
        <v>0</v>
      </c>
      <c r="Z85" s="36"/>
      <c r="AA85" s="15"/>
      <c r="AB85" s="15"/>
      <c r="AC85" s="15"/>
      <c r="AD85" s="15"/>
      <c r="AE85" s="15"/>
      <c r="AF85" s="15"/>
      <c r="AG85" s="184"/>
      <c r="AH85" s="15"/>
      <c r="AI85" s="15"/>
      <c r="AJ85" s="15"/>
      <c r="AK85" s="15"/>
      <c r="AL85" s="15"/>
      <c r="AM85" s="15"/>
      <c r="AN85" s="184"/>
      <c r="AO85" s="15"/>
      <c r="AP85" s="15"/>
      <c r="AQ85" s="15"/>
      <c r="AR85" s="15"/>
      <c r="AS85" s="15"/>
      <c r="AT85" s="15"/>
      <c r="AU85" s="184"/>
      <c r="AV85" s="15"/>
      <c r="AW85" s="15"/>
      <c r="AX85" s="15"/>
      <c r="AY85" s="15"/>
      <c r="AZ85" s="15"/>
      <c r="BA85" s="15"/>
      <c r="BB85" s="184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84"/>
      <c r="CE85" s="15"/>
      <c r="CF85" s="15"/>
      <c r="CG85" s="15"/>
      <c r="CH85" s="15"/>
      <c r="CI85" s="15"/>
      <c r="CJ85" s="15"/>
      <c r="CK85" s="184"/>
      <c r="CL85" s="15"/>
      <c r="CM85" s="15"/>
      <c r="CN85" s="15"/>
      <c r="CO85" s="15"/>
      <c r="CP85" s="15"/>
      <c r="CQ85" s="15"/>
      <c r="CR85" s="184"/>
      <c r="CS85" s="15"/>
      <c r="CT85" s="15"/>
      <c r="CU85" s="15"/>
      <c r="CV85" s="15"/>
      <c r="CW85" s="15"/>
      <c r="CX85" s="15"/>
      <c r="CY85" s="184"/>
      <c r="CZ85" s="15"/>
      <c r="DA85" s="15"/>
      <c r="DB85" s="15"/>
      <c r="DC85" s="15"/>
      <c r="DD85" s="15"/>
      <c r="DE85" s="15"/>
      <c r="DF85" s="184"/>
      <c r="DG85" s="15"/>
      <c r="DH85" s="15"/>
      <c r="DI85" s="15"/>
      <c r="DJ85" s="15"/>
      <c r="DK85" s="15"/>
      <c r="DL85" s="15"/>
      <c r="DM85" s="184"/>
      <c r="DN85" s="15"/>
      <c r="DO85" s="15"/>
      <c r="DP85" s="15"/>
      <c r="DQ85" s="15"/>
      <c r="DR85" s="15"/>
      <c r="DS85" s="15"/>
      <c r="DT85" s="184"/>
      <c r="DU85" s="15"/>
      <c r="DV85" s="15"/>
      <c r="DW85" s="15"/>
      <c r="DX85" s="15"/>
      <c r="DY85" s="15"/>
      <c r="DZ85" s="15"/>
      <c r="EA85" s="184"/>
      <c r="EB85" s="15"/>
      <c r="EC85" s="15"/>
      <c r="ED85" s="15"/>
      <c r="EE85" s="15"/>
      <c r="EF85" s="15"/>
      <c r="EG85" s="15"/>
      <c r="EH85" s="184"/>
      <c r="EI85" s="15">
        <v>8</v>
      </c>
      <c r="EJ85" s="15">
        <v>8</v>
      </c>
      <c r="EK85" s="15">
        <v>8</v>
      </c>
      <c r="EL85" s="15">
        <v>8</v>
      </c>
      <c r="EM85" s="15">
        <v>8</v>
      </c>
      <c r="EN85" s="15">
        <v>8</v>
      </c>
      <c r="EO85" s="184"/>
      <c r="EP85" s="15">
        <v>8</v>
      </c>
      <c r="EQ85" s="15">
        <v>8</v>
      </c>
      <c r="ER85" s="15">
        <v>8</v>
      </c>
      <c r="ES85" s="15">
        <v>8</v>
      </c>
      <c r="ET85" s="15">
        <v>8</v>
      </c>
      <c r="EU85" s="15">
        <v>8</v>
      </c>
      <c r="EV85" s="184"/>
      <c r="EW85" s="15"/>
      <c r="EX85" s="15"/>
      <c r="EY85" s="15"/>
      <c r="EZ85" s="15"/>
      <c r="FA85" s="15"/>
      <c r="FB85" s="15"/>
      <c r="FC85" s="184"/>
      <c r="FD85" s="15"/>
      <c r="FE85" s="15"/>
      <c r="FF85" s="15"/>
      <c r="FG85" s="15"/>
      <c r="FH85" s="15"/>
      <c r="FI85" s="15"/>
      <c r="FJ85" s="184"/>
      <c r="FK85" s="15"/>
      <c r="FL85" s="15"/>
      <c r="FM85" s="15"/>
      <c r="FN85" s="15"/>
      <c r="FO85" s="15"/>
      <c r="FP85" s="15"/>
      <c r="FQ85" s="184"/>
      <c r="FR85" s="15"/>
      <c r="FS85" s="15"/>
      <c r="FT85" s="15"/>
      <c r="FU85" s="15"/>
      <c r="FV85" s="15"/>
      <c r="FW85" s="178"/>
      <c r="FX85" s="184"/>
      <c r="FY85" s="181"/>
      <c r="FZ85" s="15"/>
      <c r="GA85" s="15"/>
      <c r="GB85" s="15"/>
      <c r="GC85" s="15"/>
      <c r="GD85" s="15"/>
      <c r="GE85" s="184"/>
      <c r="GF85" s="15"/>
      <c r="GG85" s="15"/>
      <c r="GH85" s="15"/>
      <c r="GI85" s="15"/>
      <c r="GJ85" s="15"/>
      <c r="GK85" s="15"/>
      <c r="GL85" s="184"/>
      <c r="GM85" s="15"/>
      <c r="GN85" s="15"/>
      <c r="GO85" s="15"/>
      <c r="GP85" s="15"/>
      <c r="GQ85" s="15"/>
      <c r="GR85" s="15"/>
      <c r="GS85" s="184"/>
      <c r="GT85" s="15"/>
      <c r="GU85" s="15"/>
      <c r="GV85" s="15"/>
      <c r="GW85" s="15"/>
      <c r="GX85" s="15"/>
      <c r="GY85" s="15"/>
      <c r="GZ85" s="184"/>
      <c r="HA85" s="15"/>
      <c r="HB85" s="15"/>
      <c r="HC85" s="15"/>
      <c r="HD85" s="15"/>
      <c r="HE85" s="15"/>
      <c r="HF85" s="15"/>
      <c r="HG85" s="184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/>
      <c r="KE85" s="15"/>
      <c r="KF85" s="15"/>
      <c r="KG85" s="15"/>
      <c r="KH85" s="15"/>
      <c r="KI85" s="15"/>
      <c r="KJ85" s="15"/>
      <c r="KK85" s="15"/>
      <c r="KL85" s="15"/>
      <c r="KM85" s="15"/>
      <c r="KN85" s="15"/>
      <c r="KO85" s="15"/>
      <c r="KP85" s="15"/>
      <c r="KQ85" s="15"/>
      <c r="KR85" s="15"/>
      <c r="KS85" s="15"/>
      <c r="KT85" s="15"/>
      <c r="KU85" s="15"/>
      <c r="KV85" s="15"/>
      <c r="KW85" s="15"/>
      <c r="KX85" s="15"/>
      <c r="KY85" s="15"/>
      <c r="KZ85" s="15"/>
      <c r="LA85" s="15"/>
      <c r="LB85" s="15"/>
      <c r="LC85" s="15"/>
      <c r="LD85" s="15"/>
      <c r="LE85" s="15"/>
      <c r="LF85" s="15"/>
      <c r="LG85" s="15"/>
      <c r="LH85" s="15"/>
      <c r="LI85" s="15"/>
      <c r="LJ85" s="15"/>
      <c r="LK85" s="15"/>
      <c r="LL85" s="15"/>
      <c r="LM85" s="15"/>
      <c r="LN85" s="15"/>
      <c r="LO85" s="15"/>
      <c r="LP85" s="15"/>
      <c r="LQ85" s="15"/>
      <c r="LR85" s="15"/>
      <c r="LS85" s="15"/>
      <c r="LT85" s="15"/>
      <c r="LU85" s="15"/>
      <c r="LV85" s="15"/>
      <c r="LW85" s="15"/>
      <c r="LX85" s="15"/>
      <c r="LY85" s="15"/>
      <c r="LZ85" s="15"/>
      <c r="MA85" s="15"/>
      <c r="MB85" s="15"/>
      <c r="MC85" s="15"/>
      <c r="MD85" s="15"/>
      <c r="ME85" s="15"/>
      <c r="MF85" s="15"/>
      <c r="MG85" s="15"/>
      <c r="MH85" s="15"/>
      <c r="MI85" s="15"/>
      <c r="MJ85" s="15"/>
      <c r="MK85" s="15"/>
      <c r="ML85" s="15"/>
      <c r="MM85" s="15"/>
      <c r="MN85" s="15"/>
      <c r="MO85" s="15"/>
      <c r="MP85" s="15"/>
      <c r="MQ85" s="15"/>
      <c r="MR85" s="15"/>
      <c r="MS85" s="15"/>
      <c r="MT85" s="15"/>
      <c r="MU85" s="15"/>
      <c r="MV85" s="15"/>
      <c r="MW85" s="15"/>
      <c r="MX85" s="15"/>
      <c r="MY85" s="15"/>
      <c r="MZ85" s="15"/>
      <c r="NA85" s="15"/>
      <c r="NB85" s="15"/>
      <c r="NC85" s="15"/>
      <c r="ND85" s="15"/>
      <c r="NE85" s="15"/>
      <c r="NF85" s="15"/>
      <c r="NG85" s="15"/>
      <c r="NH85" s="15"/>
      <c r="NI85" s="15"/>
      <c r="NJ85" s="15"/>
      <c r="NK85" s="15"/>
      <c r="NL85" s="15"/>
      <c r="NM85" s="15"/>
      <c r="NN85" s="15"/>
      <c r="NO85" s="15"/>
      <c r="NP85" s="15"/>
      <c r="NQ85" s="15"/>
      <c r="NR85" s="15"/>
      <c r="NS85" s="15"/>
      <c r="NT85" s="15"/>
      <c r="NU85" s="15"/>
      <c r="NV85" s="15"/>
      <c r="NW85" s="15"/>
      <c r="NX85" s="15"/>
      <c r="NY85" s="15"/>
      <c r="NZ85" s="15"/>
    </row>
    <row r="86" spans="2:390" ht="19.5" customHeight="1" x14ac:dyDescent="0.45">
      <c r="B86" s="1">
        <f>+B85</f>
        <v>2</v>
      </c>
      <c r="C86" s="1">
        <f>+C85+1</f>
        <v>13</v>
      </c>
      <c r="D86" s="1">
        <v>0</v>
      </c>
      <c r="E86" s="93" t="str">
        <f t="shared" si="105"/>
        <v>2.13.0</v>
      </c>
      <c r="F86" s="94" t="s">
        <v>67</v>
      </c>
      <c r="G86" s="108"/>
      <c r="H86" s="109"/>
      <c r="I86" s="109"/>
      <c r="J86" s="97"/>
      <c r="K86" s="97"/>
      <c r="L86" s="97"/>
      <c r="M86" s="98"/>
      <c r="N86" s="98"/>
      <c r="O86" s="95">
        <f>SUM(O87:O88)</f>
        <v>48</v>
      </c>
      <c r="P86" s="95"/>
      <c r="Q86" s="95"/>
      <c r="R86" s="166"/>
      <c r="S86" s="167"/>
      <c r="T86" s="163" t="str">
        <f t="shared" si="109"/>
        <v/>
      </c>
      <c r="U86" s="164">
        <f>+SUMPRODUCT(U87:U88,O87:O88)/O86</f>
        <v>0</v>
      </c>
      <c r="V86" s="200">
        <f t="shared" si="110"/>
        <v>0</v>
      </c>
      <c r="W86" s="158">
        <f>SUMIFS($AA86:$NZ86, $AA$8:$NZ$8, $W$13)/$O86</f>
        <v>0</v>
      </c>
      <c r="X86" s="159">
        <f t="shared" si="108"/>
        <v>0</v>
      </c>
      <c r="Y86" s="199">
        <f t="shared" si="111"/>
        <v>0</v>
      </c>
      <c r="Z86" s="36"/>
      <c r="AA86" s="15"/>
      <c r="AB86" s="15"/>
      <c r="AC86" s="15"/>
      <c r="AD86" s="15"/>
      <c r="AE86" s="15"/>
      <c r="AF86" s="15"/>
      <c r="AG86" s="184"/>
      <c r="AH86" s="15"/>
      <c r="AI86" s="15"/>
      <c r="AJ86" s="15"/>
      <c r="AK86" s="15"/>
      <c r="AL86" s="15"/>
      <c r="AM86" s="15"/>
      <c r="AN86" s="184"/>
      <c r="AO86" s="15"/>
      <c r="AP86" s="15"/>
      <c r="AQ86" s="15"/>
      <c r="AR86" s="15"/>
      <c r="AS86" s="15"/>
      <c r="AT86" s="15"/>
      <c r="AU86" s="184"/>
      <c r="AV86" s="15"/>
      <c r="AW86" s="15"/>
      <c r="AX86" s="15"/>
      <c r="AY86" s="15"/>
      <c r="AZ86" s="15"/>
      <c r="BA86" s="15"/>
      <c r="BB86" s="184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84"/>
      <c r="CE86" s="15"/>
      <c r="CF86" s="15"/>
      <c r="CG86" s="15"/>
      <c r="CH86" s="15"/>
      <c r="CI86" s="15"/>
      <c r="CJ86" s="15"/>
      <c r="CK86" s="184"/>
      <c r="CL86" s="15"/>
      <c r="CM86" s="15"/>
      <c r="CN86" s="15"/>
      <c r="CO86" s="15"/>
      <c r="CP86" s="15"/>
      <c r="CQ86" s="15"/>
      <c r="CR86" s="184"/>
      <c r="CS86" s="15"/>
      <c r="CT86" s="15"/>
      <c r="CU86" s="15"/>
      <c r="CV86" s="15"/>
      <c r="CW86" s="15"/>
      <c r="CX86" s="15"/>
      <c r="CY86" s="184"/>
      <c r="CZ86" s="15"/>
      <c r="DA86" s="15"/>
      <c r="DB86" s="15"/>
      <c r="DC86" s="15"/>
      <c r="DD86" s="15"/>
      <c r="DE86" s="15"/>
      <c r="DF86" s="184"/>
      <c r="DG86" s="15"/>
      <c r="DH86" s="15"/>
      <c r="DI86" s="15"/>
      <c r="DJ86" s="15"/>
      <c r="DK86" s="15"/>
      <c r="DL86" s="15"/>
      <c r="DM86" s="184"/>
      <c r="DN86" s="15"/>
      <c r="DO86" s="15"/>
      <c r="DP86" s="15"/>
      <c r="DQ86" s="15"/>
      <c r="DR86" s="15"/>
      <c r="DS86" s="15"/>
      <c r="DT86" s="184"/>
      <c r="DU86" s="15"/>
      <c r="DV86" s="15"/>
      <c r="DW86" s="15"/>
      <c r="DX86" s="15"/>
      <c r="DY86" s="15"/>
      <c r="DZ86" s="15"/>
      <c r="EA86" s="184"/>
      <c r="EB86" s="15"/>
      <c r="EC86" s="15"/>
      <c r="ED86" s="15"/>
      <c r="EE86" s="15"/>
      <c r="EF86" s="15"/>
      <c r="EG86" s="15"/>
      <c r="EH86" s="184"/>
      <c r="EI86" s="15"/>
      <c r="EJ86" s="15"/>
      <c r="EK86" s="15"/>
      <c r="EL86" s="15"/>
      <c r="EM86" s="15"/>
      <c r="EN86" s="15"/>
      <c r="EO86" s="184"/>
      <c r="EP86" s="15"/>
      <c r="EQ86" s="15"/>
      <c r="ER86" s="15"/>
      <c r="ES86" s="15"/>
      <c r="ET86" s="15"/>
      <c r="EU86" s="15"/>
      <c r="EV86" s="184"/>
      <c r="EW86" s="15"/>
      <c r="EX86" s="15"/>
      <c r="EY86" s="15"/>
      <c r="EZ86" s="15"/>
      <c r="FA86" s="15"/>
      <c r="FB86" s="15"/>
      <c r="FC86" s="184"/>
      <c r="FD86" s="15"/>
      <c r="FE86" s="15"/>
      <c r="FF86" s="15"/>
      <c r="FG86" s="15"/>
      <c r="FH86" s="15"/>
      <c r="FI86" s="15"/>
      <c r="FJ86" s="184"/>
      <c r="FK86" s="15"/>
      <c r="FL86" s="15"/>
      <c r="FM86" s="15"/>
      <c r="FN86" s="15"/>
      <c r="FO86" s="15"/>
      <c r="FP86" s="15"/>
      <c r="FQ86" s="184"/>
      <c r="FR86" s="15"/>
      <c r="FS86" s="15"/>
      <c r="FT86" s="15"/>
      <c r="FU86" s="15"/>
      <c r="FV86" s="15"/>
      <c r="FW86" s="178"/>
      <c r="FX86" s="184"/>
      <c r="FY86" s="181"/>
      <c r="FZ86" s="15"/>
      <c r="GA86" s="15"/>
      <c r="GB86" s="15"/>
      <c r="GC86" s="15"/>
      <c r="GD86" s="15"/>
      <c r="GE86" s="184"/>
      <c r="GF86" s="15"/>
      <c r="GG86" s="15"/>
      <c r="GH86" s="15"/>
      <c r="GI86" s="15"/>
      <c r="GJ86" s="15"/>
      <c r="GK86" s="15"/>
      <c r="GL86" s="184"/>
      <c r="GM86" s="15"/>
      <c r="GN86" s="15"/>
      <c r="GO86" s="15"/>
      <c r="GP86" s="15"/>
      <c r="GQ86" s="15"/>
      <c r="GR86" s="15"/>
      <c r="GS86" s="184"/>
      <c r="GT86" s="15"/>
      <c r="GU86" s="15"/>
      <c r="GV86" s="15"/>
      <c r="GW86" s="15"/>
      <c r="GX86" s="15"/>
      <c r="GY86" s="15"/>
      <c r="GZ86" s="184"/>
      <c r="HA86" s="15"/>
      <c r="HB86" s="15"/>
      <c r="HC86" s="15"/>
      <c r="HD86" s="15"/>
      <c r="HE86" s="15"/>
      <c r="HF86" s="15"/>
      <c r="HG86" s="184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/>
      <c r="KE86" s="15"/>
      <c r="KF86" s="15"/>
      <c r="KG86" s="15"/>
      <c r="KH86" s="15"/>
      <c r="KI86" s="15"/>
      <c r="KJ86" s="15"/>
      <c r="KK86" s="15"/>
      <c r="KL86" s="15"/>
      <c r="KM86" s="15"/>
      <c r="KN86" s="15"/>
      <c r="KO86" s="15"/>
      <c r="KP86" s="15"/>
      <c r="KQ86" s="15"/>
      <c r="KR86" s="15"/>
      <c r="KS86" s="15"/>
      <c r="KT86" s="15"/>
      <c r="KU86" s="15"/>
      <c r="KV86" s="15"/>
      <c r="KW86" s="15"/>
      <c r="KX86" s="15"/>
      <c r="KY86" s="15"/>
      <c r="KZ86" s="15"/>
      <c r="LA86" s="15"/>
      <c r="LB86" s="15"/>
      <c r="LC86" s="15"/>
      <c r="LD86" s="15"/>
      <c r="LE86" s="15"/>
      <c r="LF86" s="15"/>
      <c r="LG86" s="15"/>
      <c r="LH86" s="15"/>
      <c r="LI86" s="15"/>
      <c r="LJ86" s="15"/>
      <c r="LK86" s="15"/>
      <c r="LL86" s="15"/>
      <c r="LM86" s="15"/>
      <c r="LN86" s="15"/>
      <c r="LO86" s="15"/>
      <c r="LP86" s="15"/>
      <c r="LQ86" s="15"/>
      <c r="LR86" s="15"/>
      <c r="LS86" s="15"/>
      <c r="LT86" s="15"/>
      <c r="LU86" s="15"/>
      <c r="LV86" s="15"/>
      <c r="LW86" s="15"/>
      <c r="LX86" s="15"/>
      <c r="LY86" s="15"/>
      <c r="LZ86" s="15"/>
      <c r="MA86" s="15"/>
      <c r="MB86" s="15"/>
      <c r="MC86" s="15"/>
      <c r="MD86" s="15"/>
      <c r="ME86" s="15"/>
      <c r="MF86" s="15"/>
      <c r="MG86" s="15"/>
      <c r="MH86" s="15"/>
      <c r="MI86" s="15"/>
      <c r="MJ86" s="15"/>
      <c r="MK86" s="15"/>
      <c r="ML86" s="15"/>
      <c r="MM86" s="15"/>
      <c r="MN86" s="15"/>
      <c r="MO86" s="15"/>
      <c r="MP86" s="15"/>
      <c r="MQ86" s="15"/>
      <c r="MR86" s="15"/>
      <c r="MS86" s="15"/>
      <c r="MT86" s="15"/>
      <c r="MU86" s="15"/>
      <c r="MV86" s="15"/>
      <c r="MW86" s="15"/>
      <c r="MX86" s="15"/>
      <c r="MY86" s="15"/>
      <c r="MZ86" s="15"/>
      <c r="NA86" s="15"/>
      <c r="NB86" s="15"/>
      <c r="NC86" s="15"/>
      <c r="ND86" s="15"/>
      <c r="NE86" s="15"/>
      <c r="NF86" s="15"/>
      <c r="NG86" s="15"/>
      <c r="NH86" s="15"/>
      <c r="NI86" s="15"/>
      <c r="NJ86" s="15"/>
      <c r="NK86" s="15"/>
      <c r="NL86" s="15"/>
      <c r="NM86" s="15"/>
      <c r="NN86" s="15"/>
      <c r="NO86" s="15"/>
      <c r="NP86" s="15"/>
      <c r="NQ86" s="15"/>
      <c r="NR86" s="15"/>
      <c r="NS86" s="15"/>
      <c r="NT86" s="15"/>
      <c r="NU86" s="15"/>
      <c r="NV86" s="15"/>
      <c r="NW86" s="15"/>
      <c r="NX86" s="15"/>
      <c r="NY86" s="15"/>
      <c r="NZ86" s="15"/>
    </row>
    <row r="87" spans="2:390" ht="19.5" customHeight="1" x14ac:dyDescent="0.45">
      <c r="B87" s="1">
        <f>+B86</f>
        <v>2</v>
      </c>
      <c r="C87" s="1">
        <f>+C86</f>
        <v>13</v>
      </c>
      <c r="D87" s="1">
        <f>+D86+1</f>
        <v>1</v>
      </c>
      <c r="E87" s="84" t="str">
        <f t="shared" si="105"/>
        <v>2.13.1</v>
      </c>
      <c r="F87" s="85" t="s">
        <v>68</v>
      </c>
      <c r="G87" s="191">
        <v>2</v>
      </c>
      <c r="H87" s="52" t="s">
        <v>117</v>
      </c>
      <c r="I87" s="52" t="s">
        <v>156</v>
      </c>
      <c r="J87" s="52">
        <v>12</v>
      </c>
      <c r="K87" s="52">
        <v>0</v>
      </c>
      <c r="L87" s="52">
        <f>+J87-K87</f>
        <v>12</v>
      </c>
      <c r="M87" s="20">
        <v>4</v>
      </c>
      <c r="N87" s="20">
        <v>12</v>
      </c>
      <c r="O87" s="51">
        <f>+N87*M87</f>
        <v>48</v>
      </c>
      <c r="P87" s="51">
        <f>+SUM(AA87:NZ87)</f>
        <v>0</v>
      </c>
      <c r="Q87" s="51">
        <f>+O87-P87</f>
        <v>48</v>
      </c>
      <c r="R87" s="153"/>
      <c r="S87" s="154"/>
      <c r="T87" s="155" t="str">
        <f t="shared" si="109"/>
        <v/>
      </c>
      <c r="U87" s="22">
        <f>+K87/J87</f>
        <v>0</v>
      </c>
      <c r="V87" s="199">
        <f t="shared" si="110"/>
        <v>0</v>
      </c>
      <c r="W87" s="158">
        <f>SUMIFS($AA87:$NZ87, $AA$8:$NZ$8, $W$13)/$O87</f>
        <v>0</v>
      </c>
      <c r="X87" s="159">
        <f t="shared" si="108"/>
        <v>0</v>
      </c>
      <c r="Y87" s="199">
        <f t="shared" si="111"/>
        <v>0</v>
      </c>
      <c r="Z87" s="36"/>
      <c r="AA87" s="15"/>
      <c r="AB87" s="15"/>
      <c r="AC87" s="15"/>
      <c r="AD87" s="15"/>
      <c r="AE87" s="15"/>
      <c r="AF87" s="15"/>
      <c r="AG87" s="184"/>
      <c r="AH87" s="15"/>
      <c r="AI87" s="15"/>
      <c r="AJ87" s="15"/>
      <c r="AK87" s="15"/>
      <c r="AL87" s="15"/>
      <c r="AM87" s="15"/>
      <c r="AN87" s="184"/>
      <c r="AO87" s="15"/>
      <c r="AP87" s="15"/>
      <c r="AQ87" s="15"/>
      <c r="AR87" s="15"/>
      <c r="AS87" s="15"/>
      <c r="AT87" s="15"/>
      <c r="AU87" s="184"/>
      <c r="AV87" s="15"/>
      <c r="AW87" s="15"/>
      <c r="AX87" s="15"/>
      <c r="AY87" s="15"/>
      <c r="AZ87" s="15"/>
      <c r="BA87" s="15"/>
      <c r="BB87" s="184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84"/>
      <c r="CE87" s="15"/>
      <c r="CF87" s="15"/>
      <c r="CG87" s="15"/>
      <c r="CH87" s="15"/>
      <c r="CI87" s="15"/>
      <c r="CJ87" s="15"/>
      <c r="CK87" s="184"/>
      <c r="CL87" s="15"/>
      <c r="CM87" s="15"/>
      <c r="CN87" s="15"/>
      <c r="CO87" s="15"/>
      <c r="CP87" s="15"/>
      <c r="CQ87" s="15"/>
      <c r="CR87" s="184"/>
      <c r="CS87" s="15"/>
      <c r="CT87" s="15"/>
      <c r="CU87" s="15"/>
      <c r="CV87" s="15"/>
      <c r="CW87" s="15"/>
      <c r="CX87" s="15"/>
      <c r="CY87" s="184"/>
      <c r="CZ87" s="15"/>
      <c r="DA87" s="15"/>
      <c r="DB87" s="15"/>
      <c r="DC87" s="15"/>
      <c r="DD87" s="15"/>
      <c r="DE87" s="15"/>
      <c r="DF87" s="184"/>
      <c r="DG87" s="15"/>
      <c r="DH87" s="15"/>
      <c r="DI87" s="15"/>
      <c r="DJ87" s="15"/>
      <c r="DK87" s="15"/>
      <c r="DL87" s="15"/>
      <c r="DM87" s="184"/>
      <c r="DN87" s="15"/>
      <c r="DO87" s="15"/>
      <c r="DP87" s="15"/>
      <c r="DQ87" s="15"/>
      <c r="DR87" s="15"/>
      <c r="DS87" s="15"/>
      <c r="DT87" s="184"/>
      <c r="DU87" s="15"/>
      <c r="DV87" s="15"/>
      <c r="DW87" s="15"/>
      <c r="DX87" s="15"/>
      <c r="DY87" s="15"/>
      <c r="DZ87" s="15"/>
      <c r="EA87" s="184"/>
      <c r="EB87" s="15"/>
      <c r="EC87" s="15"/>
      <c r="ED87" s="15"/>
      <c r="EE87" s="15"/>
      <c r="EF87" s="15"/>
      <c r="EG87" s="15"/>
      <c r="EH87" s="184"/>
      <c r="EI87" s="15"/>
      <c r="EJ87" s="15"/>
      <c r="EK87" s="15"/>
      <c r="EL87" s="15"/>
      <c r="EM87" s="15"/>
      <c r="EN87" s="15"/>
      <c r="EO87" s="184"/>
      <c r="EP87" s="15"/>
      <c r="EQ87" s="15"/>
      <c r="ER87" s="15"/>
      <c r="ES87" s="15"/>
      <c r="ET87" s="15"/>
      <c r="EU87" s="15"/>
      <c r="EV87" s="184"/>
      <c r="EW87" s="15"/>
      <c r="EX87" s="15"/>
      <c r="EY87" s="15"/>
      <c r="EZ87" s="15"/>
      <c r="FA87" s="15"/>
      <c r="FB87" s="15"/>
      <c r="FC87" s="184"/>
      <c r="FD87" s="15"/>
      <c r="FE87" s="15"/>
      <c r="FF87" s="15"/>
      <c r="FG87" s="15"/>
      <c r="FH87" s="15"/>
      <c r="FI87" s="15"/>
      <c r="FJ87" s="184"/>
      <c r="FK87" s="15"/>
      <c r="FL87" s="15"/>
      <c r="FM87" s="15"/>
      <c r="FN87" s="15"/>
      <c r="FO87" s="15"/>
      <c r="FP87" s="15"/>
      <c r="FQ87" s="184"/>
      <c r="FR87" s="15"/>
      <c r="FS87" s="15"/>
      <c r="FT87" s="15"/>
      <c r="FU87" s="15"/>
      <c r="FV87" s="15"/>
      <c r="FW87" s="178"/>
      <c r="FX87" s="184"/>
      <c r="FY87" s="181"/>
      <c r="FZ87" s="15"/>
      <c r="GA87" s="15"/>
      <c r="GB87" s="15"/>
      <c r="GC87" s="15"/>
      <c r="GD87" s="15"/>
      <c r="GE87" s="184"/>
      <c r="GF87" s="15"/>
      <c r="GG87" s="15"/>
      <c r="GH87" s="15"/>
      <c r="GI87" s="15"/>
      <c r="GJ87" s="15"/>
      <c r="GK87" s="15"/>
      <c r="GL87" s="184"/>
      <c r="GM87" s="15"/>
      <c r="GN87" s="15"/>
      <c r="GO87" s="15"/>
      <c r="GP87" s="15"/>
      <c r="GQ87" s="15"/>
      <c r="GR87" s="15"/>
      <c r="GS87" s="184"/>
      <c r="GT87" s="15"/>
      <c r="GU87" s="15"/>
      <c r="GV87" s="15"/>
      <c r="GW87" s="15"/>
      <c r="GX87" s="15"/>
      <c r="GY87" s="15"/>
      <c r="GZ87" s="184"/>
      <c r="HA87" s="15"/>
      <c r="HB87" s="15"/>
      <c r="HC87" s="15"/>
      <c r="HD87" s="15"/>
      <c r="HE87" s="15"/>
      <c r="HF87" s="15"/>
      <c r="HG87" s="184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/>
      <c r="KE87" s="15"/>
      <c r="KF87" s="15"/>
      <c r="KG87" s="15"/>
      <c r="KH87" s="15"/>
      <c r="KI87" s="15"/>
      <c r="KJ87" s="15"/>
      <c r="KK87" s="15"/>
      <c r="KL87" s="15"/>
      <c r="KM87" s="15"/>
      <c r="KN87" s="15"/>
      <c r="KO87" s="15"/>
      <c r="KP87" s="15"/>
      <c r="KQ87" s="15"/>
      <c r="KR87" s="15"/>
      <c r="KS87" s="15"/>
      <c r="KT87" s="15"/>
      <c r="KU87" s="15"/>
      <c r="KV87" s="15"/>
      <c r="KW87" s="15"/>
      <c r="KX87" s="15"/>
      <c r="KY87" s="15"/>
      <c r="KZ87" s="15"/>
      <c r="LA87" s="15"/>
      <c r="LB87" s="15"/>
      <c r="LC87" s="15"/>
      <c r="LD87" s="15"/>
      <c r="LE87" s="15"/>
      <c r="LF87" s="15"/>
      <c r="LG87" s="15"/>
      <c r="LH87" s="15"/>
      <c r="LI87" s="15"/>
      <c r="LJ87" s="15"/>
      <c r="LK87" s="15"/>
      <c r="LL87" s="15"/>
      <c r="LM87" s="15"/>
      <c r="LN87" s="15"/>
      <c r="LO87" s="15"/>
      <c r="LP87" s="15"/>
      <c r="LQ87" s="15"/>
      <c r="LR87" s="15"/>
      <c r="LS87" s="15"/>
      <c r="LT87" s="15"/>
      <c r="LU87" s="15"/>
      <c r="LV87" s="15"/>
      <c r="LW87" s="15"/>
      <c r="LX87" s="15"/>
      <c r="LY87" s="15"/>
      <c r="LZ87" s="15"/>
      <c r="MA87" s="15"/>
      <c r="MB87" s="15"/>
      <c r="MC87" s="15"/>
      <c r="MD87" s="15"/>
      <c r="ME87" s="15"/>
      <c r="MF87" s="15"/>
      <c r="MG87" s="15"/>
      <c r="MH87" s="15"/>
      <c r="MI87" s="15"/>
      <c r="MJ87" s="15"/>
      <c r="MK87" s="15"/>
      <c r="ML87" s="15"/>
      <c r="MM87" s="15"/>
      <c r="MN87" s="15"/>
      <c r="MO87" s="15"/>
      <c r="MP87" s="15"/>
      <c r="MQ87" s="15"/>
      <c r="MR87" s="15"/>
      <c r="MS87" s="15"/>
      <c r="MT87" s="15"/>
      <c r="MU87" s="15"/>
      <c r="MV87" s="15"/>
      <c r="MW87" s="15"/>
      <c r="MX87" s="15"/>
      <c r="MY87" s="15"/>
      <c r="MZ87" s="15"/>
      <c r="NA87" s="15"/>
      <c r="NB87" s="15"/>
      <c r="NC87" s="15"/>
      <c r="ND87" s="15"/>
      <c r="NE87" s="15"/>
      <c r="NF87" s="15"/>
      <c r="NG87" s="15"/>
      <c r="NH87" s="15"/>
      <c r="NI87" s="15"/>
      <c r="NJ87" s="15"/>
      <c r="NK87" s="15"/>
      <c r="NL87" s="15"/>
      <c r="NM87" s="15"/>
      <c r="NN87" s="15"/>
      <c r="NO87" s="15"/>
      <c r="NP87" s="15"/>
      <c r="NQ87" s="15"/>
      <c r="NR87" s="15"/>
      <c r="NS87" s="15"/>
      <c r="NT87" s="15"/>
      <c r="NU87" s="15"/>
      <c r="NV87" s="15"/>
      <c r="NW87" s="15"/>
      <c r="NX87" s="15"/>
      <c r="NY87" s="15"/>
      <c r="NZ87" s="15"/>
    </row>
    <row r="88" spans="2:390" ht="19.5" customHeight="1" x14ac:dyDescent="0.45">
      <c r="B88" s="1">
        <f>+B87</f>
        <v>2</v>
      </c>
      <c r="C88" s="1">
        <f>+C87</f>
        <v>13</v>
      </c>
      <c r="D88" s="1">
        <f>+D87+1</f>
        <v>2</v>
      </c>
      <c r="E88" s="84" t="str">
        <f t="shared" si="105"/>
        <v>2.13.2</v>
      </c>
      <c r="F88" s="85" t="s">
        <v>69</v>
      </c>
      <c r="G88" s="191">
        <v>2</v>
      </c>
      <c r="H88" s="52" t="s">
        <v>117</v>
      </c>
      <c r="I88" s="52" t="s">
        <v>156</v>
      </c>
      <c r="J88" s="61">
        <v>1</v>
      </c>
      <c r="K88" s="52">
        <v>0</v>
      </c>
      <c r="L88" s="52">
        <f>+J88-K88</f>
        <v>1</v>
      </c>
      <c r="M88" s="64"/>
      <c r="N88" s="64"/>
      <c r="O88" s="51">
        <f>+N88*M88</f>
        <v>0</v>
      </c>
      <c r="P88" s="51">
        <f>+SUM(AA88:NZ88)</f>
        <v>0</v>
      </c>
      <c r="Q88" s="51">
        <f>+O88-P88</f>
        <v>0</v>
      </c>
      <c r="R88" s="153"/>
      <c r="S88" s="154"/>
      <c r="T88" s="155" t="str">
        <f t="shared" si="109"/>
        <v/>
      </c>
      <c r="U88" s="22">
        <f>+K88/J88</f>
        <v>0</v>
      </c>
      <c r="V88" s="199">
        <f t="shared" si="110"/>
        <v>0</v>
      </c>
      <c r="W88" s="158"/>
      <c r="X88" s="159"/>
      <c r="Y88" s="199">
        <f t="shared" si="111"/>
        <v>0</v>
      </c>
      <c r="Z88" s="36"/>
      <c r="AA88" s="15"/>
      <c r="AB88" s="15"/>
      <c r="AC88" s="15"/>
      <c r="AD88" s="15"/>
      <c r="AE88" s="15"/>
      <c r="AF88" s="15"/>
      <c r="AG88" s="184"/>
      <c r="AH88" s="15"/>
      <c r="AI88" s="15"/>
      <c r="AJ88" s="15"/>
      <c r="AK88" s="15"/>
      <c r="AL88" s="15"/>
      <c r="AM88" s="15"/>
      <c r="AN88" s="184"/>
      <c r="AO88" s="15"/>
      <c r="AP88" s="15"/>
      <c r="AQ88" s="15"/>
      <c r="AR88" s="15"/>
      <c r="AS88" s="15"/>
      <c r="AT88" s="15"/>
      <c r="AU88" s="184"/>
      <c r="AV88" s="15"/>
      <c r="AW88" s="15"/>
      <c r="AX88" s="15"/>
      <c r="AY88" s="15"/>
      <c r="AZ88" s="15"/>
      <c r="BA88" s="15"/>
      <c r="BB88" s="184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84"/>
      <c r="CE88" s="15"/>
      <c r="CF88" s="15"/>
      <c r="CG88" s="15"/>
      <c r="CH88" s="15"/>
      <c r="CI88" s="15"/>
      <c r="CJ88" s="15"/>
      <c r="CK88" s="184"/>
      <c r="CL88" s="15"/>
      <c r="CM88" s="15"/>
      <c r="CN88" s="15"/>
      <c r="CO88" s="15"/>
      <c r="CP88" s="15"/>
      <c r="CQ88" s="15"/>
      <c r="CR88" s="184"/>
      <c r="CS88" s="15"/>
      <c r="CT88" s="15"/>
      <c r="CU88" s="15"/>
      <c r="CV88" s="15"/>
      <c r="CW88" s="15"/>
      <c r="CX88" s="15"/>
      <c r="CY88" s="184"/>
      <c r="CZ88" s="15"/>
      <c r="DA88" s="15"/>
      <c r="DB88" s="15"/>
      <c r="DC88" s="15"/>
      <c r="DD88" s="15"/>
      <c r="DE88" s="15"/>
      <c r="DF88" s="184"/>
      <c r="DG88" s="15"/>
      <c r="DH88" s="15"/>
      <c r="DI88" s="15"/>
      <c r="DJ88" s="15"/>
      <c r="DK88" s="15"/>
      <c r="DL88" s="15"/>
      <c r="DM88" s="184"/>
      <c r="DN88" s="15"/>
      <c r="DO88" s="15"/>
      <c r="DP88" s="15"/>
      <c r="DQ88" s="15"/>
      <c r="DR88" s="15"/>
      <c r="DS88" s="15"/>
      <c r="DT88" s="184"/>
      <c r="DU88" s="15"/>
      <c r="DV88" s="15"/>
      <c r="DW88" s="15"/>
      <c r="DX88" s="15"/>
      <c r="DY88" s="15"/>
      <c r="DZ88" s="15"/>
      <c r="EA88" s="184"/>
      <c r="EB88" s="15"/>
      <c r="EC88" s="15"/>
      <c r="ED88" s="15"/>
      <c r="EE88" s="15"/>
      <c r="EF88" s="15"/>
      <c r="EG88" s="15"/>
      <c r="EH88" s="184"/>
      <c r="EI88" s="15"/>
      <c r="EJ88" s="15"/>
      <c r="EK88" s="15"/>
      <c r="EL88" s="15"/>
      <c r="EM88" s="15"/>
      <c r="EN88" s="15"/>
      <c r="EO88" s="184"/>
      <c r="EP88" s="15"/>
      <c r="EQ88" s="15"/>
      <c r="ER88" s="15"/>
      <c r="ES88" s="15"/>
      <c r="ET88" s="15"/>
      <c r="EU88" s="15"/>
      <c r="EV88" s="184"/>
      <c r="EW88" s="15"/>
      <c r="EX88" s="15"/>
      <c r="EY88" s="15"/>
      <c r="EZ88" s="15"/>
      <c r="FA88" s="15"/>
      <c r="FB88" s="15"/>
      <c r="FC88" s="184"/>
      <c r="FD88" s="15"/>
      <c r="FE88" s="15"/>
      <c r="FF88" s="15"/>
      <c r="FG88" s="15"/>
      <c r="FH88" s="15"/>
      <c r="FI88" s="15"/>
      <c r="FJ88" s="184"/>
      <c r="FK88" s="15"/>
      <c r="FL88" s="15"/>
      <c r="FM88" s="15"/>
      <c r="FN88" s="15"/>
      <c r="FO88" s="15"/>
      <c r="FP88" s="15"/>
      <c r="FQ88" s="184"/>
      <c r="FR88" s="15"/>
      <c r="FS88" s="15"/>
      <c r="FT88" s="15"/>
      <c r="FU88" s="15"/>
      <c r="FV88" s="15"/>
      <c r="FW88" s="178"/>
      <c r="FX88" s="184"/>
      <c r="FY88" s="181"/>
      <c r="FZ88" s="15"/>
      <c r="GA88" s="15"/>
      <c r="GB88" s="15"/>
      <c r="GC88" s="15"/>
      <c r="GD88" s="15"/>
      <c r="GE88" s="184"/>
      <c r="GF88" s="15"/>
      <c r="GG88" s="15"/>
      <c r="GH88" s="15"/>
      <c r="GI88" s="15"/>
      <c r="GJ88" s="15"/>
      <c r="GK88" s="15"/>
      <c r="GL88" s="184"/>
      <c r="GM88" s="15"/>
      <c r="GN88" s="15"/>
      <c r="GO88" s="15"/>
      <c r="GP88" s="15"/>
      <c r="GQ88" s="15"/>
      <c r="GR88" s="15"/>
      <c r="GS88" s="184"/>
      <c r="GT88" s="15"/>
      <c r="GU88" s="15"/>
      <c r="GV88" s="15"/>
      <c r="GW88" s="15"/>
      <c r="GX88" s="15"/>
      <c r="GY88" s="15"/>
      <c r="GZ88" s="184"/>
      <c r="HA88" s="15"/>
      <c r="HB88" s="15"/>
      <c r="HC88" s="15"/>
      <c r="HD88" s="15"/>
      <c r="HE88" s="15"/>
      <c r="HF88" s="15"/>
      <c r="HG88" s="184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5"/>
      <c r="LL88" s="15"/>
      <c r="LM88" s="15"/>
      <c r="LN88" s="15"/>
      <c r="LO88" s="15"/>
      <c r="LP88" s="15"/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  <c r="MG88" s="15"/>
      <c r="MH88" s="15"/>
      <c r="MI88" s="15"/>
      <c r="MJ88" s="15"/>
      <c r="MK88" s="15"/>
      <c r="ML88" s="15"/>
      <c r="MM88" s="15"/>
      <c r="MN88" s="15"/>
      <c r="MO88" s="15"/>
      <c r="MP88" s="15"/>
      <c r="MQ88" s="15"/>
      <c r="MR88" s="15"/>
      <c r="MS88" s="15"/>
      <c r="MT88" s="15"/>
      <c r="MU88" s="15"/>
      <c r="MV88" s="15"/>
      <c r="MW88" s="15"/>
      <c r="MX88" s="15"/>
      <c r="MY88" s="15"/>
      <c r="MZ88" s="15"/>
      <c r="NA88" s="15"/>
      <c r="NB88" s="15"/>
      <c r="NC88" s="15"/>
      <c r="ND88" s="15"/>
      <c r="NE88" s="15"/>
      <c r="NF88" s="15"/>
      <c r="NG88" s="15"/>
      <c r="NH88" s="15"/>
      <c r="NI88" s="15"/>
      <c r="NJ88" s="15"/>
      <c r="NK88" s="15"/>
      <c r="NL88" s="15"/>
      <c r="NM88" s="15"/>
      <c r="NN88" s="15"/>
      <c r="NO88" s="15"/>
      <c r="NP88" s="15"/>
      <c r="NQ88" s="15"/>
      <c r="NR88" s="15"/>
      <c r="NS88" s="15"/>
      <c r="NT88" s="15"/>
      <c r="NU88" s="15"/>
      <c r="NV88" s="15"/>
      <c r="NW88" s="15"/>
      <c r="NX88" s="15"/>
      <c r="NY88" s="15"/>
      <c r="NZ88" s="15"/>
    </row>
    <row r="89" spans="2:390" ht="19.5" customHeight="1" thickBot="1" x14ac:dyDescent="0.5">
      <c r="E89" s="29"/>
      <c r="F89" s="31"/>
      <c r="G89" s="31"/>
      <c r="H89" s="72"/>
      <c r="I89" s="72"/>
      <c r="J89" s="55"/>
      <c r="K89" s="55"/>
      <c r="L89" s="55"/>
      <c r="M89" s="31"/>
      <c r="N89" s="31"/>
      <c r="O89" s="31"/>
      <c r="P89" s="31"/>
      <c r="Q89" s="31"/>
      <c r="R89" s="19"/>
      <c r="S89" s="20"/>
      <c r="T89" s="21" t="str">
        <f t="shared" si="109"/>
        <v/>
      </c>
      <c r="U89" s="22"/>
      <c r="V89" s="199">
        <f t="shared" si="110"/>
        <v>0</v>
      </c>
      <c r="W89" s="22"/>
      <c r="X89" s="22"/>
      <c r="Y89" s="199">
        <f t="shared" si="111"/>
        <v>0</v>
      </c>
      <c r="Z89" s="36"/>
      <c r="AA89" s="15"/>
      <c r="AB89" s="15"/>
      <c r="AC89" s="15"/>
      <c r="AD89" s="15"/>
      <c r="AE89" s="15"/>
      <c r="AF89" s="15"/>
      <c r="AG89" s="184"/>
      <c r="AH89" s="15"/>
      <c r="AI89" s="15"/>
      <c r="AJ89" s="15"/>
      <c r="AK89" s="15"/>
      <c r="AL89" s="15"/>
      <c r="AM89" s="15"/>
      <c r="AN89" s="184"/>
      <c r="AO89" s="15"/>
      <c r="AP89" s="15"/>
      <c r="AQ89" s="15"/>
      <c r="AR89" s="15"/>
      <c r="AS89" s="15"/>
      <c r="AT89" s="15"/>
      <c r="AU89" s="184"/>
      <c r="AV89" s="15"/>
      <c r="AW89" s="15"/>
      <c r="AX89" s="15"/>
      <c r="AY89" s="15"/>
      <c r="AZ89" s="15"/>
      <c r="BA89" s="15"/>
      <c r="BB89" s="184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84"/>
      <c r="CE89" s="15"/>
      <c r="CF89" s="15"/>
      <c r="CG89" s="15"/>
      <c r="CH89" s="15"/>
      <c r="CI89" s="15"/>
      <c r="CJ89" s="15"/>
      <c r="CK89" s="184"/>
      <c r="CL89" s="15"/>
      <c r="CM89" s="15"/>
      <c r="CN89" s="15"/>
      <c r="CO89" s="15"/>
      <c r="CP89" s="15"/>
      <c r="CQ89" s="15"/>
      <c r="CR89" s="184"/>
      <c r="CS89" s="15"/>
      <c r="CT89" s="15"/>
      <c r="CU89" s="15"/>
      <c r="CV89" s="15"/>
      <c r="CW89" s="15"/>
      <c r="CX89" s="15"/>
      <c r="CY89" s="184"/>
      <c r="CZ89" s="15"/>
      <c r="DA89" s="15"/>
      <c r="DB89" s="15"/>
      <c r="DC89" s="15"/>
      <c r="DD89" s="15"/>
      <c r="DE89" s="15"/>
      <c r="DF89" s="184"/>
      <c r="DG89" s="15"/>
      <c r="DH89" s="15"/>
      <c r="DI89" s="15"/>
      <c r="DJ89" s="15"/>
      <c r="DK89" s="15"/>
      <c r="DL89" s="15"/>
      <c r="DM89" s="184"/>
      <c r="DN89" s="15"/>
      <c r="DO89" s="15"/>
      <c r="DP89" s="15"/>
      <c r="DQ89" s="15"/>
      <c r="DR89" s="15"/>
      <c r="DS89" s="15"/>
      <c r="DT89" s="184"/>
      <c r="DU89" s="15"/>
      <c r="DV89" s="15"/>
      <c r="DW89" s="15"/>
      <c r="DX89" s="15"/>
      <c r="DY89" s="15"/>
      <c r="DZ89" s="15"/>
      <c r="EA89" s="184"/>
      <c r="EB89" s="15"/>
      <c r="EC89" s="15"/>
      <c r="ED89" s="15"/>
      <c r="EE89" s="15"/>
      <c r="EF89" s="15"/>
      <c r="EG89" s="15"/>
      <c r="EH89" s="184"/>
      <c r="EI89" s="15"/>
      <c r="EJ89" s="15"/>
      <c r="EK89" s="15"/>
      <c r="EL89" s="15"/>
      <c r="EM89" s="15"/>
      <c r="EN89" s="15"/>
      <c r="EO89" s="184"/>
      <c r="EP89" s="15"/>
      <c r="EQ89" s="15"/>
      <c r="ER89" s="15"/>
      <c r="ES89" s="15"/>
      <c r="ET89" s="15"/>
      <c r="EU89" s="15"/>
      <c r="EV89" s="184"/>
      <c r="EW89" s="15"/>
      <c r="EX89" s="15"/>
      <c r="EY89" s="15"/>
      <c r="EZ89" s="15"/>
      <c r="FA89" s="15"/>
      <c r="FB89" s="15"/>
      <c r="FC89" s="184"/>
      <c r="FD89" s="15"/>
      <c r="FE89" s="15"/>
      <c r="FF89" s="15"/>
      <c r="FG89" s="15"/>
      <c r="FH89" s="15"/>
      <c r="FI89" s="15"/>
      <c r="FJ89" s="184"/>
      <c r="FK89" s="15"/>
      <c r="FL89" s="15"/>
      <c r="FM89" s="15"/>
      <c r="FN89" s="15"/>
      <c r="FO89" s="15"/>
      <c r="FP89" s="15"/>
      <c r="FQ89" s="184"/>
      <c r="FR89" s="15"/>
      <c r="FS89" s="15"/>
      <c r="FT89" s="15"/>
      <c r="FU89" s="15"/>
      <c r="FV89" s="15"/>
      <c r="FW89" s="178"/>
      <c r="FX89" s="184"/>
      <c r="FY89" s="181"/>
      <c r="FZ89" s="15"/>
      <c r="GA89" s="15"/>
      <c r="GB89" s="15"/>
      <c r="GC89" s="15"/>
      <c r="GD89" s="15"/>
      <c r="GE89" s="184"/>
      <c r="GF89" s="15"/>
      <c r="GG89" s="15"/>
      <c r="GH89" s="15"/>
      <c r="GI89" s="15"/>
      <c r="GJ89" s="15"/>
      <c r="GK89" s="15"/>
      <c r="GL89" s="184"/>
      <c r="GM89" s="15"/>
      <c r="GN89" s="15"/>
      <c r="GO89" s="15"/>
      <c r="GP89" s="15"/>
      <c r="GQ89" s="15"/>
      <c r="GR89" s="15"/>
      <c r="GS89" s="184"/>
      <c r="GT89" s="15"/>
      <c r="GU89" s="15"/>
      <c r="GV89" s="15"/>
      <c r="GW89" s="15"/>
      <c r="GX89" s="15"/>
      <c r="GY89" s="15"/>
      <c r="GZ89" s="184"/>
      <c r="HA89" s="15"/>
      <c r="HB89" s="15"/>
      <c r="HC89" s="15"/>
      <c r="HD89" s="15"/>
      <c r="HE89" s="15"/>
      <c r="HF89" s="15"/>
      <c r="HG89" s="184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  <c r="MG89" s="15"/>
      <c r="MH89" s="15"/>
      <c r="MI89" s="15"/>
      <c r="MJ89" s="15"/>
      <c r="MK89" s="15"/>
      <c r="ML89" s="15"/>
      <c r="MM89" s="15"/>
      <c r="MN89" s="15"/>
      <c r="MO89" s="15"/>
      <c r="MP89" s="15"/>
      <c r="MQ89" s="15"/>
      <c r="MR89" s="15"/>
      <c r="MS89" s="15"/>
      <c r="MT89" s="15"/>
      <c r="MU89" s="15"/>
      <c r="MV89" s="15"/>
      <c r="MW89" s="15"/>
      <c r="MX89" s="15"/>
      <c r="MY89" s="15"/>
      <c r="MZ89" s="15"/>
      <c r="NA89" s="15"/>
      <c r="NB89" s="15"/>
      <c r="NC89" s="15"/>
      <c r="ND89" s="15"/>
      <c r="NE89" s="15"/>
      <c r="NF89" s="15"/>
      <c r="NG89" s="15"/>
      <c r="NH89" s="15"/>
      <c r="NI89" s="15"/>
      <c r="NJ89" s="15"/>
      <c r="NK89" s="15"/>
      <c r="NL89" s="15"/>
      <c r="NM89" s="15"/>
      <c r="NN89" s="15"/>
      <c r="NO89" s="15"/>
      <c r="NP89" s="15"/>
      <c r="NQ89" s="15"/>
      <c r="NR89" s="15"/>
      <c r="NS89" s="15"/>
      <c r="NT89" s="15"/>
      <c r="NU89" s="15"/>
      <c r="NV89" s="15"/>
      <c r="NW89" s="15"/>
      <c r="NX89" s="15"/>
      <c r="NY89" s="15"/>
      <c r="NZ89" s="15"/>
    </row>
    <row r="90" spans="2:390" ht="19.5" customHeight="1" x14ac:dyDescent="0.45">
      <c r="B90" s="1">
        <f>+B58+1</f>
        <v>3</v>
      </c>
      <c r="C90" s="1">
        <v>0</v>
      </c>
      <c r="D90" s="1">
        <v>0</v>
      </c>
      <c r="E90" s="112" t="str">
        <f t="shared" ref="E90:E124" si="112">B90&amp;"."&amp;C90&amp;"."&amp;D90</f>
        <v>3.0.0</v>
      </c>
      <c r="F90" s="103" t="s">
        <v>21</v>
      </c>
      <c r="G90" s="103"/>
      <c r="H90" s="104"/>
      <c r="I90" s="104"/>
      <c r="J90" s="105"/>
      <c r="K90" s="105"/>
      <c r="L90" s="105"/>
      <c r="M90" s="103"/>
      <c r="N90" s="103"/>
      <c r="O90" s="106">
        <f>+SUM(O91,O96,O99,O105,O112,O120)</f>
        <v>936</v>
      </c>
      <c r="P90" s="106"/>
      <c r="Q90" s="106"/>
      <c r="R90" s="107"/>
      <c r="S90" s="107"/>
      <c r="T90" s="194">
        <f>+MAX(T91:T124)</f>
        <v>46171</v>
      </c>
      <c r="U90" s="160">
        <f>+SUM(O91*U91,O96*U96,O99*U99,O105*U105,O112*U112,O120*U120)/O90</f>
        <v>0</v>
      </c>
      <c r="V90" s="202">
        <f t="shared" si="110"/>
        <v>0</v>
      </c>
      <c r="W90" s="32"/>
      <c r="X90" s="32"/>
      <c r="Y90" s="205">
        <f t="shared" si="111"/>
        <v>0</v>
      </c>
      <c r="Z90" s="38"/>
      <c r="AA90" s="15"/>
      <c r="AB90" s="15"/>
      <c r="AC90" s="15"/>
      <c r="AD90" s="15"/>
      <c r="AE90" s="15"/>
      <c r="AF90" s="15"/>
      <c r="AG90" s="184"/>
      <c r="AH90" s="15"/>
      <c r="AI90" s="15"/>
      <c r="AJ90" s="15"/>
      <c r="AK90" s="15"/>
      <c r="AL90" s="15"/>
      <c r="AM90" s="15"/>
      <c r="AN90" s="184"/>
      <c r="AO90" s="15"/>
      <c r="AP90" s="15"/>
      <c r="AQ90" s="15"/>
      <c r="AR90" s="15"/>
      <c r="AS90" s="15"/>
      <c r="AT90" s="15"/>
      <c r="AU90" s="184"/>
      <c r="AV90" s="15"/>
      <c r="AW90" s="15"/>
      <c r="AX90" s="15"/>
      <c r="AY90" s="15"/>
      <c r="AZ90" s="15"/>
      <c r="BA90" s="15"/>
      <c r="BB90" s="184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84"/>
      <c r="CE90" s="15"/>
      <c r="CF90" s="15"/>
      <c r="CG90" s="15"/>
      <c r="CH90" s="15"/>
      <c r="CI90" s="15"/>
      <c r="CJ90" s="15"/>
      <c r="CK90" s="184"/>
      <c r="CL90" s="15"/>
      <c r="CM90" s="15"/>
      <c r="CN90" s="15"/>
      <c r="CO90" s="15"/>
      <c r="CP90" s="15"/>
      <c r="CQ90" s="15"/>
      <c r="CR90" s="184"/>
      <c r="CS90" s="15"/>
      <c r="CT90" s="15"/>
      <c r="CU90" s="15"/>
      <c r="CV90" s="15"/>
      <c r="CW90" s="15"/>
      <c r="CX90" s="15"/>
      <c r="CY90" s="184"/>
      <c r="CZ90" s="15"/>
      <c r="DA90" s="15"/>
      <c r="DB90" s="15"/>
      <c r="DC90" s="15"/>
      <c r="DD90" s="15"/>
      <c r="DE90" s="15"/>
      <c r="DF90" s="184"/>
      <c r="DG90" s="15"/>
      <c r="DH90" s="15"/>
      <c r="DI90" s="15"/>
      <c r="DJ90" s="15"/>
      <c r="DK90" s="15"/>
      <c r="DL90" s="15"/>
      <c r="DM90" s="184"/>
      <c r="DN90" s="15"/>
      <c r="DO90" s="15"/>
      <c r="DP90" s="15"/>
      <c r="DQ90" s="15"/>
      <c r="DR90" s="15"/>
      <c r="DS90" s="15"/>
      <c r="DT90" s="184"/>
      <c r="DU90" s="15"/>
      <c r="DV90" s="15"/>
      <c r="DW90" s="15"/>
      <c r="DX90" s="15"/>
      <c r="DY90" s="15"/>
      <c r="DZ90" s="15"/>
      <c r="EA90" s="184"/>
      <c r="EB90" s="15"/>
      <c r="EC90" s="15"/>
      <c r="ED90" s="15"/>
      <c r="EE90" s="15"/>
      <c r="EF90" s="15"/>
      <c r="EG90" s="15"/>
      <c r="EH90" s="184"/>
      <c r="EI90" s="15"/>
      <c r="EJ90" s="15"/>
      <c r="EK90" s="15"/>
      <c r="EL90" s="15"/>
      <c r="EM90" s="15"/>
      <c r="EN90" s="15"/>
      <c r="EO90" s="184"/>
      <c r="EP90" s="15"/>
      <c r="EQ90" s="15"/>
      <c r="ER90" s="15"/>
      <c r="ES90" s="15"/>
      <c r="ET90" s="15"/>
      <c r="EU90" s="15"/>
      <c r="EV90" s="184"/>
      <c r="EW90" s="15"/>
      <c r="EX90" s="15"/>
      <c r="EY90" s="15"/>
      <c r="EZ90" s="15"/>
      <c r="FA90" s="15"/>
      <c r="FB90" s="15"/>
      <c r="FC90" s="184"/>
      <c r="FD90" s="15"/>
      <c r="FE90" s="15"/>
      <c r="FF90" s="15"/>
      <c r="FG90" s="15"/>
      <c r="FH90" s="15"/>
      <c r="FI90" s="15"/>
      <c r="FJ90" s="184"/>
      <c r="FK90" s="15"/>
      <c r="FL90" s="15"/>
      <c r="FM90" s="15"/>
      <c r="FN90" s="15"/>
      <c r="FO90" s="15"/>
      <c r="FP90" s="15"/>
      <c r="FQ90" s="184"/>
      <c r="FR90" s="15"/>
      <c r="FS90" s="15"/>
      <c r="FT90" s="15"/>
      <c r="FU90" s="15"/>
      <c r="FV90" s="15"/>
      <c r="FW90" s="178"/>
      <c r="FX90" s="184"/>
      <c r="FY90" s="181"/>
      <c r="FZ90" s="15"/>
      <c r="GA90" s="15"/>
      <c r="GB90" s="15"/>
      <c r="GC90" s="15"/>
      <c r="GD90" s="15"/>
      <c r="GE90" s="184"/>
      <c r="GF90" s="15"/>
      <c r="GG90" s="15"/>
      <c r="GH90" s="15"/>
      <c r="GI90" s="15"/>
      <c r="GJ90" s="15"/>
      <c r="GK90" s="15"/>
      <c r="GL90" s="184"/>
      <c r="GM90" s="15"/>
      <c r="GN90" s="15"/>
      <c r="GO90" s="15"/>
      <c r="GP90" s="15"/>
      <c r="GQ90" s="15"/>
      <c r="GR90" s="15"/>
      <c r="GS90" s="184"/>
      <c r="GT90" s="15"/>
      <c r="GU90" s="15"/>
      <c r="GV90" s="15"/>
      <c r="GW90" s="15"/>
      <c r="GX90" s="15"/>
      <c r="GY90" s="15"/>
      <c r="GZ90" s="184"/>
      <c r="HA90" s="15"/>
      <c r="HB90" s="15"/>
      <c r="HC90" s="15"/>
      <c r="HD90" s="15"/>
      <c r="HE90" s="15"/>
      <c r="HF90" s="15"/>
      <c r="HG90" s="184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/>
      <c r="KE90" s="15"/>
      <c r="KF90" s="15"/>
      <c r="KG90" s="15"/>
      <c r="KH90" s="15"/>
      <c r="KI90" s="15"/>
      <c r="KJ90" s="15"/>
      <c r="KK90" s="15"/>
      <c r="KL90" s="15"/>
      <c r="KM90" s="15"/>
      <c r="KN90" s="15"/>
      <c r="KO90" s="15"/>
      <c r="KP90" s="15"/>
      <c r="KQ90" s="15"/>
      <c r="KR90" s="15"/>
      <c r="KS90" s="15"/>
      <c r="KT90" s="15"/>
      <c r="KU90" s="15"/>
      <c r="KV90" s="15"/>
      <c r="KW90" s="15"/>
      <c r="KX90" s="15"/>
      <c r="KY90" s="15"/>
      <c r="KZ90" s="15"/>
      <c r="LA90" s="15"/>
      <c r="LB90" s="15"/>
      <c r="LC90" s="15"/>
      <c r="LD90" s="15"/>
      <c r="LE90" s="15"/>
      <c r="LF90" s="15"/>
      <c r="LG90" s="15"/>
      <c r="LH90" s="15"/>
      <c r="LI90" s="15"/>
      <c r="LJ90" s="15"/>
      <c r="LK90" s="15"/>
      <c r="LL90" s="15"/>
      <c r="LM90" s="15"/>
      <c r="LN90" s="15"/>
      <c r="LO90" s="15"/>
      <c r="LP90" s="15"/>
      <c r="LQ90" s="15"/>
      <c r="LR90" s="15"/>
      <c r="LS90" s="15"/>
      <c r="LT90" s="15"/>
      <c r="LU90" s="15"/>
      <c r="LV90" s="15"/>
      <c r="LW90" s="15"/>
      <c r="LX90" s="15"/>
      <c r="LY90" s="15"/>
      <c r="LZ90" s="15"/>
      <c r="MA90" s="15"/>
      <c r="MB90" s="15"/>
      <c r="MC90" s="15"/>
      <c r="MD90" s="15"/>
      <c r="ME90" s="15"/>
      <c r="MF90" s="15"/>
      <c r="MG90" s="15"/>
      <c r="MH90" s="15"/>
      <c r="MI90" s="15"/>
      <c r="MJ90" s="15"/>
      <c r="MK90" s="15"/>
      <c r="ML90" s="15"/>
      <c r="MM90" s="15"/>
      <c r="MN90" s="15"/>
      <c r="MO90" s="15"/>
      <c r="MP90" s="15"/>
      <c r="MQ90" s="15"/>
      <c r="MR90" s="15"/>
      <c r="MS90" s="15"/>
      <c r="MT90" s="15"/>
      <c r="MU90" s="15"/>
      <c r="MV90" s="15"/>
      <c r="MW90" s="15"/>
      <c r="MX90" s="15"/>
      <c r="MY90" s="15"/>
      <c r="MZ90" s="15"/>
      <c r="NA90" s="15"/>
      <c r="NB90" s="15"/>
      <c r="NC90" s="15"/>
      <c r="ND90" s="15"/>
      <c r="NE90" s="15"/>
      <c r="NF90" s="15"/>
      <c r="NG90" s="15"/>
      <c r="NH90" s="15"/>
      <c r="NI90" s="15"/>
      <c r="NJ90" s="15"/>
      <c r="NK90" s="15"/>
      <c r="NL90" s="15"/>
      <c r="NM90" s="15"/>
      <c r="NN90" s="15"/>
      <c r="NO90" s="15"/>
      <c r="NP90" s="15"/>
      <c r="NQ90" s="15"/>
      <c r="NR90" s="15"/>
      <c r="NS90" s="15"/>
      <c r="NT90" s="15"/>
      <c r="NU90" s="15"/>
      <c r="NV90" s="15"/>
      <c r="NW90" s="15"/>
      <c r="NX90" s="15"/>
      <c r="NY90" s="15"/>
      <c r="NZ90" s="15"/>
    </row>
    <row r="91" spans="2:390" ht="19.5" customHeight="1" x14ac:dyDescent="0.45">
      <c r="B91" s="1">
        <f>+B90</f>
        <v>3</v>
      </c>
      <c r="C91" s="1">
        <f>+C90+1</f>
        <v>1</v>
      </c>
      <c r="D91" s="1">
        <v>0</v>
      </c>
      <c r="E91" s="93" t="str">
        <f t="shared" si="112"/>
        <v>3.1.0</v>
      </c>
      <c r="F91" s="94" t="s">
        <v>35</v>
      </c>
      <c r="G91" s="94"/>
      <c r="H91" s="95"/>
      <c r="I91" s="95"/>
      <c r="J91" s="96"/>
      <c r="K91" s="96"/>
      <c r="L91" s="96"/>
      <c r="M91" s="94"/>
      <c r="N91" s="94"/>
      <c r="O91" s="95">
        <f>SUM(O92:O95)</f>
        <v>108</v>
      </c>
      <c r="P91" s="95"/>
      <c r="Q91" s="95"/>
      <c r="R91" s="168"/>
      <c r="S91" s="98"/>
      <c r="T91" s="163" t="str">
        <f t="shared" si="109"/>
        <v/>
      </c>
      <c r="U91" s="164">
        <f>+SUMPRODUCT(U92:U95,O92:O95)/O91</f>
        <v>0</v>
      </c>
      <c r="V91" s="200">
        <f t="shared" si="110"/>
        <v>0</v>
      </c>
      <c r="W91" s="158">
        <f>SUMIFS($AA91:$NZ91, $AA$8:$NZ$8, $W$13)/$O91</f>
        <v>0</v>
      </c>
      <c r="X91" s="159">
        <f t="shared" ref="X91:X96" si="113">SUMIF($AA$9:$NZ$9, "&lt;=" &amp; $W$11,$AA91:$NZ91)/$O91</f>
        <v>0</v>
      </c>
      <c r="Y91" s="199">
        <f t="shared" si="111"/>
        <v>0</v>
      </c>
      <c r="Z91" s="36"/>
      <c r="AA91" s="15"/>
      <c r="AB91" s="15"/>
      <c r="AC91" s="15"/>
      <c r="AD91" s="15"/>
      <c r="AE91" s="15"/>
      <c r="AF91" s="15"/>
      <c r="AG91" s="184"/>
      <c r="AH91" s="15"/>
      <c r="AI91" s="15"/>
      <c r="AJ91" s="15"/>
      <c r="AK91" s="15"/>
      <c r="AL91" s="15"/>
      <c r="AM91" s="15"/>
      <c r="AN91" s="184"/>
      <c r="AO91" s="15"/>
      <c r="AP91" s="15"/>
      <c r="AQ91" s="15"/>
      <c r="AR91" s="15"/>
      <c r="AS91" s="15"/>
      <c r="AT91" s="15"/>
      <c r="AU91" s="184"/>
      <c r="AV91" s="15"/>
      <c r="AW91" s="15"/>
      <c r="AX91" s="15"/>
      <c r="AY91" s="15"/>
      <c r="AZ91" s="15"/>
      <c r="BA91" s="15"/>
      <c r="BB91" s="184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84"/>
      <c r="CE91" s="15"/>
      <c r="CF91" s="15"/>
      <c r="CG91" s="15"/>
      <c r="CH91" s="15"/>
      <c r="CI91" s="15"/>
      <c r="CJ91" s="15"/>
      <c r="CK91" s="184"/>
      <c r="CL91" s="15"/>
      <c r="CM91" s="15"/>
      <c r="CN91" s="15"/>
      <c r="CO91" s="15"/>
      <c r="CP91" s="15"/>
      <c r="CQ91" s="15"/>
      <c r="CR91" s="184"/>
      <c r="CS91" s="15"/>
      <c r="CT91" s="15"/>
      <c r="CU91" s="15"/>
      <c r="CV91" s="15"/>
      <c r="CW91" s="15"/>
      <c r="CX91" s="15"/>
      <c r="CY91" s="184"/>
      <c r="CZ91" s="15"/>
      <c r="DA91" s="15"/>
      <c r="DB91" s="15"/>
      <c r="DC91" s="15"/>
      <c r="DD91" s="15"/>
      <c r="DE91" s="15"/>
      <c r="DF91" s="184"/>
      <c r="DG91" s="15"/>
      <c r="DH91" s="15"/>
      <c r="DI91" s="15"/>
      <c r="DJ91" s="15"/>
      <c r="DK91" s="15"/>
      <c r="DL91" s="15"/>
      <c r="DM91" s="184"/>
      <c r="DN91" s="15"/>
      <c r="DO91" s="15"/>
      <c r="DP91" s="15"/>
      <c r="DQ91" s="15"/>
      <c r="DR91" s="15"/>
      <c r="DS91" s="15"/>
      <c r="DT91" s="184"/>
      <c r="DU91" s="15"/>
      <c r="DV91" s="15"/>
      <c r="DW91" s="15"/>
      <c r="DX91" s="15"/>
      <c r="DY91" s="15"/>
      <c r="DZ91" s="15"/>
      <c r="EA91" s="184"/>
      <c r="EB91" s="15"/>
      <c r="EC91" s="15"/>
      <c r="ED91" s="15"/>
      <c r="EE91" s="15"/>
      <c r="EF91" s="15"/>
      <c r="EG91" s="15"/>
      <c r="EH91" s="184"/>
      <c r="EI91" s="15"/>
      <c r="EJ91" s="15"/>
      <c r="EK91" s="15"/>
      <c r="EL91" s="15"/>
      <c r="EM91" s="15"/>
      <c r="EN91" s="15"/>
      <c r="EO91" s="184"/>
      <c r="EP91" s="15"/>
      <c r="EQ91" s="15"/>
      <c r="ER91" s="15"/>
      <c r="ES91" s="15"/>
      <c r="ET91" s="15"/>
      <c r="EU91" s="15"/>
      <c r="EV91" s="184"/>
      <c r="EW91" s="15"/>
      <c r="EX91" s="15"/>
      <c r="EY91" s="15"/>
      <c r="EZ91" s="15"/>
      <c r="FA91" s="15"/>
      <c r="FB91" s="15"/>
      <c r="FC91" s="184"/>
      <c r="FD91" s="15"/>
      <c r="FE91" s="15"/>
      <c r="FF91" s="15"/>
      <c r="FG91" s="15"/>
      <c r="FH91" s="15"/>
      <c r="FI91" s="15"/>
      <c r="FJ91" s="184"/>
      <c r="FK91" s="15"/>
      <c r="FL91" s="15"/>
      <c r="FM91" s="15"/>
      <c r="FN91" s="15"/>
      <c r="FO91" s="15"/>
      <c r="FP91" s="15"/>
      <c r="FQ91" s="184"/>
      <c r="FR91" s="15"/>
      <c r="FS91" s="15"/>
      <c r="FT91" s="15"/>
      <c r="FU91" s="15"/>
      <c r="FV91" s="15"/>
      <c r="FW91" s="178"/>
      <c r="FX91" s="184"/>
      <c r="FY91" s="181"/>
      <c r="FZ91" s="15"/>
      <c r="GA91" s="15"/>
      <c r="GB91" s="15"/>
      <c r="GC91" s="15"/>
      <c r="GD91" s="15"/>
      <c r="GE91" s="184"/>
      <c r="GF91" s="15"/>
      <c r="GG91" s="15"/>
      <c r="GH91" s="15"/>
      <c r="GI91" s="15"/>
      <c r="GJ91" s="15"/>
      <c r="GK91" s="15"/>
      <c r="GL91" s="184"/>
      <c r="GM91" s="15"/>
      <c r="GN91" s="15"/>
      <c r="GO91" s="15"/>
      <c r="GP91" s="15"/>
      <c r="GQ91" s="15"/>
      <c r="GR91" s="15"/>
      <c r="GS91" s="184"/>
      <c r="GT91" s="15"/>
      <c r="GU91" s="15"/>
      <c r="GV91" s="15"/>
      <c r="GW91" s="15"/>
      <c r="GX91" s="15"/>
      <c r="GY91" s="15"/>
      <c r="GZ91" s="184"/>
      <c r="HA91" s="15"/>
      <c r="HB91" s="15"/>
      <c r="HC91" s="15"/>
      <c r="HD91" s="15"/>
      <c r="HE91" s="15"/>
      <c r="HF91" s="15"/>
      <c r="HG91" s="184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/>
      <c r="LI91" s="15"/>
      <c r="LJ91" s="15"/>
      <c r="LK91" s="15"/>
      <c r="LL91" s="15"/>
      <c r="LM91" s="15"/>
      <c r="LN91" s="15"/>
      <c r="LO91" s="15"/>
      <c r="LP91" s="15"/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  <c r="MG91" s="15"/>
      <c r="MH91" s="15"/>
      <c r="MI91" s="15"/>
      <c r="MJ91" s="15"/>
      <c r="MK91" s="15"/>
      <c r="ML91" s="15"/>
      <c r="MM91" s="15"/>
      <c r="MN91" s="15"/>
      <c r="MO91" s="15"/>
      <c r="MP91" s="15"/>
      <c r="MQ91" s="15"/>
      <c r="MR91" s="15"/>
      <c r="MS91" s="15"/>
      <c r="MT91" s="15"/>
      <c r="MU91" s="15"/>
      <c r="MV91" s="15"/>
      <c r="MW91" s="15"/>
      <c r="MX91" s="15"/>
      <c r="MY91" s="15"/>
      <c r="MZ91" s="15"/>
      <c r="NA91" s="15"/>
      <c r="NB91" s="15"/>
      <c r="NC91" s="15"/>
      <c r="ND91" s="15"/>
      <c r="NE91" s="15"/>
      <c r="NF91" s="15"/>
      <c r="NG91" s="15"/>
      <c r="NH91" s="15"/>
      <c r="NI91" s="15"/>
      <c r="NJ91" s="15"/>
      <c r="NK91" s="15"/>
      <c r="NL91" s="15"/>
      <c r="NM91" s="15"/>
      <c r="NN91" s="15"/>
      <c r="NO91" s="15"/>
      <c r="NP91" s="15"/>
      <c r="NQ91" s="15"/>
      <c r="NR91" s="15"/>
      <c r="NS91" s="15"/>
      <c r="NT91" s="15"/>
      <c r="NU91" s="15"/>
      <c r="NV91" s="15"/>
      <c r="NW91" s="15"/>
      <c r="NX91" s="15"/>
      <c r="NY91" s="15"/>
      <c r="NZ91" s="15"/>
    </row>
    <row r="92" spans="2:390" ht="19.5" customHeight="1" x14ac:dyDescent="0.45">
      <c r="B92" s="1">
        <f>+B91</f>
        <v>3</v>
      </c>
      <c r="C92" s="1">
        <f>+C91</f>
        <v>1</v>
      </c>
      <c r="D92" s="1">
        <f>+D91+1</f>
        <v>1</v>
      </c>
      <c r="E92" s="59" t="str">
        <f t="shared" si="112"/>
        <v>3.1.1</v>
      </c>
      <c r="F92" s="23" t="s">
        <v>36</v>
      </c>
      <c r="G92" s="191">
        <v>2.6</v>
      </c>
      <c r="H92" s="52" t="s">
        <v>117</v>
      </c>
      <c r="I92" s="52" t="s">
        <v>156</v>
      </c>
      <c r="J92" s="52">
        <v>62</v>
      </c>
      <c r="K92" s="52">
        <v>0</v>
      </c>
      <c r="L92" s="52">
        <f>+J92-K92</f>
        <v>62</v>
      </c>
      <c r="M92" s="20">
        <v>2</v>
      </c>
      <c r="N92" s="20">
        <v>18</v>
      </c>
      <c r="O92" s="51">
        <f>+N92*M92</f>
        <v>36</v>
      </c>
      <c r="P92" s="51">
        <f>+SUM(AA92:NZ92)</f>
        <v>36</v>
      </c>
      <c r="Q92" s="51">
        <f>+O92-P92</f>
        <v>0</v>
      </c>
      <c r="R92" s="19">
        <v>46069</v>
      </c>
      <c r="S92" s="20">
        <v>15</v>
      </c>
      <c r="T92" s="21">
        <f t="shared" si="109"/>
        <v>46087</v>
      </c>
      <c r="U92" s="22">
        <f>+K92/J92</f>
        <v>0</v>
      </c>
      <c r="V92" s="199">
        <f t="shared" si="110"/>
        <v>0</v>
      </c>
      <c r="W92" s="158">
        <f>SUMIFS($AA92:$NZ92, $AA$8:$NZ$8, $W$13)/$O92</f>
        <v>0</v>
      </c>
      <c r="X92" s="159">
        <f t="shared" si="113"/>
        <v>0</v>
      </c>
      <c r="Y92" s="199">
        <f t="shared" si="111"/>
        <v>0</v>
      </c>
      <c r="Z92" s="36"/>
      <c r="AA92" s="15"/>
      <c r="AB92" s="15"/>
      <c r="AC92" s="15"/>
      <c r="AD92" s="15"/>
      <c r="AE92" s="15"/>
      <c r="AF92" s="15"/>
      <c r="AG92" s="184"/>
      <c r="AH92" s="15"/>
      <c r="AI92" s="15"/>
      <c r="AJ92" s="15"/>
      <c r="AK92" s="15"/>
      <c r="AL92" s="15"/>
      <c r="AM92" s="15"/>
      <c r="AN92" s="184"/>
      <c r="AO92" s="15"/>
      <c r="AP92" s="15"/>
      <c r="AQ92" s="15"/>
      <c r="AR92" s="15"/>
      <c r="AS92" s="15"/>
      <c r="AT92" s="15"/>
      <c r="AU92" s="184"/>
      <c r="AV92" s="15"/>
      <c r="AW92" s="15"/>
      <c r="AX92" s="15"/>
      <c r="AY92" s="15"/>
      <c r="AZ92" s="15"/>
      <c r="BA92" s="15"/>
      <c r="BB92" s="184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84"/>
      <c r="CE92" s="15"/>
      <c r="CF92" s="15"/>
      <c r="CG92" s="15"/>
      <c r="CH92" s="15"/>
      <c r="CI92" s="15"/>
      <c r="CJ92" s="15"/>
      <c r="CK92" s="184"/>
      <c r="CL92" s="15"/>
      <c r="CM92" s="15"/>
      <c r="CN92" s="15"/>
      <c r="CO92" s="15"/>
      <c r="CP92" s="15"/>
      <c r="CQ92" s="15"/>
      <c r="CR92" s="184"/>
      <c r="CS92" s="15"/>
      <c r="CT92" s="15"/>
      <c r="CU92" s="15"/>
      <c r="CV92" s="15"/>
      <c r="CW92" s="15"/>
      <c r="CX92" s="15"/>
      <c r="CY92" s="184"/>
      <c r="CZ92" s="15"/>
      <c r="DA92" s="15"/>
      <c r="DB92" s="15"/>
      <c r="DC92" s="15"/>
      <c r="DD92" s="15"/>
      <c r="DE92" s="15"/>
      <c r="DF92" s="184"/>
      <c r="DG92" s="15">
        <v>2</v>
      </c>
      <c r="DH92" s="15">
        <v>2</v>
      </c>
      <c r="DI92" s="15">
        <v>2</v>
      </c>
      <c r="DJ92" s="15">
        <v>2</v>
      </c>
      <c r="DK92" s="15">
        <v>2</v>
      </c>
      <c r="DL92" s="15">
        <v>2</v>
      </c>
      <c r="DM92" s="184"/>
      <c r="DN92" s="15">
        <v>2</v>
      </c>
      <c r="DO92" s="15">
        <v>2</v>
      </c>
      <c r="DP92" s="15">
        <v>2</v>
      </c>
      <c r="DQ92" s="15">
        <v>2</v>
      </c>
      <c r="DR92" s="15">
        <v>2</v>
      </c>
      <c r="DS92" s="15">
        <v>2</v>
      </c>
      <c r="DT92" s="184"/>
      <c r="DU92" s="15">
        <v>2</v>
      </c>
      <c r="DV92" s="15">
        <v>2</v>
      </c>
      <c r="DW92" s="15">
        <v>2</v>
      </c>
      <c r="DX92" s="15">
        <v>2</v>
      </c>
      <c r="DY92" s="15">
        <v>2</v>
      </c>
      <c r="DZ92" s="15">
        <v>2</v>
      </c>
      <c r="EA92" s="184"/>
      <c r="EB92" s="15"/>
      <c r="EC92" s="15"/>
      <c r="ED92" s="15"/>
      <c r="EE92" s="15"/>
      <c r="EF92" s="15"/>
      <c r="EG92" s="15"/>
      <c r="EH92" s="184"/>
      <c r="EI92" s="15"/>
      <c r="EJ92" s="15"/>
      <c r="EK92" s="15"/>
      <c r="EL92" s="15"/>
      <c r="EM92" s="15"/>
      <c r="EN92" s="15"/>
      <c r="EO92" s="184"/>
      <c r="EP92" s="15"/>
      <c r="EQ92" s="15"/>
      <c r="ER92" s="15"/>
      <c r="ES92" s="15"/>
      <c r="ET92" s="15"/>
      <c r="EU92" s="15"/>
      <c r="EV92" s="184"/>
      <c r="EW92" s="15"/>
      <c r="EX92" s="15"/>
      <c r="EY92" s="15"/>
      <c r="EZ92" s="15"/>
      <c r="FA92" s="15"/>
      <c r="FB92" s="15"/>
      <c r="FC92" s="184"/>
      <c r="FD92" s="15"/>
      <c r="FE92" s="15"/>
      <c r="FF92" s="15"/>
      <c r="FG92" s="15"/>
      <c r="FH92" s="15"/>
      <c r="FI92" s="15"/>
      <c r="FJ92" s="184"/>
      <c r="FK92" s="15"/>
      <c r="FL92" s="15"/>
      <c r="FM92" s="15"/>
      <c r="FN92" s="15"/>
      <c r="FO92" s="15"/>
      <c r="FP92" s="15"/>
      <c r="FQ92" s="184"/>
      <c r="FR92" s="15"/>
      <c r="FS92" s="15"/>
      <c r="FT92" s="15"/>
      <c r="FU92" s="15"/>
      <c r="FV92" s="15"/>
      <c r="FW92" s="178"/>
      <c r="FX92" s="184"/>
      <c r="FY92" s="181"/>
      <c r="FZ92" s="15"/>
      <c r="GA92" s="15"/>
      <c r="GB92" s="15"/>
      <c r="GC92" s="15"/>
      <c r="GD92" s="15"/>
      <c r="GE92" s="184"/>
      <c r="GF92" s="15"/>
      <c r="GG92" s="15"/>
      <c r="GH92" s="15"/>
      <c r="GI92" s="15"/>
      <c r="GJ92" s="15"/>
      <c r="GK92" s="15"/>
      <c r="GL92" s="184"/>
      <c r="GM92" s="15"/>
      <c r="GN92" s="15"/>
      <c r="GO92" s="15"/>
      <c r="GP92" s="15"/>
      <c r="GQ92" s="15"/>
      <c r="GR92" s="15"/>
      <c r="GS92" s="184"/>
      <c r="GT92" s="15"/>
      <c r="GU92" s="15"/>
      <c r="GV92" s="15"/>
      <c r="GW92" s="15"/>
      <c r="GX92" s="15"/>
      <c r="GY92" s="15"/>
      <c r="GZ92" s="184"/>
      <c r="HA92" s="15"/>
      <c r="HB92" s="15"/>
      <c r="HC92" s="15"/>
      <c r="HD92" s="15"/>
      <c r="HE92" s="15"/>
      <c r="HF92" s="15"/>
      <c r="HG92" s="184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  <c r="JT92" s="15"/>
      <c r="JU92" s="15"/>
      <c r="JV92" s="15"/>
      <c r="JW92" s="15"/>
      <c r="JX92" s="15"/>
      <c r="JY92" s="15"/>
      <c r="JZ92" s="15"/>
      <c r="KA92" s="15"/>
      <c r="KB92" s="15"/>
      <c r="KC92" s="15"/>
      <c r="KD92" s="15"/>
      <c r="KE92" s="15"/>
      <c r="KF92" s="15"/>
      <c r="KG92" s="15"/>
      <c r="KH92" s="15"/>
      <c r="KI92" s="15"/>
      <c r="KJ92" s="15"/>
      <c r="KK92" s="15"/>
      <c r="KL92" s="15"/>
      <c r="KM92" s="15"/>
      <c r="KN92" s="15"/>
      <c r="KO92" s="15"/>
      <c r="KP92" s="15"/>
      <c r="KQ92" s="15"/>
      <c r="KR92" s="15"/>
      <c r="KS92" s="15"/>
      <c r="KT92" s="15"/>
      <c r="KU92" s="15"/>
      <c r="KV92" s="15"/>
      <c r="KW92" s="15"/>
      <c r="KX92" s="15"/>
      <c r="KY92" s="15"/>
      <c r="KZ92" s="15"/>
      <c r="LA92" s="15"/>
      <c r="LB92" s="15"/>
      <c r="LC92" s="15"/>
      <c r="LD92" s="15"/>
      <c r="LE92" s="15"/>
      <c r="LF92" s="15"/>
      <c r="LG92" s="15"/>
      <c r="LH92" s="15"/>
      <c r="LI92" s="15"/>
      <c r="LJ92" s="15"/>
      <c r="LK92" s="15"/>
      <c r="LL92" s="15"/>
      <c r="LM92" s="15"/>
      <c r="LN92" s="15"/>
      <c r="LO92" s="15"/>
      <c r="LP92" s="15"/>
      <c r="LQ92" s="15"/>
      <c r="LR92" s="15"/>
      <c r="LS92" s="15"/>
      <c r="LT92" s="15"/>
      <c r="LU92" s="15"/>
      <c r="LV92" s="15"/>
      <c r="LW92" s="15"/>
      <c r="LX92" s="15"/>
      <c r="LY92" s="15"/>
      <c r="LZ92" s="15"/>
      <c r="MA92" s="15"/>
      <c r="MB92" s="15"/>
      <c r="MC92" s="15"/>
      <c r="MD92" s="15"/>
      <c r="ME92" s="15"/>
      <c r="MF92" s="15"/>
      <c r="MG92" s="15"/>
      <c r="MH92" s="15"/>
      <c r="MI92" s="15"/>
      <c r="MJ92" s="15"/>
      <c r="MK92" s="15"/>
      <c r="ML92" s="15"/>
      <c r="MM92" s="15"/>
      <c r="MN92" s="15"/>
      <c r="MO92" s="15"/>
      <c r="MP92" s="15"/>
      <c r="MQ92" s="15"/>
      <c r="MR92" s="15"/>
      <c r="MS92" s="15"/>
      <c r="MT92" s="15"/>
      <c r="MU92" s="15"/>
      <c r="MV92" s="15"/>
      <c r="MW92" s="15"/>
      <c r="MX92" s="15"/>
      <c r="MY92" s="15"/>
      <c r="MZ92" s="15"/>
      <c r="NA92" s="15"/>
      <c r="NB92" s="15"/>
      <c r="NC92" s="15"/>
      <c r="ND92" s="15"/>
      <c r="NE92" s="15"/>
      <c r="NF92" s="15"/>
      <c r="NG92" s="15"/>
      <c r="NH92" s="15"/>
      <c r="NI92" s="15"/>
      <c r="NJ92" s="15"/>
      <c r="NK92" s="15"/>
      <c r="NL92" s="15"/>
      <c r="NM92" s="15"/>
      <c r="NN92" s="15"/>
      <c r="NO92" s="15"/>
      <c r="NP92" s="15"/>
      <c r="NQ92" s="15"/>
      <c r="NR92" s="15"/>
      <c r="NS92" s="15"/>
      <c r="NT92" s="15"/>
      <c r="NU92" s="15"/>
      <c r="NV92" s="15"/>
      <c r="NW92" s="15"/>
      <c r="NX92" s="15"/>
      <c r="NY92" s="15"/>
      <c r="NZ92" s="15"/>
    </row>
    <row r="93" spans="2:390" ht="19.5" customHeight="1" x14ac:dyDescent="0.45">
      <c r="B93" s="1">
        <f>+B92</f>
        <v>3</v>
      </c>
      <c r="C93" s="1">
        <f>+C92</f>
        <v>1</v>
      </c>
      <c r="D93" s="1">
        <f>+D92+1</f>
        <v>2</v>
      </c>
      <c r="E93" s="59" t="str">
        <f t="shared" si="112"/>
        <v>3.1.2</v>
      </c>
      <c r="F93" s="23" t="s">
        <v>37</v>
      </c>
      <c r="G93" s="191">
        <v>2.6</v>
      </c>
      <c r="H93" s="52" t="s">
        <v>117</v>
      </c>
      <c r="I93" s="52" t="s">
        <v>156</v>
      </c>
      <c r="J93" s="52">
        <v>53</v>
      </c>
      <c r="K93" s="52">
        <v>0</v>
      </c>
      <c r="L93" s="52">
        <f>+J93-K93</f>
        <v>53</v>
      </c>
      <c r="M93" s="20">
        <v>4</v>
      </c>
      <c r="N93" s="20">
        <v>6</v>
      </c>
      <c r="O93" s="51">
        <f>+N93*M93</f>
        <v>24</v>
      </c>
      <c r="P93" s="51">
        <f>+SUM(AA93:NZ93)</f>
        <v>24</v>
      </c>
      <c r="Q93" s="51">
        <f>+O93-P93</f>
        <v>0</v>
      </c>
      <c r="R93" s="19">
        <f>+R92</f>
        <v>46069</v>
      </c>
      <c r="S93" s="20">
        <v>5</v>
      </c>
      <c r="T93" s="21">
        <f t="shared" si="109"/>
        <v>46073</v>
      </c>
      <c r="U93" s="22">
        <f>+K93/J93</f>
        <v>0</v>
      </c>
      <c r="V93" s="199">
        <f t="shared" si="110"/>
        <v>0</v>
      </c>
      <c r="W93" s="158">
        <f>SUMIFS($AA93:$NZ93, $AA$8:$NZ$8, $W$13)/$O93</f>
        <v>0</v>
      </c>
      <c r="X93" s="159">
        <f t="shared" si="113"/>
        <v>0</v>
      </c>
      <c r="Y93" s="199">
        <f t="shared" si="111"/>
        <v>0</v>
      </c>
      <c r="Z93" s="36"/>
      <c r="AA93" s="15"/>
      <c r="AB93" s="15"/>
      <c r="AC93" s="15"/>
      <c r="AD93" s="15"/>
      <c r="AE93" s="15"/>
      <c r="AF93" s="15"/>
      <c r="AG93" s="184"/>
      <c r="AH93" s="15"/>
      <c r="AI93" s="15"/>
      <c r="AJ93" s="15"/>
      <c r="AK93" s="15"/>
      <c r="AL93" s="15"/>
      <c r="AM93" s="15"/>
      <c r="AN93" s="184"/>
      <c r="AO93" s="15"/>
      <c r="AP93" s="15"/>
      <c r="AQ93" s="15"/>
      <c r="AR93" s="15"/>
      <c r="AS93" s="15"/>
      <c r="AT93" s="15"/>
      <c r="AU93" s="184"/>
      <c r="AV93" s="15"/>
      <c r="AW93" s="15"/>
      <c r="AX93" s="15"/>
      <c r="AY93" s="15"/>
      <c r="AZ93" s="15"/>
      <c r="BA93" s="15"/>
      <c r="BB93" s="184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84"/>
      <c r="CE93" s="15"/>
      <c r="CF93" s="15"/>
      <c r="CG93" s="15"/>
      <c r="CH93" s="15"/>
      <c r="CI93" s="15"/>
      <c r="CJ93" s="15"/>
      <c r="CK93" s="184"/>
      <c r="CL93" s="15"/>
      <c r="CM93" s="15"/>
      <c r="CN93" s="15"/>
      <c r="CO93" s="15"/>
      <c r="CP93" s="15"/>
      <c r="CQ93" s="15"/>
      <c r="CR93" s="184"/>
      <c r="CS93" s="15"/>
      <c r="CT93" s="15"/>
      <c r="CU93" s="15"/>
      <c r="CV93" s="15"/>
      <c r="CW93" s="15"/>
      <c r="CX93" s="15"/>
      <c r="CY93" s="184"/>
      <c r="CZ93" s="15"/>
      <c r="DA93" s="15"/>
      <c r="DB93" s="15"/>
      <c r="DC93" s="15"/>
      <c r="DD93" s="15"/>
      <c r="DE93" s="15"/>
      <c r="DF93" s="184"/>
      <c r="DG93" s="15">
        <v>4</v>
      </c>
      <c r="DH93" s="15">
        <v>4</v>
      </c>
      <c r="DI93" s="15">
        <v>4</v>
      </c>
      <c r="DJ93" s="15">
        <v>4</v>
      </c>
      <c r="DK93" s="15">
        <v>4</v>
      </c>
      <c r="DL93" s="15">
        <v>4</v>
      </c>
      <c r="DM93" s="184"/>
      <c r="DN93" s="15"/>
      <c r="DO93" s="15"/>
      <c r="DP93" s="15"/>
      <c r="DQ93" s="15"/>
      <c r="DR93" s="15"/>
      <c r="DS93" s="15"/>
      <c r="DT93" s="184"/>
      <c r="DU93" s="15"/>
      <c r="DV93" s="15"/>
      <c r="DW93" s="15"/>
      <c r="DX93" s="15"/>
      <c r="DY93" s="15"/>
      <c r="DZ93" s="15"/>
      <c r="EA93" s="184"/>
      <c r="EB93" s="15"/>
      <c r="EC93" s="15"/>
      <c r="ED93" s="15"/>
      <c r="EE93" s="15"/>
      <c r="EF93" s="15"/>
      <c r="EG93" s="15"/>
      <c r="EH93" s="184"/>
      <c r="EI93" s="15"/>
      <c r="EJ93" s="15"/>
      <c r="EK93" s="15"/>
      <c r="EL93" s="15"/>
      <c r="EM93" s="15"/>
      <c r="EN93" s="15"/>
      <c r="EO93" s="184"/>
      <c r="EP93" s="15"/>
      <c r="EQ93" s="15"/>
      <c r="ER93" s="15"/>
      <c r="ES93" s="15"/>
      <c r="ET93" s="15"/>
      <c r="EU93" s="15"/>
      <c r="EV93" s="184"/>
      <c r="EW93" s="15"/>
      <c r="EX93" s="15"/>
      <c r="EY93" s="15"/>
      <c r="EZ93" s="15"/>
      <c r="FA93" s="15"/>
      <c r="FB93" s="15"/>
      <c r="FC93" s="184"/>
      <c r="FD93" s="15"/>
      <c r="FE93" s="15"/>
      <c r="FF93" s="15"/>
      <c r="FG93" s="15"/>
      <c r="FH93" s="15"/>
      <c r="FI93" s="15"/>
      <c r="FJ93" s="184"/>
      <c r="FK93" s="15"/>
      <c r="FL93" s="15"/>
      <c r="FM93" s="15"/>
      <c r="FN93" s="15"/>
      <c r="FO93" s="15"/>
      <c r="FP93" s="15"/>
      <c r="FQ93" s="184"/>
      <c r="FR93" s="15"/>
      <c r="FS93" s="15"/>
      <c r="FT93" s="15"/>
      <c r="FU93" s="15"/>
      <c r="FV93" s="15"/>
      <c r="FW93" s="178"/>
      <c r="FX93" s="184"/>
      <c r="FY93" s="181"/>
      <c r="FZ93" s="15"/>
      <c r="GA93" s="15"/>
      <c r="GB93" s="15"/>
      <c r="GC93" s="15"/>
      <c r="GD93" s="15"/>
      <c r="GE93" s="184"/>
      <c r="GF93" s="15"/>
      <c r="GG93" s="15"/>
      <c r="GH93" s="15"/>
      <c r="GI93" s="15"/>
      <c r="GJ93" s="15"/>
      <c r="GK93" s="15"/>
      <c r="GL93" s="184"/>
      <c r="GM93" s="15"/>
      <c r="GN93" s="15"/>
      <c r="GO93" s="15"/>
      <c r="GP93" s="15"/>
      <c r="GQ93" s="15"/>
      <c r="GR93" s="15"/>
      <c r="GS93" s="184"/>
      <c r="GT93" s="15"/>
      <c r="GU93" s="15"/>
      <c r="GV93" s="15"/>
      <c r="GW93" s="15"/>
      <c r="GX93" s="15"/>
      <c r="GY93" s="15"/>
      <c r="GZ93" s="184"/>
      <c r="HA93" s="15"/>
      <c r="HB93" s="15"/>
      <c r="HC93" s="15"/>
      <c r="HD93" s="15"/>
      <c r="HE93" s="15"/>
      <c r="HF93" s="15"/>
      <c r="HG93" s="184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  <c r="KR93" s="15"/>
      <c r="KS93" s="15"/>
      <c r="KT93" s="15"/>
      <c r="KU93" s="15"/>
      <c r="KV93" s="15"/>
      <c r="KW93" s="15"/>
      <c r="KX93" s="15"/>
      <c r="KY93" s="15"/>
      <c r="KZ93" s="15"/>
      <c r="LA93" s="15"/>
      <c r="LB93" s="15"/>
      <c r="LC93" s="15"/>
      <c r="LD93" s="15"/>
      <c r="LE93" s="15"/>
      <c r="LF93" s="15"/>
      <c r="LG93" s="15"/>
      <c r="LH93" s="15"/>
      <c r="LI93" s="15"/>
      <c r="LJ93" s="15"/>
      <c r="LK93" s="15"/>
      <c r="LL93" s="15"/>
      <c r="LM93" s="15"/>
      <c r="LN93" s="15"/>
      <c r="LO93" s="15"/>
      <c r="LP93" s="15"/>
      <c r="LQ93" s="15"/>
      <c r="LR93" s="15"/>
      <c r="LS93" s="15"/>
      <c r="LT93" s="15"/>
      <c r="LU93" s="15"/>
      <c r="LV93" s="15"/>
      <c r="LW93" s="15"/>
      <c r="LX93" s="15"/>
      <c r="LY93" s="15"/>
      <c r="LZ93" s="15"/>
      <c r="MA93" s="15"/>
      <c r="MB93" s="15"/>
      <c r="MC93" s="15"/>
      <c r="MD93" s="15"/>
      <c r="ME93" s="15"/>
      <c r="MF93" s="15"/>
      <c r="MG93" s="15"/>
      <c r="MH93" s="15"/>
      <c r="MI93" s="15"/>
      <c r="MJ93" s="15"/>
      <c r="MK93" s="15"/>
      <c r="ML93" s="15"/>
      <c r="MM93" s="15"/>
      <c r="MN93" s="15"/>
      <c r="MO93" s="15"/>
      <c r="MP93" s="15"/>
      <c r="MQ93" s="15"/>
      <c r="MR93" s="15"/>
      <c r="MS93" s="15"/>
      <c r="MT93" s="15"/>
      <c r="MU93" s="15"/>
      <c r="MV93" s="15"/>
      <c r="MW93" s="15"/>
      <c r="MX93" s="15"/>
      <c r="MY93" s="15"/>
      <c r="MZ93" s="15"/>
      <c r="NA93" s="15"/>
      <c r="NB93" s="15"/>
      <c r="NC93" s="15"/>
      <c r="ND93" s="15"/>
      <c r="NE93" s="15"/>
      <c r="NF93" s="15"/>
      <c r="NG93" s="15"/>
      <c r="NH93" s="15"/>
      <c r="NI93" s="15"/>
      <c r="NJ93" s="15"/>
      <c r="NK93" s="15"/>
      <c r="NL93" s="15"/>
      <c r="NM93" s="15"/>
      <c r="NN93" s="15"/>
      <c r="NO93" s="15"/>
      <c r="NP93" s="15"/>
      <c r="NQ93" s="15"/>
      <c r="NR93" s="15"/>
      <c r="NS93" s="15"/>
      <c r="NT93" s="15"/>
      <c r="NU93" s="15"/>
      <c r="NV93" s="15"/>
      <c r="NW93" s="15"/>
      <c r="NX93" s="15"/>
      <c r="NY93" s="15"/>
      <c r="NZ93" s="15"/>
    </row>
    <row r="94" spans="2:390" ht="19.5" customHeight="1" x14ac:dyDescent="0.45">
      <c r="B94" s="1">
        <f>+B93</f>
        <v>3</v>
      </c>
      <c r="C94" s="1">
        <f>+C93</f>
        <v>1</v>
      </c>
      <c r="D94" s="1">
        <f>+D93+1</f>
        <v>3</v>
      </c>
      <c r="E94" s="59" t="str">
        <f t="shared" si="112"/>
        <v>3.1.3</v>
      </c>
      <c r="F94" s="23" t="s">
        <v>23</v>
      </c>
      <c r="G94" s="191">
        <v>2.6</v>
      </c>
      <c r="H94" s="52" t="s">
        <v>117</v>
      </c>
      <c r="I94" s="52" t="s">
        <v>156</v>
      </c>
      <c r="J94" s="52">
        <v>5</v>
      </c>
      <c r="K94" s="52">
        <v>0</v>
      </c>
      <c r="L94" s="52">
        <f>+J94-K94</f>
        <v>5</v>
      </c>
      <c r="M94" s="20">
        <v>4</v>
      </c>
      <c r="N94" s="20">
        <v>6</v>
      </c>
      <c r="O94" s="51">
        <f>+N94*M94</f>
        <v>24</v>
      </c>
      <c r="P94" s="51">
        <f>+SUM(AA94:NZ94)</f>
        <v>24</v>
      </c>
      <c r="Q94" s="51">
        <f>+O94-P94</f>
        <v>0</v>
      </c>
      <c r="R94" s="19">
        <v>46076</v>
      </c>
      <c r="S94" s="20">
        <v>5</v>
      </c>
      <c r="T94" s="21">
        <f t="shared" si="109"/>
        <v>46080</v>
      </c>
      <c r="U94" s="22">
        <f>+K94/J94</f>
        <v>0</v>
      </c>
      <c r="V94" s="199">
        <f t="shared" si="110"/>
        <v>0</v>
      </c>
      <c r="W94" s="158">
        <f>SUMIFS($AA94:$NZ94, $AA$8:$NZ$8, $W$13)/$O94</f>
        <v>0</v>
      </c>
      <c r="X94" s="159">
        <f t="shared" si="113"/>
        <v>0</v>
      </c>
      <c r="Y94" s="199">
        <f t="shared" si="111"/>
        <v>0</v>
      </c>
      <c r="Z94" s="36"/>
      <c r="AA94" s="15"/>
      <c r="AB94" s="15"/>
      <c r="AC94" s="15"/>
      <c r="AD94" s="15"/>
      <c r="AE94" s="15"/>
      <c r="AF94" s="15"/>
      <c r="AG94" s="184"/>
      <c r="AH94" s="15"/>
      <c r="AI94" s="15"/>
      <c r="AJ94" s="15"/>
      <c r="AK94" s="15"/>
      <c r="AL94" s="15"/>
      <c r="AM94" s="15"/>
      <c r="AN94" s="184"/>
      <c r="AO94" s="15"/>
      <c r="AP94" s="15"/>
      <c r="AQ94" s="15"/>
      <c r="AR94" s="15"/>
      <c r="AS94" s="15"/>
      <c r="AT94" s="15"/>
      <c r="AU94" s="184"/>
      <c r="AV94" s="15"/>
      <c r="AW94" s="15"/>
      <c r="AX94" s="15"/>
      <c r="AY94" s="15"/>
      <c r="AZ94" s="15"/>
      <c r="BA94" s="15"/>
      <c r="BB94" s="184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84"/>
      <c r="CE94" s="15"/>
      <c r="CF94" s="15"/>
      <c r="CG94" s="15"/>
      <c r="CH94" s="15"/>
      <c r="CI94" s="15"/>
      <c r="CJ94" s="15"/>
      <c r="CK94" s="184"/>
      <c r="CL94" s="15"/>
      <c r="CM94" s="15"/>
      <c r="CN94" s="15"/>
      <c r="CO94" s="15"/>
      <c r="CP94" s="15"/>
      <c r="CQ94" s="15"/>
      <c r="CR94" s="184"/>
      <c r="CS94" s="15"/>
      <c r="CT94" s="15"/>
      <c r="CU94" s="15"/>
      <c r="CV94" s="15"/>
      <c r="CW94" s="15"/>
      <c r="CX94" s="15"/>
      <c r="CY94" s="184"/>
      <c r="CZ94" s="15"/>
      <c r="DA94" s="15"/>
      <c r="DB94" s="15"/>
      <c r="DC94" s="15"/>
      <c r="DD94" s="15"/>
      <c r="DE94" s="15"/>
      <c r="DF94" s="184"/>
      <c r="DG94" s="15"/>
      <c r="DH94" s="15"/>
      <c r="DI94" s="15"/>
      <c r="DJ94" s="15"/>
      <c r="DK94" s="15"/>
      <c r="DL94" s="15"/>
      <c r="DM94" s="184"/>
      <c r="DN94" s="15">
        <v>4</v>
      </c>
      <c r="DO94" s="15">
        <v>4</v>
      </c>
      <c r="DP94" s="15">
        <v>4</v>
      </c>
      <c r="DQ94" s="15">
        <v>4</v>
      </c>
      <c r="DR94" s="15">
        <v>4</v>
      </c>
      <c r="DS94" s="15">
        <v>4</v>
      </c>
      <c r="DT94" s="184"/>
      <c r="DU94" s="15"/>
      <c r="DV94" s="15"/>
      <c r="DW94" s="15"/>
      <c r="DX94" s="15"/>
      <c r="DY94" s="15"/>
      <c r="DZ94" s="15"/>
      <c r="EA94" s="184"/>
      <c r="EB94" s="15"/>
      <c r="EC94" s="15"/>
      <c r="ED94" s="15"/>
      <c r="EE94" s="15"/>
      <c r="EF94" s="15"/>
      <c r="EG94" s="15"/>
      <c r="EH94" s="184"/>
      <c r="EI94" s="15"/>
      <c r="EJ94" s="15"/>
      <c r="EK94" s="15"/>
      <c r="EL94" s="15"/>
      <c r="EM94" s="15"/>
      <c r="EN94" s="15"/>
      <c r="EO94" s="184"/>
      <c r="EP94" s="15"/>
      <c r="EQ94" s="15"/>
      <c r="ER94" s="15"/>
      <c r="ES94" s="15"/>
      <c r="ET94" s="15"/>
      <c r="EU94" s="15"/>
      <c r="EV94" s="184"/>
      <c r="EW94" s="15"/>
      <c r="EX94" s="15"/>
      <c r="EY94" s="15"/>
      <c r="EZ94" s="15"/>
      <c r="FA94" s="15"/>
      <c r="FB94" s="15"/>
      <c r="FC94" s="184"/>
      <c r="FD94" s="15"/>
      <c r="FE94" s="15"/>
      <c r="FF94" s="15"/>
      <c r="FG94" s="15"/>
      <c r="FH94" s="15"/>
      <c r="FI94" s="15"/>
      <c r="FJ94" s="184"/>
      <c r="FK94" s="15"/>
      <c r="FL94" s="15"/>
      <c r="FM94" s="15"/>
      <c r="FN94" s="15"/>
      <c r="FO94" s="15"/>
      <c r="FP94" s="15"/>
      <c r="FQ94" s="184"/>
      <c r="FR94" s="15"/>
      <c r="FS94" s="15"/>
      <c r="FT94" s="15"/>
      <c r="FU94" s="15"/>
      <c r="FV94" s="15"/>
      <c r="FW94" s="178"/>
      <c r="FX94" s="184"/>
      <c r="FY94" s="181"/>
      <c r="FZ94" s="15"/>
      <c r="GA94" s="15"/>
      <c r="GB94" s="15"/>
      <c r="GC94" s="15"/>
      <c r="GD94" s="15"/>
      <c r="GE94" s="184"/>
      <c r="GF94" s="15"/>
      <c r="GG94" s="15"/>
      <c r="GH94" s="15"/>
      <c r="GI94" s="15"/>
      <c r="GJ94" s="15"/>
      <c r="GK94" s="15"/>
      <c r="GL94" s="184"/>
      <c r="GM94" s="15"/>
      <c r="GN94" s="15"/>
      <c r="GO94" s="15"/>
      <c r="GP94" s="15"/>
      <c r="GQ94" s="15"/>
      <c r="GR94" s="15"/>
      <c r="GS94" s="184"/>
      <c r="GT94" s="15"/>
      <c r="GU94" s="15"/>
      <c r="GV94" s="15"/>
      <c r="GW94" s="15"/>
      <c r="GX94" s="15"/>
      <c r="GY94" s="15"/>
      <c r="GZ94" s="184"/>
      <c r="HA94" s="15"/>
      <c r="HB94" s="15"/>
      <c r="HC94" s="15"/>
      <c r="HD94" s="15"/>
      <c r="HE94" s="15"/>
      <c r="HF94" s="15"/>
      <c r="HG94" s="184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/>
      <c r="LP94" s="15"/>
      <c r="LQ94" s="15"/>
      <c r="LR94" s="15"/>
      <c r="LS94" s="15"/>
      <c r="LT94" s="15"/>
      <c r="LU94" s="15"/>
      <c r="LV94" s="15"/>
      <c r="LW94" s="15"/>
      <c r="LX94" s="15"/>
      <c r="LY94" s="15"/>
      <c r="LZ94" s="15"/>
      <c r="MA94" s="15"/>
      <c r="MB94" s="15"/>
      <c r="MC94" s="15"/>
      <c r="MD94" s="15"/>
      <c r="ME94" s="15"/>
      <c r="MF94" s="15"/>
      <c r="MG94" s="15"/>
      <c r="MH94" s="15"/>
      <c r="MI94" s="15"/>
      <c r="MJ94" s="15"/>
      <c r="MK94" s="15"/>
      <c r="ML94" s="15"/>
      <c r="MM94" s="15"/>
      <c r="MN94" s="15"/>
      <c r="MO94" s="15"/>
      <c r="MP94" s="15"/>
      <c r="MQ94" s="15"/>
      <c r="MR94" s="15"/>
      <c r="MS94" s="15"/>
      <c r="MT94" s="15"/>
      <c r="MU94" s="15"/>
      <c r="MV94" s="15"/>
      <c r="MW94" s="15"/>
      <c r="MX94" s="15"/>
      <c r="MY94" s="15"/>
      <c r="MZ94" s="15"/>
      <c r="NA94" s="15"/>
      <c r="NB94" s="15"/>
      <c r="NC94" s="15"/>
      <c r="ND94" s="15"/>
      <c r="NE94" s="15"/>
      <c r="NF94" s="15"/>
      <c r="NG94" s="15"/>
      <c r="NH94" s="15"/>
      <c r="NI94" s="15"/>
      <c r="NJ94" s="15"/>
      <c r="NK94" s="15"/>
      <c r="NL94" s="15"/>
      <c r="NM94" s="15"/>
      <c r="NN94" s="15"/>
      <c r="NO94" s="15"/>
      <c r="NP94" s="15"/>
      <c r="NQ94" s="15"/>
      <c r="NR94" s="15"/>
      <c r="NS94" s="15"/>
      <c r="NT94" s="15"/>
      <c r="NU94" s="15"/>
      <c r="NV94" s="15"/>
      <c r="NW94" s="15"/>
      <c r="NX94" s="15"/>
      <c r="NY94" s="15"/>
      <c r="NZ94" s="15"/>
    </row>
    <row r="95" spans="2:390" ht="19.5" customHeight="1" x14ac:dyDescent="0.45">
      <c r="B95" s="1">
        <f>+B94</f>
        <v>3</v>
      </c>
      <c r="C95" s="1">
        <f>+C94</f>
        <v>1</v>
      </c>
      <c r="D95" s="1">
        <f>+D94+1</f>
        <v>4</v>
      </c>
      <c r="E95" s="59" t="str">
        <f t="shared" si="112"/>
        <v>3.1.4</v>
      </c>
      <c r="F95" s="23" t="s">
        <v>134</v>
      </c>
      <c r="G95" s="191">
        <v>2.6</v>
      </c>
      <c r="H95" s="52" t="s">
        <v>117</v>
      </c>
      <c r="I95" s="52" t="s">
        <v>156</v>
      </c>
      <c r="J95" s="61">
        <v>1</v>
      </c>
      <c r="K95" s="52">
        <v>0</v>
      </c>
      <c r="L95" s="52">
        <f>+J95-K95</f>
        <v>1</v>
      </c>
      <c r="M95" s="20">
        <v>2</v>
      </c>
      <c r="N95" s="20">
        <v>12</v>
      </c>
      <c r="O95" s="51">
        <f>+N95*M95</f>
        <v>24</v>
      </c>
      <c r="P95" s="51">
        <f>+SUM(AA95:NZ95)</f>
        <v>6</v>
      </c>
      <c r="Q95" s="51">
        <f>+O95-P95</f>
        <v>18</v>
      </c>
      <c r="R95" s="187"/>
      <c r="S95" s="64"/>
      <c r="T95" s="155" t="str">
        <f t="shared" si="109"/>
        <v/>
      </c>
      <c r="U95" s="22">
        <f>+K95/J95</f>
        <v>0</v>
      </c>
      <c r="V95" s="199">
        <f t="shared" si="110"/>
        <v>0</v>
      </c>
      <c r="W95" s="158">
        <f>SUMIFS($AA95:$NZ95, $AA$8:$NZ$8, $W$13)/$O95</f>
        <v>0</v>
      </c>
      <c r="X95" s="159">
        <f t="shared" si="113"/>
        <v>0.25</v>
      </c>
      <c r="Y95" s="199">
        <f t="shared" si="111"/>
        <v>6</v>
      </c>
      <c r="Z95" s="36"/>
      <c r="AA95" s="15">
        <v>2</v>
      </c>
      <c r="AB95" s="15">
        <v>2</v>
      </c>
      <c r="AC95" s="15">
        <v>2</v>
      </c>
      <c r="AD95" s="15"/>
      <c r="AE95" s="15"/>
      <c r="AF95" s="15"/>
      <c r="AG95" s="184"/>
      <c r="AH95" s="15"/>
      <c r="AI95" s="15"/>
      <c r="AJ95" s="15"/>
      <c r="AK95" s="15"/>
      <c r="AL95" s="15"/>
      <c r="AM95" s="15"/>
      <c r="AN95" s="184"/>
      <c r="AO95" s="15"/>
      <c r="AP95" s="15"/>
      <c r="AQ95" s="15"/>
      <c r="AR95" s="15"/>
      <c r="AS95" s="15"/>
      <c r="AT95" s="15"/>
      <c r="AU95" s="184"/>
      <c r="AV95" s="15"/>
      <c r="AW95" s="15"/>
      <c r="AX95" s="15"/>
      <c r="AY95" s="15"/>
      <c r="AZ95" s="15"/>
      <c r="BA95" s="15"/>
      <c r="BB95" s="184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84"/>
      <c r="CE95" s="15"/>
      <c r="CF95" s="15"/>
      <c r="CG95" s="15"/>
      <c r="CH95" s="15"/>
      <c r="CI95" s="15"/>
      <c r="CJ95" s="15"/>
      <c r="CK95" s="184"/>
      <c r="CL95" s="15"/>
      <c r="CM95" s="15"/>
      <c r="CN95" s="15"/>
      <c r="CO95" s="15"/>
      <c r="CP95" s="15"/>
      <c r="CQ95" s="15"/>
      <c r="CR95" s="184"/>
      <c r="CS95" s="15"/>
      <c r="CT95" s="15"/>
      <c r="CU95" s="15"/>
      <c r="CV95" s="15"/>
      <c r="CW95" s="15"/>
      <c r="CX95" s="15"/>
      <c r="CY95" s="184"/>
      <c r="CZ95" s="15"/>
      <c r="DA95" s="15"/>
      <c r="DB95" s="15"/>
      <c r="DC95" s="15"/>
      <c r="DD95" s="15"/>
      <c r="DE95" s="15"/>
      <c r="DF95" s="184"/>
      <c r="DG95" s="15"/>
      <c r="DH95" s="15"/>
      <c r="DI95" s="15"/>
      <c r="DJ95" s="15"/>
      <c r="DK95" s="15"/>
      <c r="DL95" s="15"/>
      <c r="DM95" s="184"/>
      <c r="DN95" s="15"/>
      <c r="DO95" s="15"/>
      <c r="DP95" s="15"/>
      <c r="DQ95" s="15"/>
      <c r="DR95" s="15"/>
      <c r="DS95" s="15"/>
      <c r="DT95" s="184"/>
      <c r="DU95" s="15"/>
      <c r="DV95" s="15"/>
      <c r="DW95" s="15"/>
      <c r="DX95" s="15"/>
      <c r="DY95" s="15"/>
      <c r="DZ95" s="15"/>
      <c r="EA95" s="184"/>
      <c r="EB95" s="15"/>
      <c r="EC95" s="15"/>
      <c r="ED95" s="15"/>
      <c r="EE95" s="15"/>
      <c r="EF95" s="15"/>
      <c r="EG95" s="15"/>
      <c r="EH95" s="184"/>
      <c r="EI95" s="15"/>
      <c r="EJ95" s="15"/>
      <c r="EK95" s="15"/>
      <c r="EL95" s="15"/>
      <c r="EM95" s="15"/>
      <c r="EN95" s="15"/>
      <c r="EO95" s="184"/>
      <c r="EP95" s="15"/>
      <c r="EQ95" s="15"/>
      <c r="ER95" s="15"/>
      <c r="ES95" s="15"/>
      <c r="ET95" s="15"/>
      <c r="EU95" s="15"/>
      <c r="EV95" s="184"/>
      <c r="EW95" s="15"/>
      <c r="EX95" s="15"/>
      <c r="EY95" s="15"/>
      <c r="EZ95" s="15"/>
      <c r="FA95" s="15"/>
      <c r="FB95" s="15"/>
      <c r="FC95" s="184"/>
      <c r="FD95" s="15"/>
      <c r="FE95" s="15"/>
      <c r="FF95" s="15"/>
      <c r="FG95" s="15"/>
      <c r="FH95" s="15"/>
      <c r="FI95" s="15"/>
      <c r="FJ95" s="184"/>
      <c r="FK95" s="15"/>
      <c r="FL95" s="15"/>
      <c r="FM95" s="15"/>
      <c r="FN95" s="15"/>
      <c r="FO95" s="15"/>
      <c r="FP95" s="15"/>
      <c r="FQ95" s="184"/>
      <c r="FR95" s="15"/>
      <c r="FS95" s="15"/>
      <c r="FT95" s="15"/>
      <c r="FU95" s="15"/>
      <c r="FV95" s="15"/>
      <c r="FW95" s="178"/>
      <c r="FX95" s="184"/>
      <c r="FY95" s="181"/>
      <c r="FZ95" s="15"/>
      <c r="GA95" s="15"/>
      <c r="GB95" s="15"/>
      <c r="GC95" s="15"/>
      <c r="GD95" s="15"/>
      <c r="GE95" s="184"/>
      <c r="GF95" s="15"/>
      <c r="GG95" s="15"/>
      <c r="GH95" s="15"/>
      <c r="GI95" s="15"/>
      <c r="GJ95" s="15"/>
      <c r="GK95" s="15"/>
      <c r="GL95" s="184"/>
      <c r="GM95" s="15"/>
      <c r="GN95" s="15"/>
      <c r="GO95" s="15"/>
      <c r="GP95" s="15"/>
      <c r="GQ95" s="15"/>
      <c r="GR95" s="15"/>
      <c r="GS95" s="184"/>
      <c r="GT95" s="15"/>
      <c r="GU95" s="15"/>
      <c r="GV95" s="15"/>
      <c r="GW95" s="15"/>
      <c r="GX95" s="15"/>
      <c r="GY95" s="15"/>
      <c r="GZ95" s="184"/>
      <c r="HA95" s="15"/>
      <c r="HB95" s="15"/>
      <c r="HC95" s="15"/>
      <c r="HD95" s="15"/>
      <c r="HE95" s="15"/>
      <c r="HF95" s="15"/>
      <c r="HG95" s="184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  <c r="KR95" s="15"/>
      <c r="KS95" s="15"/>
      <c r="KT95" s="15"/>
      <c r="KU95" s="15"/>
      <c r="KV95" s="15"/>
      <c r="KW95" s="15"/>
      <c r="KX95" s="15"/>
      <c r="KY95" s="15"/>
      <c r="KZ95" s="15"/>
      <c r="LA95" s="15"/>
      <c r="LB95" s="15"/>
      <c r="LC95" s="15"/>
      <c r="LD95" s="15"/>
      <c r="LE95" s="15"/>
      <c r="LF95" s="15"/>
      <c r="LG95" s="15"/>
      <c r="LH95" s="15"/>
      <c r="LI95" s="15"/>
      <c r="LJ95" s="15"/>
      <c r="LK95" s="15"/>
      <c r="LL95" s="15"/>
      <c r="LM95" s="15"/>
      <c r="LN95" s="15"/>
      <c r="LO95" s="15"/>
      <c r="LP95" s="15"/>
      <c r="LQ95" s="15"/>
      <c r="LR95" s="15"/>
      <c r="LS95" s="15"/>
      <c r="LT95" s="15"/>
      <c r="LU95" s="15"/>
      <c r="LV95" s="15"/>
      <c r="LW95" s="15"/>
      <c r="LX95" s="15"/>
      <c r="LY95" s="15"/>
      <c r="LZ95" s="15"/>
      <c r="MA95" s="15"/>
      <c r="MB95" s="15"/>
      <c r="MC95" s="15"/>
      <c r="MD95" s="15"/>
      <c r="ME95" s="15"/>
      <c r="MF95" s="15"/>
      <c r="MG95" s="15"/>
      <c r="MH95" s="15"/>
      <c r="MI95" s="15"/>
      <c r="MJ95" s="15"/>
      <c r="MK95" s="15"/>
      <c r="ML95" s="15"/>
      <c r="MM95" s="15"/>
      <c r="MN95" s="15"/>
      <c r="MO95" s="15"/>
      <c r="MP95" s="15"/>
      <c r="MQ95" s="15"/>
      <c r="MR95" s="15"/>
      <c r="MS95" s="15"/>
      <c r="MT95" s="15"/>
      <c r="MU95" s="15"/>
      <c r="MV95" s="15"/>
      <c r="MW95" s="15"/>
      <c r="MX95" s="15"/>
      <c r="MY95" s="15"/>
      <c r="MZ95" s="15"/>
      <c r="NA95" s="15"/>
      <c r="NB95" s="15"/>
      <c r="NC95" s="15"/>
      <c r="ND95" s="15"/>
      <c r="NE95" s="15"/>
      <c r="NF95" s="15"/>
      <c r="NG95" s="15"/>
      <c r="NH95" s="15"/>
      <c r="NI95" s="15"/>
      <c r="NJ95" s="15"/>
      <c r="NK95" s="15"/>
      <c r="NL95" s="15"/>
      <c r="NM95" s="15"/>
      <c r="NN95" s="15"/>
      <c r="NO95" s="15"/>
      <c r="NP95" s="15"/>
      <c r="NQ95" s="15"/>
      <c r="NR95" s="15"/>
      <c r="NS95" s="15"/>
      <c r="NT95" s="15"/>
      <c r="NU95" s="15"/>
      <c r="NV95" s="15"/>
      <c r="NW95" s="15"/>
      <c r="NX95" s="15"/>
      <c r="NY95" s="15"/>
      <c r="NZ95" s="15"/>
    </row>
    <row r="96" spans="2:390" ht="19.5" customHeight="1" x14ac:dyDescent="0.45">
      <c r="B96" s="1">
        <f>+B94</f>
        <v>3</v>
      </c>
      <c r="C96" s="1">
        <f>+C94+1</f>
        <v>2</v>
      </c>
      <c r="D96" s="1">
        <v>0</v>
      </c>
      <c r="E96" s="93" t="str">
        <f t="shared" si="112"/>
        <v>3.2.0</v>
      </c>
      <c r="F96" s="99" t="s">
        <v>13</v>
      </c>
      <c r="G96" s="99"/>
      <c r="H96" s="100"/>
      <c r="I96" s="100"/>
      <c r="J96" s="101"/>
      <c r="K96" s="101"/>
      <c r="L96" s="111"/>
      <c r="M96" s="99"/>
      <c r="N96" s="99"/>
      <c r="O96" s="95">
        <f>SUM(O97:O98)</f>
        <v>12</v>
      </c>
      <c r="P96" s="95"/>
      <c r="Q96" s="95"/>
      <c r="R96" s="168"/>
      <c r="S96" s="98"/>
      <c r="T96" s="163" t="str">
        <f t="shared" si="109"/>
        <v/>
      </c>
      <c r="U96" s="164">
        <f>+SUMPRODUCT(U97:U98,O97:O98)/O96</f>
        <v>0</v>
      </c>
      <c r="V96" s="200">
        <f t="shared" si="110"/>
        <v>0</v>
      </c>
      <c r="W96" s="158">
        <f>SUMIFS($AA96:$NZ96, $AA$8:$NZ$8, $W$13)/$O96</f>
        <v>0</v>
      </c>
      <c r="X96" s="159">
        <f t="shared" si="113"/>
        <v>0</v>
      </c>
      <c r="Y96" s="199">
        <f t="shared" si="111"/>
        <v>0</v>
      </c>
      <c r="Z96" s="36"/>
      <c r="AA96" s="15"/>
      <c r="AB96" s="15"/>
      <c r="AC96" s="15"/>
      <c r="AD96" s="15"/>
      <c r="AE96" s="15"/>
      <c r="AF96" s="15"/>
      <c r="AG96" s="184"/>
      <c r="AH96" s="15"/>
      <c r="AI96" s="15"/>
      <c r="AJ96" s="15"/>
      <c r="AK96" s="15"/>
      <c r="AL96" s="15"/>
      <c r="AM96" s="15"/>
      <c r="AN96" s="184"/>
      <c r="AO96" s="15"/>
      <c r="AP96" s="15"/>
      <c r="AQ96" s="15"/>
      <c r="AR96" s="15"/>
      <c r="AS96" s="15"/>
      <c r="AT96" s="15"/>
      <c r="AU96" s="184"/>
      <c r="AV96" s="15"/>
      <c r="AW96" s="15"/>
      <c r="AX96" s="15"/>
      <c r="AY96" s="15"/>
      <c r="AZ96" s="15"/>
      <c r="BA96" s="15"/>
      <c r="BB96" s="184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84"/>
      <c r="CE96" s="15"/>
      <c r="CF96" s="15"/>
      <c r="CG96" s="15"/>
      <c r="CH96" s="15"/>
      <c r="CI96" s="15"/>
      <c r="CJ96" s="15"/>
      <c r="CK96" s="184"/>
      <c r="CL96" s="15"/>
      <c r="CM96" s="15"/>
      <c r="CN96" s="15"/>
      <c r="CO96" s="15"/>
      <c r="CP96" s="15"/>
      <c r="CQ96" s="15"/>
      <c r="CR96" s="184"/>
      <c r="CS96" s="15"/>
      <c r="CT96" s="15"/>
      <c r="CU96" s="15"/>
      <c r="CV96" s="15"/>
      <c r="CW96" s="15"/>
      <c r="CX96" s="15"/>
      <c r="CY96" s="184"/>
      <c r="CZ96" s="15"/>
      <c r="DA96" s="15"/>
      <c r="DB96" s="15"/>
      <c r="DC96" s="15"/>
      <c r="DD96" s="15"/>
      <c r="DE96" s="15"/>
      <c r="DF96" s="184"/>
      <c r="DG96" s="15"/>
      <c r="DH96" s="15"/>
      <c r="DI96" s="15"/>
      <c r="DJ96" s="15"/>
      <c r="DK96" s="15"/>
      <c r="DL96" s="15"/>
      <c r="DM96" s="184"/>
      <c r="DN96" s="15"/>
      <c r="DO96" s="15"/>
      <c r="DP96" s="15"/>
      <c r="DQ96" s="15"/>
      <c r="DR96" s="15"/>
      <c r="DS96" s="15"/>
      <c r="DT96" s="184"/>
      <c r="DU96" s="15"/>
      <c r="DV96" s="15"/>
      <c r="DW96" s="15"/>
      <c r="DX96" s="15"/>
      <c r="DY96" s="15"/>
      <c r="DZ96" s="15"/>
      <c r="EA96" s="184"/>
      <c r="EB96" s="15"/>
      <c r="EC96" s="15"/>
      <c r="ED96" s="15"/>
      <c r="EE96" s="15"/>
      <c r="EF96" s="15"/>
      <c r="EG96" s="15"/>
      <c r="EH96" s="184"/>
      <c r="EI96" s="15"/>
      <c r="EJ96" s="15"/>
      <c r="EK96" s="15"/>
      <c r="EL96" s="15"/>
      <c r="EM96" s="15"/>
      <c r="EN96" s="15"/>
      <c r="EO96" s="184"/>
      <c r="EP96" s="15"/>
      <c r="EQ96" s="15"/>
      <c r="ER96" s="15"/>
      <c r="ES96" s="15"/>
      <c r="ET96" s="15"/>
      <c r="EU96" s="15"/>
      <c r="EV96" s="184"/>
      <c r="EW96" s="15"/>
      <c r="EX96" s="15"/>
      <c r="EY96" s="15"/>
      <c r="EZ96" s="15"/>
      <c r="FA96" s="15"/>
      <c r="FB96" s="15"/>
      <c r="FC96" s="184"/>
      <c r="FD96" s="15"/>
      <c r="FE96" s="15"/>
      <c r="FF96" s="15"/>
      <c r="FG96" s="15"/>
      <c r="FH96" s="15"/>
      <c r="FI96" s="15"/>
      <c r="FJ96" s="184"/>
      <c r="FK96" s="15"/>
      <c r="FL96" s="15"/>
      <c r="FM96" s="15"/>
      <c r="FN96" s="15"/>
      <c r="FO96" s="15"/>
      <c r="FP96" s="15"/>
      <c r="FQ96" s="184"/>
      <c r="FR96" s="15"/>
      <c r="FS96" s="15"/>
      <c r="FT96" s="15"/>
      <c r="FU96" s="15"/>
      <c r="FV96" s="15"/>
      <c r="FW96" s="178"/>
      <c r="FX96" s="184"/>
      <c r="FY96" s="181"/>
      <c r="FZ96" s="15"/>
      <c r="GA96" s="15"/>
      <c r="GB96" s="15"/>
      <c r="GC96" s="15"/>
      <c r="GD96" s="15"/>
      <c r="GE96" s="184"/>
      <c r="GF96" s="15"/>
      <c r="GG96" s="15"/>
      <c r="GH96" s="15"/>
      <c r="GI96" s="15"/>
      <c r="GJ96" s="15"/>
      <c r="GK96" s="15"/>
      <c r="GL96" s="184"/>
      <c r="GM96" s="15"/>
      <c r="GN96" s="15"/>
      <c r="GO96" s="15"/>
      <c r="GP96" s="15"/>
      <c r="GQ96" s="15"/>
      <c r="GR96" s="15"/>
      <c r="GS96" s="184"/>
      <c r="GT96" s="15"/>
      <c r="GU96" s="15"/>
      <c r="GV96" s="15"/>
      <c r="GW96" s="15"/>
      <c r="GX96" s="15"/>
      <c r="GY96" s="15"/>
      <c r="GZ96" s="184"/>
      <c r="HA96" s="15"/>
      <c r="HB96" s="15"/>
      <c r="HC96" s="15"/>
      <c r="HD96" s="15"/>
      <c r="HE96" s="15"/>
      <c r="HF96" s="15"/>
      <c r="HG96" s="184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/>
      <c r="KE96" s="15"/>
      <c r="KF96" s="15"/>
      <c r="KG96" s="15"/>
      <c r="KH96" s="15"/>
      <c r="KI96" s="15"/>
      <c r="KJ96" s="15"/>
      <c r="KK96" s="15"/>
      <c r="KL96" s="15"/>
      <c r="KM96" s="15"/>
      <c r="KN96" s="15"/>
      <c r="KO96" s="15"/>
      <c r="KP96" s="15"/>
      <c r="KQ96" s="15"/>
      <c r="KR96" s="15"/>
      <c r="KS96" s="15"/>
      <c r="KT96" s="15"/>
      <c r="KU96" s="15"/>
      <c r="KV96" s="15"/>
      <c r="KW96" s="15"/>
      <c r="KX96" s="15"/>
      <c r="KY96" s="15"/>
      <c r="KZ96" s="15"/>
      <c r="LA96" s="15"/>
      <c r="LB96" s="15"/>
      <c r="LC96" s="15"/>
      <c r="LD96" s="15"/>
      <c r="LE96" s="15"/>
      <c r="LF96" s="15"/>
      <c r="LG96" s="15"/>
      <c r="LH96" s="15"/>
      <c r="LI96" s="15"/>
      <c r="LJ96" s="15"/>
      <c r="LK96" s="15"/>
      <c r="LL96" s="15"/>
      <c r="LM96" s="15"/>
      <c r="LN96" s="15"/>
      <c r="LO96" s="15"/>
      <c r="LP96" s="15"/>
      <c r="LQ96" s="15"/>
      <c r="LR96" s="15"/>
      <c r="LS96" s="15"/>
      <c r="LT96" s="15"/>
      <c r="LU96" s="15"/>
      <c r="LV96" s="15"/>
      <c r="LW96" s="15"/>
      <c r="LX96" s="15"/>
      <c r="LY96" s="15"/>
      <c r="LZ96" s="15"/>
      <c r="MA96" s="15"/>
      <c r="MB96" s="15"/>
      <c r="MC96" s="15"/>
      <c r="MD96" s="15"/>
      <c r="ME96" s="15"/>
      <c r="MF96" s="15"/>
      <c r="MG96" s="15"/>
      <c r="MH96" s="15"/>
      <c r="MI96" s="15"/>
      <c r="MJ96" s="15"/>
      <c r="MK96" s="15"/>
      <c r="ML96" s="15"/>
      <c r="MM96" s="15"/>
      <c r="MN96" s="15"/>
      <c r="MO96" s="15"/>
      <c r="MP96" s="15"/>
      <c r="MQ96" s="15"/>
      <c r="MR96" s="15"/>
      <c r="MS96" s="15"/>
      <c r="MT96" s="15"/>
      <c r="MU96" s="15"/>
      <c r="MV96" s="15"/>
      <c r="MW96" s="15"/>
      <c r="MX96" s="15"/>
      <c r="MY96" s="15"/>
      <c r="MZ96" s="15"/>
      <c r="NA96" s="15"/>
      <c r="NB96" s="15"/>
      <c r="NC96" s="15"/>
      <c r="ND96" s="15"/>
      <c r="NE96" s="15"/>
      <c r="NF96" s="15"/>
      <c r="NG96" s="15"/>
      <c r="NH96" s="15"/>
      <c r="NI96" s="15"/>
      <c r="NJ96" s="15"/>
      <c r="NK96" s="15"/>
      <c r="NL96" s="15"/>
      <c r="NM96" s="15"/>
      <c r="NN96" s="15"/>
      <c r="NO96" s="15"/>
      <c r="NP96" s="15"/>
      <c r="NQ96" s="15"/>
      <c r="NR96" s="15"/>
      <c r="NS96" s="15"/>
      <c r="NT96" s="15"/>
      <c r="NU96" s="15"/>
      <c r="NV96" s="15"/>
      <c r="NW96" s="15"/>
      <c r="NX96" s="15"/>
      <c r="NY96" s="15"/>
      <c r="NZ96" s="15"/>
    </row>
    <row r="97" spans="2:390" ht="19.5" customHeight="1" x14ac:dyDescent="0.45">
      <c r="B97" s="1">
        <f>+B96</f>
        <v>3</v>
      </c>
      <c r="C97" s="1">
        <f>+C96</f>
        <v>2</v>
      </c>
      <c r="D97" s="1">
        <f>+D96+1</f>
        <v>1</v>
      </c>
      <c r="E97" s="59" t="str">
        <f t="shared" si="112"/>
        <v>3.2.1</v>
      </c>
      <c r="F97" s="23" t="s">
        <v>53</v>
      </c>
      <c r="G97" s="191">
        <v>2.6</v>
      </c>
      <c r="H97" s="52" t="s">
        <v>117</v>
      </c>
      <c r="I97" s="52" t="s">
        <v>156</v>
      </c>
      <c r="J97" s="52">
        <v>33</v>
      </c>
      <c r="K97" s="52">
        <v>33</v>
      </c>
      <c r="L97" s="52">
        <f>+J97-K97</f>
        <v>0</v>
      </c>
      <c r="M97" s="20">
        <v>0</v>
      </c>
      <c r="N97" s="20">
        <v>0</v>
      </c>
      <c r="O97" s="51">
        <f>+N97*M97</f>
        <v>0</v>
      </c>
      <c r="P97" s="51">
        <f>+SUM(AA97:NZ97)</f>
        <v>0</v>
      </c>
      <c r="Q97" s="51">
        <f>+O97-P97</f>
        <v>0</v>
      </c>
      <c r="R97" s="19"/>
      <c r="S97" s="20"/>
      <c r="T97" s="21" t="str">
        <f t="shared" si="109"/>
        <v/>
      </c>
      <c r="U97" s="22">
        <f>+K97/J97</f>
        <v>1</v>
      </c>
      <c r="V97" s="199">
        <f t="shared" si="110"/>
        <v>0</v>
      </c>
      <c r="W97" s="158"/>
      <c r="X97" s="159"/>
      <c r="Y97" s="199">
        <f t="shared" si="111"/>
        <v>0</v>
      </c>
      <c r="Z97" s="35"/>
      <c r="AA97" s="15"/>
      <c r="AB97" s="15"/>
      <c r="AC97" s="15"/>
      <c r="AD97" s="15"/>
      <c r="AE97" s="15"/>
      <c r="AF97" s="15"/>
      <c r="AG97" s="184"/>
      <c r="AH97" s="15"/>
      <c r="AI97" s="15"/>
      <c r="AJ97" s="15"/>
      <c r="AK97" s="15"/>
      <c r="AL97" s="15"/>
      <c r="AM97" s="15"/>
      <c r="AN97" s="184"/>
      <c r="AO97" s="15"/>
      <c r="AP97" s="15"/>
      <c r="AQ97" s="15"/>
      <c r="AR97" s="15"/>
      <c r="AS97" s="15"/>
      <c r="AT97" s="15"/>
      <c r="AU97" s="184"/>
      <c r="AV97" s="15"/>
      <c r="AW97" s="15"/>
      <c r="AX97" s="15"/>
      <c r="AY97" s="15"/>
      <c r="AZ97" s="15"/>
      <c r="BA97" s="15"/>
      <c r="BB97" s="184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84"/>
      <c r="CE97" s="15"/>
      <c r="CF97" s="15"/>
      <c r="CG97" s="15"/>
      <c r="CH97" s="15"/>
      <c r="CI97" s="15"/>
      <c r="CJ97" s="15"/>
      <c r="CK97" s="184"/>
      <c r="CL97" s="15"/>
      <c r="CM97" s="15"/>
      <c r="CN97" s="15"/>
      <c r="CO97" s="15"/>
      <c r="CP97" s="15"/>
      <c r="CQ97" s="15"/>
      <c r="CR97" s="184"/>
      <c r="CS97" s="15"/>
      <c r="CT97" s="15"/>
      <c r="CU97" s="15"/>
      <c r="CV97" s="15"/>
      <c r="CW97" s="15"/>
      <c r="CX97" s="15"/>
      <c r="CY97" s="184"/>
      <c r="CZ97" s="15"/>
      <c r="DA97" s="15"/>
      <c r="DB97" s="15"/>
      <c r="DC97" s="15"/>
      <c r="DD97" s="15"/>
      <c r="DE97" s="15"/>
      <c r="DF97" s="184"/>
      <c r="DG97" s="15"/>
      <c r="DH97" s="15"/>
      <c r="DI97" s="15"/>
      <c r="DJ97" s="15"/>
      <c r="DK97" s="15"/>
      <c r="DL97" s="15"/>
      <c r="DM97" s="184"/>
      <c r="DN97" s="15"/>
      <c r="DO97" s="15"/>
      <c r="DP97" s="15"/>
      <c r="DQ97" s="15"/>
      <c r="DR97" s="15"/>
      <c r="DS97" s="15"/>
      <c r="DT97" s="184"/>
      <c r="DU97" s="15"/>
      <c r="DV97" s="15"/>
      <c r="DW97" s="15"/>
      <c r="DX97" s="15"/>
      <c r="DY97" s="15"/>
      <c r="DZ97" s="15"/>
      <c r="EA97" s="184"/>
      <c r="EB97" s="15"/>
      <c r="EC97" s="15"/>
      <c r="ED97" s="15"/>
      <c r="EE97" s="15"/>
      <c r="EF97" s="15"/>
      <c r="EG97" s="15"/>
      <c r="EH97" s="184"/>
      <c r="EI97" s="15"/>
      <c r="EJ97" s="15"/>
      <c r="EK97" s="15"/>
      <c r="EL97" s="15"/>
      <c r="EM97" s="15"/>
      <c r="EN97" s="15"/>
      <c r="EO97" s="184"/>
      <c r="EP97" s="15"/>
      <c r="EQ97" s="15"/>
      <c r="ER97" s="15"/>
      <c r="ES97" s="15"/>
      <c r="ET97" s="15"/>
      <c r="EU97" s="15"/>
      <c r="EV97" s="184"/>
      <c r="EW97" s="15"/>
      <c r="EX97" s="15"/>
      <c r="EY97" s="15"/>
      <c r="EZ97" s="15"/>
      <c r="FA97" s="15"/>
      <c r="FB97" s="15"/>
      <c r="FC97" s="184"/>
      <c r="FD97" s="15"/>
      <c r="FE97" s="15"/>
      <c r="FF97" s="15"/>
      <c r="FG97" s="15"/>
      <c r="FH97" s="15"/>
      <c r="FI97" s="15"/>
      <c r="FJ97" s="184"/>
      <c r="FK97" s="15"/>
      <c r="FL97" s="15"/>
      <c r="FM97" s="15"/>
      <c r="FN97" s="15"/>
      <c r="FO97" s="15"/>
      <c r="FP97" s="15"/>
      <c r="FQ97" s="184"/>
      <c r="FR97" s="15"/>
      <c r="FS97" s="15"/>
      <c r="FT97" s="15"/>
      <c r="FU97" s="15"/>
      <c r="FV97" s="15"/>
      <c r="FW97" s="178"/>
      <c r="FX97" s="184"/>
      <c r="FY97" s="181"/>
      <c r="FZ97" s="15"/>
      <c r="GA97" s="15"/>
      <c r="GB97" s="15"/>
      <c r="GC97" s="15"/>
      <c r="GD97" s="15"/>
      <c r="GE97" s="184"/>
      <c r="GF97" s="15"/>
      <c r="GG97" s="15"/>
      <c r="GH97" s="15"/>
      <c r="GI97" s="15"/>
      <c r="GJ97" s="15"/>
      <c r="GK97" s="15"/>
      <c r="GL97" s="184"/>
      <c r="GM97" s="15"/>
      <c r="GN97" s="15"/>
      <c r="GO97" s="15"/>
      <c r="GP97" s="15"/>
      <c r="GQ97" s="15"/>
      <c r="GR97" s="15"/>
      <c r="GS97" s="184"/>
      <c r="GT97" s="15"/>
      <c r="GU97" s="15"/>
      <c r="GV97" s="15"/>
      <c r="GW97" s="15"/>
      <c r="GX97" s="15"/>
      <c r="GY97" s="15"/>
      <c r="GZ97" s="184"/>
      <c r="HA97" s="15"/>
      <c r="HB97" s="15"/>
      <c r="HC97" s="15"/>
      <c r="HD97" s="15"/>
      <c r="HE97" s="15"/>
      <c r="HF97" s="15"/>
      <c r="HG97" s="184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  <c r="KR97" s="15"/>
      <c r="KS97" s="15"/>
      <c r="KT97" s="15"/>
      <c r="KU97" s="15"/>
      <c r="KV97" s="15"/>
      <c r="KW97" s="15"/>
      <c r="KX97" s="15"/>
      <c r="KY97" s="15"/>
      <c r="KZ97" s="15"/>
      <c r="LA97" s="15"/>
      <c r="LB97" s="15"/>
      <c r="LC97" s="15"/>
      <c r="LD97" s="15"/>
      <c r="LE97" s="15"/>
      <c r="LF97" s="15"/>
      <c r="LG97" s="15"/>
      <c r="LH97" s="15"/>
      <c r="LI97" s="15"/>
      <c r="LJ97" s="15"/>
      <c r="LK97" s="15"/>
      <c r="LL97" s="15"/>
      <c r="LM97" s="15"/>
      <c r="LN97" s="15"/>
      <c r="LO97" s="15"/>
      <c r="LP97" s="15"/>
      <c r="LQ97" s="15"/>
      <c r="LR97" s="15"/>
      <c r="LS97" s="15"/>
      <c r="LT97" s="15"/>
      <c r="LU97" s="15"/>
      <c r="LV97" s="15"/>
      <c r="LW97" s="15"/>
      <c r="LX97" s="15"/>
      <c r="LY97" s="15"/>
      <c r="LZ97" s="15"/>
      <c r="MA97" s="15"/>
      <c r="MB97" s="15"/>
      <c r="MC97" s="15"/>
      <c r="MD97" s="15"/>
      <c r="ME97" s="15"/>
      <c r="MF97" s="15"/>
      <c r="MG97" s="15"/>
      <c r="MH97" s="15"/>
      <c r="MI97" s="15"/>
      <c r="MJ97" s="15"/>
      <c r="MK97" s="15"/>
      <c r="ML97" s="15"/>
      <c r="MM97" s="15"/>
      <c r="MN97" s="15"/>
      <c r="MO97" s="15"/>
      <c r="MP97" s="15"/>
      <c r="MQ97" s="15"/>
      <c r="MR97" s="15"/>
      <c r="MS97" s="15"/>
      <c r="MT97" s="15"/>
      <c r="MU97" s="15"/>
      <c r="MV97" s="15"/>
      <c r="MW97" s="15"/>
      <c r="MX97" s="15"/>
      <c r="MY97" s="15"/>
      <c r="MZ97" s="15"/>
      <c r="NA97" s="15"/>
      <c r="NB97" s="15"/>
      <c r="NC97" s="15"/>
      <c r="ND97" s="15"/>
      <c r="NE97" s="15"/>
      <c r="NF97" s="15"/>
      <c r="NG97" s="15"/>
      <c r="NH97" s="15"/>
      <c r="NI97" s="15"/>
      <c r="NJ97" s="15"/>
      <c r="NK97" s="15"/>
      <c r="NL97" s="15"/>
      <c r="NM97" s="15"/>
      <c r="NN97" s="15"/>
      <c r="NO97" s="15"/>
      <c r="NP97" s="15"/>
      <c r="NQ97" s="15"/>
      <c r="NR97" s="15"/>
      <c r="NS97" s="15"/>
      <c r="NT97" s="15"/>
      <c r="NU97" s="15"/>
      <c r="NV97" s="15"/>
      <c r="NW97" s="15"/>
      <c r="NX97" s="15"/>
      <c r="NY97" s="15"/>
      <c r="NZ97" s="15"/>
    </row>
    <row r="98" spans="2:390" ht="19.5" customHeight="1" x14ac:dyDescent="0.45">
      <c r="B98" s="1">
        <f>+B97</f>
        <v>3</v>
      </c>
      <c r="C98" s="1">
        <f>+C97</f>
        <v>2</v>
      </c>
      <c r="D98" s="1">
        <f>+D97+1</f>
        <v>2</v>
      </c>
      <c r="E98" s="59" t="str">
        <f t="shared" si="112"/>
        <v>3.2.2</v>
      </c>
      <c r="F98" s="23" t="s">
        <v>36</v>
      </c>
      <c r="G98" s="191">
        <v>2.6</v>
      </c>
      <c r="H98" s="52" t="s">
        <v>117</v>
      </c>
      <c r="I98" s="52" t="s">
        <v>156</v>
      </c>
      <c r="J98" s="52">
        <v>18</v>
      </c>
      <c r="K98" s="52">
        <v>0</v>
      </c>
      <c r="L98" s="52">
        <f>+J98-K98</f>
        <v>18</v>
      </c>
      <c r="M98" s="20">
        <v>2</v>
      </c>
      <c r="N98" s="20">
        <v>6</v>
      </c>
      <c r="O98" s="51">
        <f>+N98*M98</f>
        <v>12</v>
      </c>
      <c r="P98" s="51">
        <f>+SUM(AA98:NZ98)</f>
        <v>12</v>
      </c>
      <c r="Q98" s="51">
        <f>+O98-P98</f>
        <v>0</v>
      </c>
      <c r="R98" s="19">
        <v>46097</v>
      </c>
      <c r="S98" s="20">
        <v>5</v>
      </c>
      <c r="T98" s="21">
        <f t="shared" si="109"/>
        <v>46101</v>
      </c>
      <c r="U98" s="22">
        <f>+K98/J98</f>
        <v>0</v>
      </c>
      <c r="V98" s="199">
        <f t="shared" si="110"/>
        <v>0</v>
      </c>
      <c r="W98" s="158">
        <f>SUMIFS($AA98:$NZ98, $AA$8:$NZ$8, $W$13)/$O98</f>
        <v>0</v>
      </c>
      <c r="X98" s="159">
        <f t="shared" ref="X98:X106" si="114">SUMIF($AA$9:$NZ$9, "&lt;=" &amp; $W$11,$AA98:$NZ98)/$O98</f>
        <v>0</v>
      </c>
      <c r="Y98" s="199">
        <f t="shared" si="111"/>
        <v>0</v>
      </c>
      <c r="Z98" s="35"/>
      <c r="AA98" s="15"/>
      <c r="AB98" s="15"/>
      <c r="AC98" s="15"/>
      <c r="AD98" s="15"/>
      <c r="AE98" s="15"/>
      <c r="AF98" s="15"/>
      <c r="AG98" s="184"/>
      <c r="AH98" s="15"/>
      <c r="AI98" s="15"/>
      <c r="AJ98" s="15"/>
      <c r="AK98" s="15"/>
      <c r="AL98" s="15"/>
      <c r="AM98" s="15"/>
      <c r="AN98" s="184"/>
      <c r="AO98" s="15"/>
      <c r="AP98" s="15"/>
      <c r="AQ98" s="15"/>
      <c r="AR98" s="15"/>
      <c r="AS98" s="15"/>
      <c r="AT98" s="15"/>
      <c r="AU98" s="184"/>
      <c r="AV98" s="15"/>
      <c r="AW98" s="15"/>
      <c r="AX98" s="15"/>
      <c r="AY98" s="15"/>
      <c r="AZ98" s="15"/>
      <c r="BA98" s="15"/>
      <c r="BB98" s="184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84"/>
      <c r="CE98" s="15"/>
      <c r="CF98" s="15"/>
      <c r="CG98" s="15"/>
      <c r="CH98" s="15"/>
      <c r="CI98" s="15"/>
      <c r="CJ98" s="15"/>
      <c r="CK98" s="184"/>
      <c r="CL98" s="15"/>
      <c r="CM98" s="15"/>
      <c r="CN98" s="15"/>
      <c r="CO98" s="15"/>
      <c r="CP98" s="15"/>
      <c r="CQ98" s="15"/>
      <c r="CR98" s="184"/>
      <c r="CS98" s="15"/>
      <c r="CT98" s="15"/>
      <c r="CU98" s="15"/>
      <c r="CV98" s="15"/>
      <c r="CW98" s="15"/>
      <c r="CX98" s="15"/>
      <c r="CY98" s="184"/>
      <c r="CZ98" s="15"/>
      <c r="DA98" s="15"/>
      <c r="DB98" s="15"/>
      <c r="DC98" s="15"/>
      <c r="DD98" s="15"/>
      <c r="DE98" s="15"/>
      <c r="DF98" s="184"/>
      <c r="DG98" s="15"/>
      <c r="DH98" s="15"/>
      <c r="DI98" s="15"/>
      <c r="DJ98" s="15"/>
      <c r="DK98" s="15"/>
      <c r="DL98" s="15"/>
      <c r="DM98" s="184"/>
      <c r="DN98" s="15"/>
      <c r="DO98" s="15"/>
      <c r="DP98" s="15"/>
      <c r="DQ98" s="15"/>
      <c r="DR98" s="15"/>
      <c r="DS98" s="15"/>
      <c r="DT98" s="184"/>
      <c r="DU98" s="15"/>
      <c r="DV98" s="15"/>
      <c r="DW98" s="15"/>
      <c r="DX98" s="15"/>
      <c r="DY98" s="15"/>
      <c r="DZ98" s="15"/>
      <c r="EA98" s="184"/>
      <c r="EB98" s="15"/>
      <c r="EC98" s="15"/>
      <c r="ED98" s="15"/>
      <c r="EE98" s="15"/>
      <c r="EF98" s="15"/>
      <c r="EG98" s="15"/>
      <c r="EH98" s="184"/>
      <c r="EI98" s="15">
        <v>2</v>
      </c>
      <c r="EJ98" s="15">
        <v>2</v>
      </c>
      <c r="EK98" s="15">
        <v>2</v>
      </c>
      <c r="EL98" s="15">
        <v>2</v>
      </c>
      <c r="EM98" s="15">
        <v>2</v>
      </c>
      <c r="EN98" s="15">
        <v>2</v>
      </c>
      <c r="EO98" s="184"/>
      <c r="EP98" s="15"/>
      <c r="EQ98" s="15"/>
      <c r="ER98" s="15"/>
      <c r="ES98" s="15"/>
      <c r="ET98" s="15"/>
      <c r="EU98" s="15"/>
      <c r="EV98" s="184"/>
      <c r="EW98" s="15"/>
      <c r="EX98" s="15"/>
      <c r="EY98" s="15"/>
      <c r="EZ98" s="15"/>
      <c r="FA98" s="15"/>
      <c r="FB98" s="15"/>
      <c r="FC98" s="184"/>
      <c r="FD98" s="15"/>
      <c r="FE98" s="15"/>
      <c r="FF98" s="15"/>
      <c r="FG98" s="15"/>
      <c r="FH98" s="15"/>
      <c r="FI98" s="15"/>
      <c r="FJ98" s="184"/>
      <c r="FK98" s="15"/>
      <c r="FL98" s="15"/>
      <c r="FM98" s="15"/>
      <c r="FN98" s="15"/>
      <c r="FO98" s="15"/>
      <c r="FP98" s="15"/>
      <c r="FQ98" s="184"/>
      <c r="FR98" s="15"/>
      <c r="FS98" s="15"/>
      <c r="FT98" s="15"/>
      <c r="FU98" s="15"/>
      <c r="FV98" s="15"/>
      <c r="FW98" s="178"/>
      <c r="FX98" s="184"/>
      <c r="FY98" s="181"/>
      <c r="FZ98" s="15"/>
      <c r="GA98" s="15"/>
      <c r="GB98" s="15"/>
      <c r="GC98" s="15"/>
      <c r="GD98" s="15"/>
      <c r="GE98" s="184"/>
      <c r="GF98" s="15"/>
      <c r="GG98" s="15"/>
      <c r="GH98" s="15"/>
      <c r="GI98" s="15"/>
      <c r="GJ98" s="15"/>
      <c r="GK98" s="15"/>
      <c r="GL98" s="184"/>
      <c r="GM98" s="15"/>
      <c r="GN98" s="15"/>
      <c r="GO98" s="15"/>
      <c r="GP98" s="15"/>
      <c r="GQ98" s="15"/>
      <c r="GR98" s="15"/>
      <c r="GS98" s="184"/>
      <c r="GT98" s="15"/>
      <c r="GU98" s="15"/>
      <c r="GV98" s="15"/>
      <c r="GW98" s="15"/>
      <c r="GX98" s="15"/>
      <c r="GY98" s="15"/>
      <c r="GZ98" s="184"/>
      <c r="HA98" s="15"/>
      <c r="HB98" s="15"/>
      <c r="HC98" s="15"/>
      <c r="HD98" s="15"/>
      <c r="HE98" s="15"/>
      <c r="HF98" s="15"/>
      <c r="HG98" s="184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/>
      <c r="LI98" s="15"/>
      <c r="LJ98" s="15"/>
      <c r="LK98" s="15"/>
      <c r="LL98" s="15"/>
      <c r="LM98" s="15"/>
      <c r="LN98" s="15"/>
      <c r="LO98" s="15"/>
      <c r="LP98" s="15"/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  <c r="MG98" s="15"/>
      <c r="MH98" s="15"/>
      <c r="MI98" s="15"/>
      <c r="MJ98" s="15"/>
      <c r="MK98" s="15"/>
      <c r="ML98" s="15"/>
      <c r="MM98" s="15"/>
      <c r="MN98" s="15"/>
      <c r="MO98" s="15"/>
      <c r="MP98" s="15"/>
      <c r="MQ98" s="15"/>
      <c r="MR98" s="15"/>
      <c r="MS98" s="15"/>
      <c r="MT98" s="15"/>
      <c r="MU98" s="15"/>
      <c r="MV98" s="15"/>
      <c r="MW98" s="15"/>
      <c r="MX98" s="15"/>
      <c r="MY98" s="15"/>
      <c r="MZ98" s="15"/>
      <c r="NA98" s="15"/>
      <c r="NB98" s="15"/>
      <c r="NC98" s="15"/>
      <c r="ND98" s="15"/>
      <c r="NE98" s="15"/>
      <c r="NF98" s="15"/>
      <c r="NG98" s="15"/>
      <c r="NH98" s="15"/>
      <c r="NI98" s="15"/>
      <c r="NJ98" s="15"/>
      <c r="NK98" s="15"/>
      <c r="NL98" s="15"/>
      <c r="NM98" s="15"/>
      <c r="NN98" s="15"/>
      <c r="NO98" s="15"/>
      <c r="NP98" s="15"/>
      <c r="NQ98" s="15"/>
      <c r="NR98" s="15"/>
      <c r="NS98" s="15"/>
      <c r="NT98" s="15"/>
      <c r="NU98" s="15"/>
      <c r="NV98" s="15"/>
      <c r="NW98" s="15"/>
      <c r="NX98" s="15"/>
      <c r="NY98" s="15"/>
      <c r="NZ98" s="15"/>
    </row>
    <row r="99" spans="2:390" ht="19.5" customHeight="1" x14ac:dyDescent="0.45">
      <c r="B99" s="1">
        <f>+B97</f>
        <v>3</v>
      </c>
      <c r="C99" s="1">
        <f>+C97+1</f>
        <v>3</v>
      </c>
      <c r="D99" s="1">
        <v>0</v>
      </c>
      <c r="E99" s="93" t="str">
        <f t="shared" si="112"/>
        <v>3.3.0</v>
      </c>
      <c r="F99" s="94" t="s">
        <v>38</v>
      </c>
      <c r="G99" s="94"/>
      <c r="H99" s="95"/>
      <c r="I99" s="95"/>
      <c r="J99" s="96"/>
      <c r="K99" s="96"/>
      <c r="L99" s="96"/>
      <c r="M99" s="94"/>
      <c r="N99" s="94"/>
      <c r="O99" s="95">
        <f>SUM(O100:O104)</f>
        <v>186</v>
      </c>
      <c r="P99" s="95"/>
      <c r="Q99" s="95"/>
      <c r="R99" s="168"/>
      <c r="S99" s="98"/>
      <c r="T99" s="163" t="str">
        <f t="shared" si="109"/>
        <v/>
      </c>
      <c r="U99" s="164">
        <f>+SUMPRODUCT(U100:U104,O100:O104)/O99</f>
        <v>0</v>
      </c>
      <c r="V99" s="200">
        <f t="shared" si="110"/>
        <v>0</v>
      </c>
      <c r="W99" s="158">
        <f>SUMIFS($AA99:$NZ99, $AA$8:$NZ$8, $W$13)/$O99</f>
        <v>0</v>
      </c>
      <c r="X99" s="159">
        <f t="shared" si="114"/>
        <v>0</v>
      </c>
      <c r="Y99" s="199">
        <f t="shared" si="111"/>
        <v>0</v>
      </c>
      <c r="Z99" s="36"/>
      <c r="AA99" s="15"/>
      <c r="AB99" s="15"/>
      <c r="AC99" s="15"/>
      <c r="AD99" s="15"/>
      <c r="AE99" s="15"/>
      <c r="AF99" s="15"/>
      <c r="AG99" s="184"/>
      <c r="AH99" s="15"/>
      <c r="AI99" s="15"/>
      <c r="AJ99" s="15"/>
      <c r="AK99" s="15"/>
      <c r="AL99" s="15"/>
      <c r="AM99" s="15"/>
      <c r="AN99" s="184"/>
      <c r="AO99" s="15"/>
      <c r="AP99" s="15"/>
      <c r="AQ99" s="15"/>
      <c r="AR99" s="15"/>
      <c r="AS99" s="15"/>
      <c r="AT99" s="15"/>
      <c r="AU99" s="184"/>
      <c r="AV99" s="15"/>
      <c r="AW99" s="15"/>
      <c r="AX99" s="15"/>
      <c r="AY99" s="15"/>
      <c r="AZ99" s="15"/>
      <c r="BA99" s="15"/>
      <c r="BB99" s="184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84"/>
      <c r="CE99" s="15"/>
      <c r="CF99" s="15"/>
      <c r="CG99" s="15"/>
      <c r="CH99" s="15"/>
      <c r="CI99" s="15"/>
      <c r="CJ99" s="15"/>
      <c r="CK99" s="184"/>
      <c r="CL99" s="15"/>
      <c r="CM99" s="15"/>
      <c r="CN99" s="15"/>
      <c r="CO99" s="15"/>
      <c r="CP99" s="15"/>
      <c r="CQ99" s="15"/>
      <c r="CR99" s="184"/>
      <c r="CS99" s="15"/>
      <c r="CT99" s="15"/>
      <c r="CU99" s="15"/>
      <c r="CV99" s="15"/>
      <c r="CW99" s="15"/>
      <c r="CX99" s="15"/>
      <c r="CY99" s="184"/>
      <c r="CZ99" s="15"/>
      <c r="DA99" s="15"/>
      <c r="DB99" s="15"/>
      <c r="DC99" s="15"/>
      <c r="DD99" s="15"/>
      <c r="DE99" s="15"/>
      <c r="DF99" s="184"/>
      <c r="DG99" s="15"/>
      <c r="DH99" s="15"/>
      <c r="DI99" s="15"/>
      <c r="DJ99" s="15"/>
      <c r="DK99" s="15"/>
      <c r="DL99" s="15"/>
      <c r="DM99" s="184"/>
      <c r="DN99" s="15"/>
      <c r="DO99" s="15"/>
      <c r="DP99" s="15"/>
      <c r="DQ99" s="15"/>
      <c r="DR99" s="15"/>
      <c r="DS99" s="15"/>
      <c r="DT99" s="184"/>
      <c r="DU99" s="15"/>
      <c r="DV99" s="15"/>
      <c r="DW99" s="15"/>
      <c r="DX99" s="15"/>
      <c r="DY99" s="15"/>
      <c r="DZ99" s="15"/>
      <c r="EA99" s="184"/>
      <c r="EB99" s="15"/>
      <c r="EC99" s="15"/>
      <c r="ED99" s="15"/>
      <c r="EE99" s="15"/>
      <c r="EF99" s="15"/>
      <c r="EG99" s="15"/>
      <c r="EH99" s="184"/>
      <c r="EI99" s="15"/>
      <c r="EJ99" s="15"/>
      <c r="EK99" s="15"/>
      <c r="EL99" s="15"/>
      <c r="EM99" s="15"/>
      <c r="EN99" s="15"/>
      <c r="EO99" s="184"/>
      <c r="EP99" s="15"/>
      <c r="EQ99" s="15"/>
      <c r="ER99" s="15"/>
      <c r="ES99" s="15"/>
      <c r="ET99" s="15"/>
      <c r="EU99" s="15"/>
      <c r="EV99" s="184"/>
      <c r="EW99" s="15"/>
      <c r="EX99" s="15"/>
      <c r="EY99" s="15"/>
      <c r="EZ99" s="15"/>
      <c r="FA99" s="15"/>
      <c r="FB99" s="15"/>
      <c r="FC99" s="184"/>
      <c r="FD99" s="15"/>
      <c r="FE99" s="15"/>
      <c r="FF99" s="15"/>
      <c r="FG99" s="15"/>
      <c r="FH99" s="15"/>
      <c r="FI99" s="15"/>
      <c r="FJ99" s="184"/>
      <c r="FK99" s="15"/>
      <c r="FL99" s="15"/>
      <c r="FM99" s="15"/>
      <c r="FN99" s="15"/>
      <c r="FO99" s="15"/>
      <c r="FP99" s="15"/>
      <c r="FQ99" s="184"/>
      <c r="FR99" s="15"/>
      <c r="FS99" s="15"/>
      <c r="FT99" s="15"/>
      <c r="FU99" s="15"/>
      <c r="FV99" s="15"/>
      <c r="FW99" s="178"/>
      <c r="FX99" s="184"/>
      <c r="FY99" s="181"/>
      <c r="FZ99" s="15"/>
      <c r="GA99" s="15"/>
      <c r="GB99" s="15"/>
      <c r="GC99" s="15"/>
      <c r="GD99" s="15"/>
      <c r="GE99" s="184"/>
      <c r="GF99" s="15"/>
      <c r="GG99" s="15"/>
      <c r="GH99" s="15"/>
      <c r="GI99" s="15"/>
      <c r="GJ99" s="15"/>
      <c r="GK99" s="15"/>
      <c r="GL99" s="184"/>
      <c r="GM99" s="15"/>
      <c r="GN99" s="15"/>
      <c r="GO99" s="15"/>
      <c r="GP99" s="15"/>
      <c r="GQ99" s="15"/>
      <c r="GR99" s="15"/>
      <c r="GS99" s="184"/>
      <c r="GT99" s="15"/>
      <c r="GU99" s="15"/>
      <c r="GV99" s="15"/>
      <c r="GW99" s="15"/>
      <c r="GX99" s="15"/>
      <c r="GY99" s="15"/>
      <c r="GZ99" s="184"/>
      <c r="HA99" s="15"/>
      <c r="HB99" s="15"/>
      <c r="HC99" s="15"/>
      <c r="HD99" s="15"/>
      <c r="HE99" s="15"/>
      <c r="HF99" s="15"/>
      <c r="HG99" s="184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/>
      <c r="LI99" s="15"/>
      <c r="LJ99" s="15"/>
      <c r="LK99" s="15"/>
      <c r="LL99" s="15"/>
      <c r="LM99" s="15"/>
      <c r="LN99" s="15"/>
      <c r="LO99" s="15"/>
      <c r="LP99" s="15"/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  <c r="MG99" s="15"/>
      <c r="MH99" s="15"/>
      <c r="MI99" s="15"/>
      <c r="MJ99" s="15"/>
      <c r="MK99" s="15"/>
      <c r="ML99" s="15"/>
      <c r="MM99" s="15"/>
      <c r="MN99" s="15"/>
      <c r="MO99" s="15"/>
      <c r="MP99" s="15"/>
      <c r="MQ99" s="15"/>
      <c r="MR99" s="15"/>
      <c r="MS99" s="15"/>
      <c r="MT99" s="15"/>
      <c r="MU99" s="15"/>
      <c r="MV99" s="15"/>
      <c r="MW99" s="15"/>
      <c r="MX99" s="15"/>
      <c r="MY99" s="15"/>
      <c r="MZ99" s="15"/>
      <c r="NA99" s="15"/>
      <c r="NB99" s="15"/>
      <c r="NC99" s="15"/>
      <c r="ND99" s="15"/>
      <c r="NE99" s="15"/>
      <c r="NF99" s="15"/>
      <c r="NG99" s="15"/>
      <c r="NH99" s="15"/>
      <c r="NI99" s="15"/>
      <c r="NJ99" s="15"/>
      <c r="NK99" s="15"/>
      <c r="NL99" s="15"/>
      <c r="NM99" s="15"/>
      <c r="NN99" s="15"/>
      <c r="NO99" s="15"/>
      <c r="NP99" s="15"/>
      <c r="NQ99" s="15"/>
      <c r="NR99" s="15"/>
      <c r="NS99" s="15"/>
      <c r="NT99" s="15"/>
      <c r="NU99" s="15"/>
      <c r="NV99" s="15"/>
      <c r="NW99" s="15"/>
      <c r="NX99" s="15"/>
      <c r="NY99" s="15"/>
      <c r="NZ99" s="15"/>
    </row>
    <row r="100" spans="2:390" ht="19.5" customHeight="1" x14ac:dyDescent="0.45">
      <c r="B100" s="1">
        <f t="shared" ref="B100:C104" si="115">+B99</f>
        <v>3</v>
      </c>
      <c r="C100" s="1">
        <f t="shared" si="115"/>
        <v>3</v>
      </c>
      <c r="D100" s="1">
        <f>+D99+1</f>
        <v>1</v>
      </c>
      <c r="E100" s="59" t="str">
        <f t="shared" si="112"/>
        <v>3.3.1</v>
      </c>
      <c r="F100" s="23" t="s">
        <v>39</v>
      </c>
      <c r="G100" s="191">
        <v>2</v>
      </c>
      <c r="H100" s="52" t="s">
        <v>117</v>
      </c>
      <c r="I100" s="52" t="s">
        <v>158</v>
      </c>
      <c r="J100" s="52">
        <v>107</v>
      </c>
      <c r="K100" s="52">
        <v>0</v>
      </c>
      <c r="L100" s="52">
        <f>+J100-K100</f>
        <v>107</v>
      </c>
      <c r="M100" s="20">
        <v>2</v>
      </c>
      <c r="N100" s="20">
        <v>18</v>
      </c>
      <c r="O100" s="51">
        <f>+N100*M100</f>
        <v>36</v>
      </c>
      <c r="P100" s="51">
        <f>+SUM(AA100:NZ100)</f>
        <v>36</v>
      </c>
      <c r="Q100" s="51">
        <f>+O100-P100</f>
        <v>0</v>
      </c>
      <c r="R100" s="19">
        <v>46097</v>
      </c>
      <c r="S100" s="20">
        <v>15</v>
      </c>
      <c r="T100" s="21">
        <f t="shared" si="109"/>
        <v>46115</v>
      </c>
      <c r="U100" s="22">
        <f>+K100/J100</f>
        <v>0</v>
      </c>
      <c r="V100" s="199">
        <f t="shared" si="110"/>
        <v>0</v>
      </c>
      <c r="W100" s="158">
        <f>SUMIFS($AA100:$NZ100, $AA$8:$NZ$8, $W$13)/$O100</f>
        <v>0</v>
      </c>
      <c r="X100" s="159">
        <f t="shared" si="114"/>
        <v>0</v>
      </c>
      <c r="Y100" s="199">
        <f t="shared" si="111"/>
        <v>0</v>
      </c>
      <c r="Z100" s="36"/>
      <c r="AA100" s="15"/>
      <c r="AB100" s="15"/>
      <c r="AC100" s="15"/>
      <c r="AD100" s="15"/>
      <c r="AE100" s="15"/>
      <c r="AF100" s="15"/>
      <c r="AG100" s="184"/>
      <c r="AH100" s="15"/>
      <c r="AI100" s="15"/>
      <c r="AJ100" s="15"/>
      <c r="AK100" s="15"/>
      <c r="AL100" s="15"/>
      <c r="AM100" s="15"/>
      <c r="AN100" s="184"/>
      <c r="AO100" s="15"/>
      <c r="AP100" s="15"/>
      <c r="AQ100" s="15"/>
      <c r="AR100" s="15"/>
      <c r="AS100" s="15"/>
      <c r="AT100" s="15"/>
      <c r="AU100" s="184"/>
      <c r="AV100" s="15"/>
      <c r="AW100" s="15"/>
      <c r="AX100" s="15"/>
      <c r="AY100" s="15"/>
      <c r="AZ100" s="15"/>
      <c r="BA100" s="15"/>
      <c r="BB100" s="184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84"/>
      <c r="CE100" s="15"/>
      <c r="CF100" s="15"/>
      <c r="CG100" s="15"/>
      <c r="CH100" s="15"/>
      <c r="CI100" s="15"/>
      <c r="CJ100" s="15"/>
      <c r="CK100" s="184"/>
      <c r="CL100" s="15"/>
      <c r="CM100" s="15"/>
      <c r="CN100" s="15"/>
      <c r="CO100" s="15"/>
      <c r="CP100" s="15"/>
      <c r="CQ100" s="15"/>
      <c r="CR100" s="184"/>
      <c r="CS100" s="15"/>
      <c r="CT100" s="15"/>
      <c r="CU100" s="15"/>
      <c r="CV100" s="15"/>
      <c r="CW100" s="15"/>
      <c r="CX100" s="15"/>
      <c r="CY100" s="184"/>
      <c r="CZ100" s="15"/>
      <c r="DA100" s="15"/>
      <c r="DB100" s="15"/>
      <c r="DC100" s="15"/>
      <c r="DD100" s="15"/>
      <c r="DE100" s="15"/>
      <c r="DF100" s="184"/>
      <c r="DG100" s="15"/>
      <c r="DH100" s="15"/>
      <c r="DI100" s="15"/>
      <c r="DJ100" s="15"/>
      <c r="DK100" s="15"/>
      <c r="DL100" s="15"/>
      <c r="DM100" s="184"/>
      <c r="DN100" s="15"/>
      <c r="DO100" s="15"/>
      <c r="DP100" s="15"/>
      <c r="DQ100" s="15"/>
      <c r="DR100" s="15"/>
      <c r="DS100" s="15"/>
      <c r="DT100" s="184"/>
      <c r="DU100" s="15"/>
      <c r="DV100" s="15"/>
      <c r="DW100" s="15"/>
      <c r="DX100" s="15"/>
      <c r="DY100" s="15"/>
      <c r="DZ100" s="15"/>
      <c r="EA100" s="184"/>
      <c r="EB100" s="15"/>
      <c r="EC100" s="15"/>
      <c r="ED100" s="15"/>
      <c r="EE100" s="15"/>
      <c r="EF100" s="15"/>
      <c r="EG100" s="15"/>
      <c r="EH100" s="184"/>
      <c r="EI100" s="15">
        <v>2</v>
      </c>
      <c r="EJ100" s="15">
        <v>2</v>
      </c>
      <c r="EK100" s="15">
        <v>2</v>
      </c>
      <c r="EL100" s="15">
        <v>2</v>
      </c>
      <c r="EM100" s="15">
        <v>2</v>
      </c>
      <c r="EN100" s="15">
        <v>2</v>
      </c>
      <c r="EO100" s="184"/>
      <c r="EP100" s="15">
        <v>2</v>
      </c>
      <c r="EQ100" s="15">
        <v>2</v>
      </c>
      <c r="ER100" s="15">
        <v>2</v>
      </c>
      <c r="ES100" s="15">
        <v>2</v>
      </c>
      <c r="ET100" s="15">
        <v>2</v>
      </c>
      <c r="EU100" s="15">
        <v>2</v>
      </c>
      <c r="EV100" s="184"/>
      <c r="EW100" s="15">
        <v>2</v>
      </c>
      <c r="EX100" s="15">
        <v>2</v>
      </c>
      <c r="EY100" s="15">
        <v>2</v>
      </c>
      <c r="EZ100" s="15">
        <v>2</v>
      </c>
      <c r="FA100" s="15">
        <v>2</v>
      </c>
      <c r="FB100" s="15">
        <v>2</v>
      </c>
      <c r="FC100" s="184"/>
      <c r="FD100" s="15"/>
      <c r="FE100" s="15"/>
      <c r="FF100" s="15"/>
      <c r="FG100" s="15"/>
      <c r="FH100" s="15"/>
      <c r="FI100" s="15"/>
      <c r="FJ100" s="184"/>
      <c r="FK100" s="15"/>
      <c r="FL100" s="15"/>
      <c r="FM100" s="15"/>
      <c r="FN100" s="15"/>
      <c r="FO100" s="15"/>
      <c r="FP100" s="15"/>
      <c r="FQ100" s="184"/>
      <c r="FR100" s="15"/>
      <c r="FS100" s="15"/>
      <c r="FT100" s="15"/>
      <c r="FU100" s="15"/>
      <c r="FV100" s="15"/>
      <c r="FW100" s="178"/>
      <c r="FX100" s="184"/>
      <c r="FY100" s="181"/>
      <c r="FZ100" s="15"/>
      <c r="GA100" s="15"/>
      <c r="GB100" s="15"/>
      <c r="GC100" s="15"/>
      <c r="GD100" s="15"/>
      <c r="GE100" s="184"/>
      <c r="GF100" s="15"/>
      <c r="GG100" s="15"/>
      <c r="GH100" s="15"/>
      <c r="GI100" s="15"/>
      <c r="GJ100" s="15"/>
      <c r="GK100" s="15"/>
      <c r="GL100" s="184"/>
      <c r="GM100" s="15"/>
      <c r="GN100" s="15"/>
      <c r="GO100" s="15"/>
      <c r="GP100" s="15"/>
      <c r="GQ100" s="15"/>
      <c r="GR100" s="15"/>
      <c r="GS100" s="184"/>
      <c r="GT100" s="15"/>
      <c r="GU100" s="15"/>
      <c r="GV100" s="15"/>
      <c r="GW100" s="15"/>
      <c r="GX100" s="15"/>
      <c r="GY100" s="15"/>
      <c r="GZ100" s="184"/>
      <c r="HA100" s="15"/>
      <c r="HB100" s="15"/>
      <c r="HC100" s="15"/>
      <c r="HD100" s="15"/>
      <c r="HE100" s="15"/>
      <c r="HF100" s="15"/>
      <c r="HG100" s="184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  <c r="MG100" s="15"/>
      <c r="MH100" s="15"/>
      <c r="MI100" s="15"/>
      <c r="MJ100" s="15"/>
      <c r="MK100" s="15"/>
      <c r="ML100" s="15"/>
      <c r="MM100" s="15"/>
      <c r="MN100" s="15"/>
      <c r="MO100" s="15"/>
      <c r="MP100" s="15"/>
      <c r="MQ100" s="15"/>
      <c r="MR100" s="15"/>
      <c r="MS100" s="15"/>
      <c r="MT100" s="15"/>
      <c r="MU100" s="15"/>
      <c r="MV100" s="15"/>
      <c r="MW100" s="15"/>
      <c r="MX100" s="15"/>
      <c r="MY100" s="15"/>
      <c r="MZ100" s="15"/>
      <c r="NA100" s="15"/>
      <c r="NB100" s="15"/>
      <c r="NC100" s="15"/>
      <c r="ND100" s="15"/>
      <c r="NE100" s="15"/>
      <c r="NF100" s="15"/>
      <c r="NG100" s="15"/>
      <c r="NH100" s="15"/>
      <c r="NI100" s="15"/>
      <c r="NJ100" s="15"/>
      <c r="NK100" s="15"/>
      <c r="NL100" s="15"/>
      <c r="NM100" s="15"/>
      <c r="NN100" s="15"/>
      <c r="NO100" s="15"/>
      <c r="NP100" s="15"/>
      <c r="NQ100" s="15"/>
      <c r="NR100" s="15"/>
      <c r="NS100" s="15"/>
      <c r="NT100" s="15"/>
      <c r="NU100" s="15"/>
      <c r="NV100" s="15"/>
      <c r="NW100" s="15"/>
      <c r="NX100" s="15"/>
      <c r="NY100" s="15"/>
      <c r="NZ100" s="15"/>
    </row>
    <row r="101" spans="2:390" ht="19.5" customHeight="1" x14ac:dyDescent="0.45">
      <c r="B101" s="1">
        <f t="shared" si="115"/>
        <v>3</v>
      </c>
      <c r="C101" s="1">
        <f t="shared" si="115"/>
        <v>3</v>
      </c>
      <c r="D101" s="1">
        <f>+D100+1</f>
        <v>2</v>
      </c>
      <c r="E101" s="59" t="str">
        <f t="shared" si="112"/>
        <v>3.3.2</v>
      </c>
      <c r="F101" s="23" t="s">
        <v>40</v>
      </c>
      <c r="G101" s="191" t="s">
        <v>152</v>
      </c>
      <c r="H101" s="52" t="s">
        <v>117</v>
      </c>
      <c r="I101" s="52" t="s">
        <v>158</v>
      </c>
      <c r="J101" s="52">
        <v>27</v>
      </c>
      <c r="K101" s="52">
        <v>0</v>
      </c>
      <c r="L101" s="52">
        <f>+J101-K101</f>
        <v>27</v>
      </c>
      <c r="M101" s="20">
        <v>5</v>
      </c>
      <c r="N101" s="20">
        <v>6</v>
      </c>
      <c r="O101" s="51">
        <f>+N101*M101</f>
        <v>30</v>
      </c>
      <c r="P101" s="51">
        <f>+SUM(AA101:NZ101)</f>
        <v>30</v>
      </c>
      <c r="Q101" s="51">
        <f>+O101-P101</f>
        <v>0</v>
      </c>
      <c r="R101" s="19">
        <v>46111</v>
      </c>
      <c r="S101" s="20">
        <v>5</v>
      </c>
      <c r="T101" s="21">
        <f t="shared" si="109"/>
        <v>46115</v>
      </c>
      <c r="U101" s="22">
        <f>+K101/J101</f>
        <v>0</v>
      </c>
      <c r="V101" s="199">
        <f t="shared" si="110"/>
        <v>0</v>
      </c>
      <c r="W101" s="158">
        <f>SUMIFS($AA101:$NZ101, $AA$8:$NZ$8, $W$13)/$O101</f>
        <v>0</v>
      </c>
      <c r="X101" s="159">
        <f t="shared" si="114"/>
        <v>0</v>
      </c>
      <c r="Y101" s="199">
        <f t="shared" si="111"/>
        <v>0</v>
      </c>
      <c r="Z101" s="36"/>
      <c r="AA101" s="15"/>
      <c r="AB101" s="15"/>
      <c r="AC101" s="15"/>
      <c r="AD101" s="15"/>
      <c r="AE101" s="15"/>
      <c r="AF101" s="15"/>
      <c r="AG101" s="184"/>
      <c r="AH101" s="15"/>
      <c r="AI101" s="15"/>
      <c r="AJ101" s="15"/>
      <c r="AK101" s="15"/>
      <c r="AL101" s="15"/>
      <c r="AM101" s="15"/>
      <c r="AN101" s="184"/>
      <c r="AO101" s="15"/>
      <c r="AP101" s="15"/>
      <c r="AQ101" s="15"/>
      <c r="AR101" s="15"/>
      <c r="AS101" s="15"/>
      <c r="AT101" s="15"/>
      <c r="AU101" s="184"/>
      <c r="AV101" s="15"/>
      <c r="AW101" s="15"/>
      <c r="AX101" s="15"/>
      <c r="AY101" s="15"/>
      <c r="AZ101" s="15"/>
      <c r="BA101" s="15"/>
      <c r="BB101" s="184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84"/>
      <c r="CE101" s="15"/>
      <c r="CF101" s="15"/>
      <c r="CG101" s="15"/>
      <c r="CH101" s="15"/>
      <c r="CI101" s="15"/>
      <c r="CJ101" s="15"/>
      <c r="CK101" s="184"/>
      <c r="CL101" s="15"/>
      <c r="CM101" s="15"/>
      <c r="CN101" s="15"/>
      <c r="CO101" s="15"/>
      <c r="CP101" s="15"/>
      <c r="CQ101" s="15"/>
      <c r="CR101" s="184"/>
      <c r="CS101" s="15"/>
      <c r="CT101" s="15"/>
      <c r="CU101" s="15"/>
      <c r="CV101" s="15"/>
      <c r="CW101" s="15"/>
      <c r="CX101" s="15"/>
      <c r="CY101" s="184"/>
      <c r="CZ101" s="15"/>
      <c r="DA101" s="15"/>
      <c r="DB101" s="15"/>
      <c r="DC101" s="15"/>
      <c r="DD101" s="15"/>
      <c r="DE101" s="15"/>
      <c r="DF101" s="184"/>
      <c r="DG101" s="15"/>
      <c r="DH101" s="15"/>
      <c r="DI101" s="15"/>
      <c r="DJ101" s="15"/>
      <c r="DK101" s="15"/>
      <c r="DL101" s="15"/>
      <c r="DM101" s="184"/>
      <c r="DN101" s="15"/>
      <c r="DO101" s="15"/>
      <c r="DP101" s="15"/>
      <c r="DQ101" s="15"/>
      <c r="DR101" s="15"/>
      <c r="DS101" s="15"/>
      <c r="DT101" s="184"/>
      <c r="DU101" s="15"/>
      <c r="DV101" s="15"/>
      <c r="DW101" s="15"/>
      <c r="DX101" s="15"/>
      <c r="DY101" s="15"/>
      <c r="DZ101" s="15"/>
      <c r="EA101" s="184"/>
      <c r="EB101" s="15"/>
      <c r="EC101" s="15"/>
      <c r="ED101" s="15"/>
      <c r="EE101" s="15"/>
      <c r="EF101" s="15"/>
      <c r="EG101" s="15"/>
      <c r="EH101" s="184"/>
      <c r="EI101" s="15"/>
      <c r="EJ101" s="15"/>
      <c r="EK101" s="15"/>
      <c r="EL101" s="15"/>
      <c r="EM101" s="15"/>
      <c r="EN101" s="15"/>
      <c r="EO101" s="184"/>
      <c r="EP101" s="15"/>
      <c r="EQ101" s="15"/>
      <c r="ER101" s="15"/>
      <c r="ES101" s="15"/>
      <c r="ET101" s="15"/>
      <c r="EU101" s="15"/>
      <c r="EV101" s="184"/>
      <c r="EW101" s="15">
        <v>5</v>
      </c>
      <c r="EX101" s="15">
        <v>5</v>
      </c>
      <c r="EY101" s="15">
        <v>5</v>
      </c>
      <c r="EZ101" s="15">
        <v>5</v>
      </c>
      <c r="FA101" s="15">
        <v>5</v>
      </c>
      <c r="FB101" s="15">
        <v>5</v>
      </c>
      <c r="FC101" s="184"/>
      <c r="FD101" s="15"/>
      <c r="FE101" s="15"/>
      <c r="FF101" s="15"/>
      <c r="FG101" s="15"/>
      <c r="FH101" s="15"/>
      <c r="FI101" s="15"/>
      <c r="FJ101" s="184"/>
      <c r="FK101" s="15"/>
      <c r="FL101" s="15"/>
      <c r="FM101" s="15"/>
      <c r="FN101" s="15"/>
      <c r="FO101" s="15"/>
      <c r="FP101" s="15"/>
      <c r="FQ101" s="184"/>
      <c r="FR101" s="15"/>
      <c r="FS101" s="15"/>
      <c r="FT101" s="15"/>
      <c r="FU101" s="15"/>
      <c r="FV101" s="15"/>
      <c r="FW101" s="178"/>
      <c r="FX101" s="184"/>
      <c r="FY101" s="181"/>
      <c r="FZ101" s="15"/>
      <c r="GA101" s="15"/>
      <c r="GB101" s="15"/>
      <c r="GC101" s="15"/>
      <c r="GD101" s="15"/>
      <c r="GE101" s="184"/>
      <c r="GF101" s="15"/>
      <c r="GG101" s="15"/>
      <c r="GH101" s="15"/>
      <c r="GI101" s="15"/>
      <c r="GJ101" s="15"/>
      <c r="GK101" s="15"/>
      <c r="GL101" s="184"/>
      <c r="GM101" s="15"/>
      <c r="GN101" s="15"/>
      <c r="GO101" s="15"/>
      <c r="GP101" s="15"/>
      <c r="GQ101" s="15"/>
      <c r="GR101" s="15"/>
      <c r="GS101" s="184"/>
      <c r="GT101" s="15"/>
      <c r="GU101" s="15"/>
      <c r="GV101" s="15"/>
      <c r="GW101" s="15"/>
      <c r="GX101" s="15"/>
      <c r="GY101" s="15"/>
      <c r="GZ101" s="184"/>
      <c r="HA101" s="15"/>
      <c r="HB101" s="15"/>
      <c r="HC101" s="15"/>
      <c r="HD101" s="15"/>
      <c r="HE101" s="15"/>
      <c r="HF101" s="15"/>
      <c r="HG101" s="184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  <c r="MG101" s="15"/>
      <c r="MH101" s="15"/>
      <c r="MI101" s="15"/>
      <c r="MJ101" s="15"/>
      <c r="MK101" s="15"/>
      <c r="ML101" s="15"/>
      <c r="MM101" s="15"/>
      <c r="MN101" s="15"/>
      <c r="MO101" s="15"/>
      <c r="MP101" s="15"/>
      <c r="MQ101" s="15"/>
      <c r="MR101" s="15"/>
      <c r="MS101" s="15"/>
      <c r="MT101" s="15"/>
      <c r="MU101" s="15"/>
      <c r="MV101" s="15"/>
      <c r="MW101" s="15"/>
      <c r="MX101" s="15"/>
      <c r="MY101" s="15"/>
      <c r="MZ101" s="15"/>
      <c r="NA101" s="15"/>
      <c r="NB101" s="15"/>
      <c r="NC101" s="15"/>
      <c r="ND101" s="15"/>
      <c r="NE101" s="15"/>
      <c r="NF101" s="15"/>
      <c r="NG101" s="15"/>
      <c r="NH101" s="15"/>
      <c r="NI101" s="15"/>
      <c r="NJ101" s="15"/>
      <c r="NK101" s="15"/>
      <c r="NL101" s="15"/>
      <c r="NM101" s="15"/>
      <c r="NN101" s="15"/>
      <c r="NO101" s="15"/>
      <c r="NP101" s="15"/>
      <c r="NQ101" s="15"/>
      <c r="NR101" s="15"/>
      <c r="NS101" s="15"/>
      <c r="NT101" s="15"/>
      <c r="NU101" s="15"/>
      <c r="NV101" s="15"/>
      <c r="NW101" s="15"/>
      <c r="NX101" s="15"/>
      <c r="NY101" s="15"/>
      <c r="NZ101" s="15"/>
    </row>
    <row r="102" spans="2:390" ht="33.75" customHeight="1" x14ac:dyDescent="0.45">
      <c r="B102" s="1">
        <f t="shared" si="115"/>
        <v>3</v>
      </c>
      <c r="C102" s="1">
        <f t="shared" si="115"/>
        <v>3</v>
      </c>
      <c r="D102" s="1">
        <f>+D101+1</f>
        <v>3</v>
      </c>
      <c r="E102" s="59" t="str">
        <f t="shared" si="112"/>
        <v>3.3.3</v>
      </c>
      <c r="F102" s="23" t="s">
        <v>41</v>
      </c>
      <c r="G102" s="191" t="s">
        <v>151</v>
      </c>
      <c r="H102" s="52" t="s">
        <v>117</v>
      </c>
      <c r="I102" s="52" t="s">
        <v>158</v>
      </c>
      <c r="J102" s="52">
        <v>38</v>
      </c>
      <c r="K102" s="52">
        <v>0</v>
      </c>
      <c r="L102" s="52">
        <f>+J102-K102</f>
        <v>38</v>
      </c>
      <c r="M102" s="20">
        <v>4</v>
      </c>
      <c r="N102" s="20">
        <v>24</v>
      </c>
      <c r="O102" s="51">
        <f>+N102*M102</f>
        <v>96</v>
      </c>
      <c r="P102" s="51">
        <f>+SUM(AA102:NZ102)</f>
        <v>96</v>
      </c>
      <c r="Q102" s="51">
        <f>+O102-P102</f>
        <v>0</v>
      </c>
      <c r="R102" s="19">
        <v>46083</v>
      </c>
      <c r="S102" s="20">
        <v>10</v>
      </c>
      <c r="T102" s="21">
        <f t="shared" si="109"/>
        <v>46094</v>
      </c>
      <c r="U102" s="22">
        <f>+K102/J102</f>
        <v>0</v>
      </c>
      <c r="V102" s="199">
        <f t="shared" si="110"/>
        <v>0</v>
      </c>
      <c r="W102" s="158">
        <f>SUMIFS($AA102:$NZ102, $AA$8:$NZ$8, $W$13)/$O102</f>
        <v>0</v>
      </c>
      <c r="X102" s="159">
        <f t="shared" si="114"/>
        <v>0</v>
      </c>
      <c r="Y102" s="199">
        <f t="shared" si="111"/>
        <v>0</v>
      </c>
      <c r="Z102" s="36"/>
      <c r="AA102" s="15"/>
      <c r="AB102" s="15"/>
      <c r="AC102" s="15"/>
      <c r="AD102" s="15"/>
      <c r="AE102" s="15"/>
      <c r="AF102" s="15"/>
      <c r="AG102" s="184"/>
      <c r="AH102" s="15"/>
      <c r="AI102" s="15"/>
      <c r="AJ102" s="15"/>
      <c r="AK102" s="15"/>
      <c r="AL102" s="15"/>
      <c r="AM102" s="15"/>
      <c r="AN102" s="184"/>
      <c r="AO102" s="15"/>
      <c r="AP102" s="15"/>
      <c r="AQ102" s="15"/>
      <c r="AR102" s="15"/>
      <c r="AS102" s="15"/>
      <c r="AT102" s="15"/>
      <c r="AU102" s="184"/>
      <c r="AV102" s="15"/>
      <c r="AW102" s="15"/>
      <c r="AX102" s="15"/>
      <c r="AY102" s="15"/>
      <c r="AZ102" s="15"/>
      <c r="BA102" s="15"/>
      <c r="BB102" s="184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84"/>
      <c r="CE102" s="15"/>
      <c r="CF102" s="15"/>
      <c r="CG102" s="15"/>
      <c r="CH102" s="15"/>
      <c r="CI102" s="15"/>
      <c r="CJ102" s="15"/>
      <c r="CK102" s="184"/>
      <c r="CL102" s="15"/>
      <c r="CM102" s="15"/>
      <c r="CN102" s="15"/>
      <c r="CO102" s="15"/>
      <c r="CP102" s="15"/>
      <c r="CQ102" s="15"/>
      <c r="CR102" s="184"/>
      <c r="CS102" s="15"/>
      <c r="CT102" s="15"/>
      <c r="CU102" s="15"/>
      <c r="CV102" s="15"/>
      <c r="CW102" s="15"/>
      <c r="CX102" s="15"/>
      <c r="CY102" s="184"/>
      <c r="CZ102" s="15"/>
      <c r="DA102" s="15"/>
      <c r="DB102" s="15"/>
      <c r="DC102" s="15"/>
      <c r="DD102" s="15"/>
      <c r="DE102" s="15"/>
      <c r="DF102" s="184"/>
      <c r="DG102" s="15"/>
      <c r="DH102" s="15"/>
      <c r="DI102" s="15"/>
      <c r="DJ102" s="15"/>
      <c r="DK102" s="15"/>
      <c r="DL102" s="15"/>
      <c r="DM102" s="184"/>
      <c r="DN102" s="15"/>
      <c r="DO102" s="15"/>
      <c r="DP102" s="15"/>
      <c r="DQ102" s="15"/>
      <c r="DR102" s="15"/>
      <c r="DS102" s="15"/>
      <c r="DT102" s="184"/>
      <c r="DU102" s="15">
        <v>8</v>
      </c>
      <c r="DV102" s="15">
        <v>8</v>
      </c>
      <c r="DW102" s="15">
        <v>8</v>
      </c>
      <c r="DX102" s="15">
        <v>8</v>
      </c>
      <c r="DY102" s="15">
        <v>8</v>
      </c>
      <c r="DZ102" s="15">
        <v>8</v>
      </c>
      <c r="EA102" s="184"/>
      <c r="EB102" s="15">
        <v>8</v>
      </c>
      <c r="EC102" s="15">
        <v>8</v>
      </c>
      <c r="ED102" s="15">
        <v>8</v>
      </c>
      <c r="EE102" s="15">
        <v>8</v>
      </c>
      <c r="EF102" s="15">
        <v>8</v>
      </c>
      <c r="EG102" s="15">
        <v>8</v>
      </c>
      <c r="EH102" s="184"/>
      <c r="EI102" s="15"/>
      <c r="EJ102" s="15"/>
      <c r="EK102" s="15"/>
      <c r="EL102" s="15"/>
      <c r="EM102" s="15"/>
      <c r="EN102" s="15"/>
      <c r="EO102" s="184"/>
      <c r="EP102" s="15"/>
      <c r="EQ102" s="15"/>
      <c r="ER102" s="15"/>
      <c r="ES102" s="15"/>
      <c r="ET102" s="15"/>
      <c r="EU102" s="15"/>
      <c r="EV102" s="184"/>
      <c r="EW102" s="15"/>
      <c r="EX102" s="15"/>
      <c r="EY102" s="15"/>
      <c r="EZ102" s="15"/>
      <c r="FA102" s="15"/>
      <c r="FB102" s="15"/>
      <c r="FC102" s="184"/>
      <c r="FD102" s="15"/>
      <c r="FE102" s="15"/>
      <c r="FF102" s="15"/>
      <c r="FG102" s="15"/>
      <c r="FH102" s="15"/>
      <c r="FI102" s="15"/>
      <c r="FJ102" s="184"/>
      <c r="FK102" s="15"/>
      <c r="FL102" s="15"/>
      <c r="FM102" s="15"/>
      <c r="FN102" s="15"/>
      <c r="FO102" s="15"/>
      <c r="FP102" s="15"/>
      <c r="FQ102" s="184"/>
      <c r="FR102" s="15"/>
      <c r="FS102" s="15"/>
      <c r="FT102" s="15"/>
      <c r="FU102" s="15"/>
      <c r="FV102" s="15"/>
      <c r="FW102" s="178"/>
      <c r="FX102" s="184"/>
      <c r="FY102" s="181"/>
      <c r="FZ102" s="15"/>
      <c r="GA102" s="15"/>
      <c r="GB102" s="15"/>
      <c r="GC102" s="15"/>
      <c r="GD102" s="15"/>
      <c r="GE102" s="184"/>
      <c r="GF102" s="15"/>
      <c r="GG102" s="15"/>
      <c r="GH102" s="15"/>
      <c r="GI102" s="15"/>
      <c r="GJ102" s="15"/>
      <c r="GK102" s="15"/>
      <c r="GL102" s="184"/>
      <c r="GM102" s="15"/>
      <c r="GN102" s="15"/>
      <c r="GO102" s="15"/>
      <c r="GP102" s="15"/>
      <c r="GQ102" s="15"/>
      <c r="GR102" s="15"/>
      <c r="GS102" s="184"/>
      <c r="GT102" s="15"/>
      <c r="GU102" s="15"/>
      <c r="GV102" s="15"/>
      <c r="GW102" s="15"/>
      <c r="GX102" s="15"/>
      <c r="GY102" s="15"/>
      <c r="GZ102" s="184"/>
      <c r="HA102" s="15"/>
      <c r="HB102" s="15"/>
      <c r="HC102" s="15"/>
      <c r="HD102" s="15"/>
      <c r="HE102" s="15"/>
      <c r="HF102" s="15"/>
      <c r="HG102" s="184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  <c r="MG102" s="15"/>
      <c r="MH102" s="15"/>
      <c r="MI102" s="15"/>
      <c r="MJ102" s="15"/>
      <c r="MK102" s="15"/>
      <c r="ML102" s="15"/>
      <c r="MM102" s="15"/>
      <c r="MN102" s="15"/>
      <c r="MO102" s="15"/>
      <c r="MP102" s="15"/>
      <c r="MQ102" s="15"/>
      <c r="MR102" s="15"/>
      <c r="MS102" s="15"/>
      <c r="MT102" s="15"/>
      <c r="MU102" s="15"/>
      <c r="MV102" s="15"/>
      <c r="MW102" s="15"/>
      <c r="MX102" s="15"/>
      <c r="MY102" s="15"/>
      <c r="MZ102" s="15"/>
      <c r="NA102" s="15"/>
      <c r="NB102" s="15"/>
      <c r="NC102" s="15"/>
      <c r="ND102" s="15"/>
      <c r="NE102" s="15"/>
      <c r="NF102" s="15"/>
      <c r="NG102" s="15"/>
      <c r="NH102" s="15"/>
      <c r="NI102" s="15"/>
      <c r="NJ102" s="15"/>
      <c r="NK102" s="15"/>
      <c r="NL102" s="15"/>
      <c r="NM102" s="15"/>
      <c r="NN102" s="15"/>
      <c r="NO102" s="15"/>
      <c r="NP102" s="15"/>
      <c r="NQ102" s="15"/>
      <c r="NR102" s="15"/>
      <c r="NS102" s="15"/>
      <c r="NT102" s="15"/>
      <c r="NU102" s="15"/>
      <c r="NV102" s="15"/>
      <c r="NW102" s="15"/>
      <c r="NX102" s="15"/>
      <c r="NY102" s="15"/>
      <c r="NZ102" s="15"/>
    </row>
    <row r="103" spans="2:390" ht="19.5" customHeight="1" x14ac:dyDescent="0.45">
      <c r="B103" s="1">
        <f t="shared" si="115"/>
        <v>3</v>
      </c>
      <c r="C103" s="1">
        <f t="shared" si="115"/>
        <v>3</v>
      </c>
      <c r="D103" s="1">
        <f>+D102+1</f>
        <v>4</v>
      </c>
      <c r="E103" s="59" t="str">
        <f t="shared" si="112"/>
        <v>3.3.4</v>
      </c>
      <c r="F103" s="23" t="s">
        <v>43</v>
      </c>
      <c r="G103" s="191">
        <v>2</v>
      </c>
      <c r="H103" s="52" t="s">
        <v>117</v>
      </c>
      <c r="I103" s="52" t="s">
        <v>158</v>
      </c>
      <c r="J103" s="52">
        <v>39</v>
      </c>
      <c r="K103" s="52">
        <v>0</v>
      </c>
      <c r="L103" s="52">
        <f>+J103-K103</f>
        <v>39</v>
      </c>
      <c r="M103" s="20">
        <v>2</v>
      </c>
      <c r="N103" s="20">
        <v>6</v>
      </c>
      <c r="O103" s="51">
        <f>+N103*M103</f>
        <v>12</v>
      </c>
      <c r="P103" s="51">
        <f>+SUM(AA103:NZ103)</f>
        <v>12</v>
      </c>
      <c r="Q103" s="51">
        <f>+O103-P103</f>
        <v>0</v>
      </c>
      <c r="R103" s="19">
        <v>46104</v>
      </c>
      <c r="S103" s="20">
        <v>8</v>
      </c>
      <c r="T103" s="21">
        <f t="shared" si="109"/>
        <v>46113</v>
      </c>
      <c r="U103" s="22">
        <f>+K103/J103</f>
        <v>0</v>
      </c>
      <c r="V103" s="199">
        <f t="shared" si="110"/>
        <v>0</v>
      </c>
      <c r="W103" s="158">
        <f>SUMIFS($AA103:$NZ103, $AA$8:$NZ$8, $W$13)/$O103</f>
        <v>0</v>
      </c>
      <c r="X103" s="159">
        <f t="shared" si="114"/>
        <v>0</v>
      </c>
      <c r="Y103" s="199">
        <f t="shared" si="111"/>
        <v>0</v>
      </c>
      <c r="Z103" s="36"/>
      <c r="AA103" s="15"/>
      <c r="AB103" s="15"/>
      <c r="AC103" s="15"/>
      <c r="AD103" s="15"/>
      <c r="AE103" s="15"/>
      <c r="AF103" s="15"/>
      <c r="AG103" s="184"/>
      <c r="AH103" s="15"/>
      <c r="AI103" s="15"/>
      <c r="AJ103" s="15"/>
      <c r="AK103" s="15"/>
      <c r="AL103" s="15"/>
      <c r="AM103" s="15"/>
      <c r="AN103" s="184"/>
      <c r="AO103" s="15"/>
      <c r="AP103" s="15"/>
      <c r="AQ103" s="15"/>
      <c r="AR103" s="15"/>
      <c r="AS103" s="15"/>
      <c r="AT103" s="15"/>
      <c r="AU103" s="184"/>
      <c r="AV103" s="15"/>
      <c r="AW103" s="15"/>
      <c r="AX103" s="15"/>
      <c r="AY103" s="15"/>
      <c r="AZ103" s="15"/>
      <c r="BA103" s="15"/>
      <c r="BB103" s="184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84"/>
      <c r="CE103" s="15"/>
      <c r="CF103" s="15"/>
      <c r="CG103" s="15"/>
      <c r="CH103" s="15"/>
      <c r="CI103" s="15"/>
      <c r="CJ103" s="15"/>
      <c r="CK103" s="184"/>
      <c r="CL103" s="15"/>
      <c r="CM103" s="15"/>
      <c r="CN103" s="15"/>
      <c r="CO103" s="15"/>
      <c r="CP103" s="15"/>
      <c r="CQ103" s="15"/>
      <c r="CR103" s="184"/>
      <c r="CS103" s="15"/>
      <c r="CT103" s="15"/>
      <c r="CU103" s="15"/>
      <c r="CV103" s="15"/>
      <c r="CW103" s="15"/>
      <c r="CX103" s="15"/>
      <c r="CY103" s="184"/>
      <c r="CZ103" s="15"/>
      <c r="DA103" s="15"/>
      <c r="DB103" s="15"/>
      <c r="DC103" s="15"/>
      <c r="DD103" s="15"/>
      <c r="DE103" s="15"/>
      <c r="DF103" s="184"/>
      <c r="DG103" s="15"/>
      <c r="DH103" s="15"/>
      <c r="DI103" s="15"/>
      <c r="DJ103" s="15"/>
      <c r="DK103" s="15"/>
      <c r="DL103" s="15"/>
      <c r="DM103" s="184"/>
      <c r="DN103" s="15"/>
      <c r="DO103" s="15"/>
      <c r="DP103" s="15"/>
      <c r="DQ103" s="15"/>
      <c r="DR103" s="15"/>
      <c r="DS103" s="15"/>
      <c r="DT103" s="184"/>
      <c r="DU103" s="15"/>
      <c r="DV103" s="15"/>
      <c r="DW103" s="15"/>
      <c r="DX103" s="15"/>
      <c r="DY103" s="15"/>
      <c r="DZ103" s="15"/>
      <c r="EA103" s="184"/>
      <c r="EB103" s="15"/>
      <c r="EC103" s="15"/>
      <c r="ED103" s="15"/>
      <c r="EE103" s="15"/>
      <c r="EF103" s="15"/>
      <c r="EG103" s="15"/>
      <c r="EH103" s="184"/>
      <c r="EI103" s="15"/>
      <c r="EJ103" s="15"/>
      <c r="EK103" s="15"/>
      <c r="EL103" s="15"/>
      <c r="EM103" s="15"/>
      <c r="EN103" s="15"/>
      <c r="EO103" s="184"/>
      <c r="EP103" s="15">
        <v>2</v>
      </c>
      <c r="EQ103" s="15">
        <v>2</v>
      </c>
      <c r="ER103" s="15">
        <v>2</v>
      </c>
      <c r="ES103" s="15"/>
      <c r="ET103" s="15"/>
      <c r="EU103" s="15"/>
      <c r="EV103" s="184"/>
      <c r="EW103" s="15">
        <v>2</v>
      </c>
      <c r="EX103" s="15">
        <v>2</v>
      </c>
      <c r="EY103" s="15">
        <v>2</v>
      </c>
      <c r="EZ103" s="15"/>
      <c r="FA103" s="15"/>
      <c r="FB103" s="15"/>
      <c r="FC103" s="184"/>
      <c r="FD103" s="15"/>
      <c r="FE103" s="15"/>
      <c r="FF103" s="15"/>
      <c r="FG103" s="15"/>
      <c r="FH103" s="15"/>
      <c r="FI103" s="15"/>
      <c r="FJ103" s="184"/>
      <c r="FK103" s="15"/>
      <c r="FL103" s="15"/>
      <c r="FM103" s="15"/>
      <c r="FN103" s="15"/>
      <c r="FO103" s="15"/>
      <c r="FP103" s="15"/>
      <c r="FQ103" s="184"/>
      <c r="FR103" s="15"/>
      <c r="FS103" s="15"/>
      <c r="FT103" s="15"/>
      <c r="FU103" s="15"/>
      <c r="FV103" s="15"/>
      <c r="FW103" s="178"/>
      <c r="FX103" s="184"/>
      <c r="FY103" s="181"/>
      <c r="FZ103" s="15"/>
      <c r="GA103" s="15"/>
      <c r="GB103" s="15"/>
      <c r="GC103" s="15"/>
      <c r="GD103" s="15"/>
      <c r="GE103" s="184"/>
      <c r="GF103" s="15"/>
      <c r="GG103" s="15"/>
      <c r="GH103" s="15"/>
      <c r="GI103" s="15"/>
      <c r="GJ103" s="15"/>
      <c r="GK103" s="15"/>
      <c r="GL103" s="184"/>
      <c r="GM103" s="15"/>
      <c r="GN103" s="15"/>
      <c r="GO103" s="15"/>
      <c r="GP103" s="15"/>
      <c r="GQ103" s="15"/>
      <c r="GR103" s="15"/>
      <c r="GS103" s="184"/>
      <c r="GT103" s="15"/>
      <c r="GU103" s="15"/>
      <c r="GV103" s="15"/>
      <c r="GW103" s="15"/>
      <c r="GX103" s="15"/>
      <c r="GY103" s="15"/>
      <c r="GZ103" s="184"/>
      <c r="HA103" s="15"/>
      <c r="HB103" s="15"/>
      <c r="HC103" s="15"/>
      <c r="HD103" s="15"/>
      <c r="HE103" s="15"/>
      <c r="HF103" s="15"/>
      <c r="HG103" s="184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  <c r="MG103" s="15"/>
      <c r="MH103" s="15"/>
      <c r="MI103" s="15"/>
      <c r="MJ103" s="15"/>
      <c r="MK103" s="15"/>
      <c r="ML103" s="15"/>
      <c r="MM103" s="15"/>
      <c r="MN103" s="15"/>
      <c r="MO103" s="15"/>
      <c r="MP103" s="15"/>
      <c r="MQ103" s="15"/>
      <c r="MR103" s="15"/>
      <c r="MS103" s="15"/>
      <c r="MT103" s="15"/>
      <c r="MU103" s="15"/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15"/>
      <c r="NK103" s="15"/>
      <c r="NL103" s="15"/>
      <c r="NM103" s="15"/>
      <c r="NN103" s="15"/>
      <c r="NO103" s="15"/>
      <c r="NP103" s="15"/>
      <c r="NQ103" s="15"/>
      <c r="NR103" s="15"/>
      <c r="NS103" s="15"/>
      <c r="NT103" s="15"/>
      <c r="NU103" s="15"/>
      <c r="NV103" s="15"/>
      <c r="NW103" s="15"/>
      <c r="NX103" s="15"/>
      <c r="NY103" s="15"/>
      <c r="NZ103" s="15"/>
    </row>
    <row r="104" spans="2:390" ht="19.5" customHeight="1" x14ac:dyDescent="0.45">
      <c r="B104" s="1">
        <f t="shared" si="115"/>
        <v>3</v>
      </c>
      <c r="C104" s="1">
        <f t="shared" si="115"/>
        <v>3</v>
      </c>
      <c r="D104" s="1">
        <f>+D103+1</f>
        <v>5</v>
      </c>
      <c r="E104" s="59" t="str">
        <f t="shared" si="112"/>
        <v>3.3.5</v>
      </c>
      <c r="F104" s="23" t="s">
        <v>42</v>
      </c>
      <c r="G104" s="191">
        <v>2.6</v>
      </c>
      <c r="H104" s="52" t="s">
        <v>117</v>
      </c>
      <c r="I104" s="52" t="s">
        <v>158</v>
      </c>
      <c r="J104" s="52">
        <v>30</v>
      </c>
      <c r="K104" s="52">
        <v>0</v>
      </c>
      <c r="L104" s="52">
        <f>+J104-K104</f>
        <v>30</v>
      </c>
      <c r="M104" s="20">
        <v>2</v>
      </c>
      <c r="N104" s="20">
        <v>6</v>
      </c>
      <c r="O104" s="51">
        <f>+N104*M104</f>
        <v>12</v>
      </c>
      <c r="P104" s="51">
        <f>+SUM(AA104:NZ104)</f>
        <v>12</v>
      </c>
      <c r="Q104" s="51">
        <f>+O104-P104</f>
        <v>0</v>
      </c>
      <c r="R104" s="19">
        <v>46104</v>
      </c>
      <c r="S104" s="20">
        <v>8</v>
      </c>
      <c r="T104" s="21">
        <f t="shared" si="109"/>
        <v>46113</v>
      </c>
      <c r="U104" s="22">
        <f>+K104/J104</f>
        <v>0</v>
      </c>
      <c r="V104" s="199">
        <f t="shared" si="110"/>
        <v>0</v>
      </c>
      <c r="W104" s="158">
        <f>SUMIFS($AA104:$NZ104, $AA$8:$NZ$8, $W$13)/$O104</f>
        <v>0</v>
      </c>
      <c r="X104" s="159">
        <f t="shared" si="114"/>
        <v>0</v>
      </c>
      <c r="Y104" s="199">
        <f t="shared" si="111"/>
        <v>0</v>
      </c>
      <c r="Z104" s="36"/>
      <c r="AA104" s="15"/>
      <c r="AB104" s="15"/>
      <c r="AC104" s="15"/>
      <c r="AD104" s="15"/>
      <c r="AE104" s="15"/>
      <c r="AF104" s="15"/>
      <c r="AG104" s="184"/>
      <c r="AH104" s="15"/>
      <c r="AI104" s="15"/>
      <c r="AJ104" s="15"/>
      <c r="AK104" s="15"/>
      <c r="AL104" s="15"/>
      <c r="AM104" s="15"/>
      <c r="AN104" s="184"/>
      <c r="AO104" s="15"/>
      <c r="AP104" s="15"/>
      <c r="AQ104" s="15"/>
      <c r="AR104" s="15"/>
      <c r="AS104" s="15"/>
      <c r="AT104" s="15"/>
      <c r="AU104" s="184"/>
      <c r="AV104" s="15"/>
      <c r="AW104" s="15"/>
      <c r="AX104" s="15"/>
      <c r="AY104" s="15"/>
      <c r="AZ104" s="15"/>
      <c r="BA104" s="15"/>
      <c r="BB104" s="184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84"/>
      <c r="CE104" s="15"/>
      <c r="CF104" s="15"/>
      <c r="CG104" s="15"/>
      <c r="CH104" s="15"/>
      <c r="CI104" s="15"/>
      <c r="CJ104" s="15"/>
      <c r="CK104" s="184"/>
      <c r="CL104" s="15"/>
      <c r="CM104" s="15"/>
      <c r="CN104" s="15"/>
      <c r="CO104" s="15"/>
      <c r="CP104" s="15"/>
      <c r="CQ104" s="15"/>
      <c r="CR104" s="184"/>
      <c r="CS104" s="15"/>
      <c r="CT104" s="15"/>
      <c r="CU104" s="15"/>
      <c r="CV104" s="15"/>
      <c r="CW104" s="15"/>
      <c r="CX104" s="15"/>
      <c r="CY104" s="184"/>
      <c r="CZ104" s="15"/>
      <c r="DA104" s="15"/>
      <c r="DB104" s="15"/>
      <c r="DC104" s="15"/>
      <c r="DD104" s="15"/>
      <c r="DE104" s="15"/>
      <c r="DF104" s="184"/>
      <c r="DG104" s="15"/>
      <c r="DH104" s="15"/>
      <c r="DI104" s="15"/>
      <c r="DJ104" s="15"/>
      <c r="DK104" s="15"/>
      <c r="DL104" s="15"/>
      <c r="DM104" s="184"/>
      <c r="DN104" s="15"/>
      <c r="DO104" s="15"/>
      <c r="DP104" s="15"/>
      <c r="DQ104" s="15"/>
      <c r="DR104" s="15"/>
      <c r="DS104" s="15"/>
      <c r="DT104" s="184"/>
      <c r="DU104" s="15"/>
      <c r="DV104" s="15"/>
      <c r="DW104" s="15"/>
      <c r="DX104" s="15"/>
      <c r="DY104" s="15"/>
      <c r="DZ104" s="15"/>
      <c r="EA104" s="184"/>
      <c r="EB104" s="15"/>
      <c r="EC104" s="15"/>
      <c r="ED104" s="15"/>
      <c r="EE104" s="15"/>
      <c r="EF104" s="15"/>
      <c r="EG104" s="15"/>
      <c r="EH104" s="184"/>
      <c r="EI104" s="15"/>
      <c r="EJ104" s="15"/>
      <c r="EK104" s="15"/>
      <c r="EL104" s="15"/>
      <c r="EM104" s="15"/>
      <c r="EN104" s="15"/>
      <c r="EO104" s="184"/>
      <c r="EP104" s="15">
        <v>2</v>
      </c>
      <c r="EQ104" s="15">
        <v>2</v>
      </c>
      <c r="ER104" s="15">
        <v>2</v>
      </c>
      <c r="ES104" s="15"/>
      <c r="ET104" s="15"/>
      <c r="EU104" s="15"/>
      <c r="EV104" s="184"/>
      <c r="EW104" s="15">
        <v>2</v>
      </c>
      <c r="EX104" s="15">
        <v>2</v>
      </c>
      <c r="EY104" s="15">
        <v>2</v>
      </c>
      <c r="EZ104" s="15"/>
      <c r="FA104" s="15"/>
      <c r="FB104" s="15"/>
      <c r="FC104" s="184"/>
      <c r="FD104" s="15"/>
      <c r="FE104" s="15"/>
      <c r="FF104" s="15"/>
      <c r="FG104" s="15"/>
      <c r="FH104" s="15"/>
      <c r="FI104" s="15"/>
      <c r="FJ104" s="184"/>
      <c r="FK104" s="15"/>
      <c r="FL104" s="15"/>
      <c r="FM104" s="15"/>
      <c r="FN104" s="15"/>
      <c r="FO104" s="15"/>
      <c r="FP104" s="15"/>
      <c r="FQ104" s="184"/>
      <c r="FR104" s="15"/>
      <c r="FS104" s="15"/>
      <c r="FT104" s="15"/>
      <c r="FU104" s="15"/>
      <c r="FV104" s="15"/>
      <c r="FW104" s="178"/>
      <c r="FX104" s="184"/>
      <c r="FY104" s="181"/>
      <c r="FZ104" s="15"/>
      <c r="GA104" s="15"/>
      <c r="GB104" s="15"/>
      <c r="GC104" s="15"/>
      <c r="GD104" s="15"/>
      <c r="GE104" s="184"/>
      <c r="GF104" s="15"/>
      <c r="GG104" s="15"/>
      <c r="GH104" s="15"/>
      <c r="GI104" s="15"/>
      <c r="GJ104" s="15"/>
      <c r="GK104" s="15"/>
      <c r="GL104" s="184"/>
      <c r="GM104" s="15"/>
      <c r="GN104" s="15"/>
      <c r="GO104" s="15"/>
      <c r="GP104" s="15"/>
      <c r="GQ104" s="15"/>
      <c r="GR104" s="15"/>
      <c r="GS104" s="184"/>
      <c r="GT104" s="15"/>
      <c r="GU104" s="15"/>
      <c r="GV104" s="15"/>
      <c r="GW104" s="15"/>
      <c r="GX104" s="15"/>
      <c r="GY104" s="15"/>
      <c r="GZ104" s="184"/>
      <c r="HA104" s="15"/>
      <c r="HB104" s="15"/>
      <c r="HC104" s="15"/>
      <c r="HD104" s="15"/>
      <c r="HE104" s="15"/>
      <c r="HF104" s="15"/>
      <c r="HG104" s="184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  <c r="MG104" s="15"/>
      <c r="MH104" s="15"/>
      <c r="MI104" s="15"/>
      <c r="MJ104" s="15"/>
      <c r="MK104" s="15"/>
      <c r="ML104" s="15"/>
      <c r="MM104" s="15"/>
      <c r="MN104" s="15"/>
      <c r="MO104" s="15"/>
      <c r="MP104" s="15"/>
      <c r="MQ104" s="15"/>
      <c r="MR104" s="15"/>
      <c r="MS104" s="15"/>
      <c r="MT104" s="15"/>
      <c r="MU104" s="15"/>
      <c r="MV104" s="15"/>
      <c r="MW104" s="15"/>
      <c r="MX104" s="15"/>
      <c r="MY104" s="15"/>
      <c r="MZ104" s="15"/>
      <c r="NA104" s="15"/>
      <c r="NB104" s="15"/>
      <c r="NC104" s="15"/>
      <c r="ND104" s="15"/>
      <c r="NE104" s="15"/>
      <c r="NF104" s="15"/>
      <c r="NG104" s="15"/>
      <c r="NH104" s="15"/>
      <c r="NI104" s="15"/>
      <c r="NJ104" s="15"/>
      <c r="NK104" s="15"/>
      <c r="NL104" s="15"/>
      <c r="NM104" s="15"/>
      <c r="NN104" s="15"/>
      <c r="NO104" s="15"/>
      <c r="NP104" s="15"/>
      <c r="NQ104" s="15"/>
      <c r="NR104" s="15"/>
      <c r="NS104" s="15"/>
      <c r="NT104" s="15"/>
      <c r="NU104" s="15"/>
      <c r="NV104" s="15"/>
      <c r="NW104" s="15"/>
      <c r="NX104" s="15"/>
      <c r="NY104" s="15"/>
      <c r="NZ104" s="15"/>
    </row>
    <row r="105" spans="2:390" ht="19.5" customHeight="1" x14ac:dyDescent="0.45">
      <c r="B105" s="1">
        <f>+B104</f>
        <v>3</v>
      </c>
      <c r="C105" s="1">
        <f>+C104+1</f>
        <v>4</v>
      </c>
      <c r="D105" s="1">
        <v>0</v>
      </c>
      <c r="E105" s="93" t="str">
        <f t="shared" si="112"/>
        <v>3.4.0</v>
      </c>
      <c r="F105" s="94" t="s">
        <v>44</v>
      </c>
      <c r="G105" s="94"/>
      <c r="H105" s="95"/>
      <c r="I105" s="95"/>
      <c r="J105" s="96"/>
      <c r="K105" s="96"/>
      <c r="L105" s="96"/>
      <c r="M105" s="94"/>
      <c r="N105" s="94"/>
      <c r="O105" s="95">
        <f>SUM(O106:O111)</f>
        <v>150</v>
      </c>
      <c r="P105" s="95"/>
      <c r="Q105" s="95"/>
      <c r="R105" s="168"/>
      <c r="S105" s="98"/>
      <c r="T105" s="163" t="str">
        <f t="shared" si="109"/>
        <v/>
      </c>
      <c r="U105" s="164">
        <f>+SUMPRODUCT(U106:U111,O106:O111)/O105</f>
        <v>0</v>
      </c>
      <c r="V105" s="200">
        <f t="shared" si="110"/>
        <v>0</v>
      </c>
      <c r="W105" s="158">
        <f>SUMIFS($AA105:$NZ105, $AA$8:$NZ$8, $W$13)/$O105</f>
        <v>0</v>
      </c>
      <c r="X105" s="159">
        <f t="shared" si="114"/>
        <v>0</v>
      </c>
      <c r="Y105" s="199">
        <f t="shared" si="111"/>
        <v>0</v>
      </c>
      <c r="Z105" s="36"/>
      <c r="AA105" s="15"/>
      <c r="AB105" s="15"/>
      <c r="AC105" s="15"/>
      <c r="AD105" s="15"/>
      <c r="AE105" s="15"/>
      <c r="AF105" s="15"/>
      <c r="AG105" s="184"/>
      <c r="AH105" s="15"/>
      <c r="AI105" s="15"/>
      <c r="AJ105" s="15"/>
      <c r="AK105" s="15"/>
      <c r="AL105" s="15"/>
      <c r="AM105" s="15"/>
      <c r="AN105" s="184"/>
      <c r="AO105" s="15"/>
      <c r="AP105" s="15"/>
      <c r="AQ105" s="15"/>
      <c r="AR105" s="15"/>
      <c r="AS105" s="15"/>
      <c r="AT105" s="15"/>
      <c r="AU105" s="184"/>
      <c r="AV105" s="15"/>
      <c r="AW105" s="15"/>
      <c r="AX105" s="15"/>
      <c r="AY105" s="15"/>
      <c r="AZ105" s="15"/>
      <c r="BA105" s="15"/>
      <c r="BB105" s="184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84"/>
      <c r="CE105" s="15"/>
      <c r="CF105" s="15"/>
      <c r="CG105" s="15"/>
      <c r="CH105" s="15"/>
      <c r="CI105" s="15"/>
      <c r="CJ105" s="15"/>
      <c r="CK105" s="184"/>
      <c r="CL105" s="15"/>
      <c r="CM105" s="15"/>
      <c r="CN105" s="15"/>
      <c r="CO105" s="15"/>
      <c r="CP105" s="15"/>
      <c r="CQ105" s="15"/>
      <c r="CR105" s="184"/>
      <c r="CS105" s="15"/>
      <c r="CT105" s="15"/>
      <c r="CU105" s="15"/>
      <c r="CV105" s="15"/>
      <c r="CW105" s="15"/>
      <c r="CX105" s="15"/>
      <c r="CY105" s="184"/>
      <c r="CZ105" s="15"/>
      <c r="DA105" s="15"/>
      <c r="DB105" s="15"/>
      <c r="DC105" s="15"/>
      <c r="DD105" s="15"/>
      <c r="DE105" s="15"/>
      <c r="DF105" s="184"/>
      <c r="DG105" s="15"/>
      <c r="DH105" s="15"/>
      <c r="DI105" s="15"/>
      <c r="DJ105" s="15"/>
      <c r="DK105" s="15"/>
      <c r="DL105" s="15"/>
      <c r="DM105" s="184"/>
      <c r="DN105" s="15"/>
      <c r="DO105" s="15"/>
      <c r="DP105" s="15"/>
      <c r="DQ105" s="15"/>
      <c r="DR105" s="15"/>
      <c r="DS105" s="15"/>
      <c r="DT105" s="184"/>
      <c r="DU105" s="15"/>
      <c r="DV105" s="15"/>
      <c r="DW105" s="15"/>
      <c r="DX105" s="15"/>
      <c r="DY105" s="15"/>
      <c r="DZ105" s="15"/>
      <c r="EA105" s="184"/>
      <c r="EB105" s="15"/>
      <c r="EC105" s="15"/>
      <c r="ED105" s="15"/>
      <c r="EE105" s="15"/>
      <c r="EF105" s="15"/>
      <c r="EG105" s="15"/>
      <c r="EH105" s="184"/>
      <c r="EI105" s="15"/>
      <c r="EJ105" s="15"/>
      <c r="EK105" s="15"/>
      <c r="EL105" s="15"/>
      <c r="EM105" s="15"/>
      <c r="EN105" s="15"/>
      <c r="EO105" s="184"/>
      <c r="EP105" s="15"/>
      <c r="EQ105" s="15"/>
      <c r="ER105" s="15"/>
      <c r="ES105" s="15"/>
      <c r="ET105" s="15"/>
      <c r="EU105" s="15"/>
      <c r="EV105" s="184"/>
      <c r="EW105" s="15"/>
      <c r="EX105" s="15"/>
      <c r="EY105" s="15"/>
      <c r="EZ105" s="15"/>
      <c r="FA105" s="15"/>
      <c r="FB105" s="15"/>
      <c r="FC105" s="184"/>
      <c r="FD105" s="15"/>
      <c r="FE105" s="15"/>
      <c r="FF105" s="15"/>
      <c r="FG105" s="15"/>
      <c r="FH105" s="15"/>
      <c r="FI105" s="15"/>
      <c r="FJ105" s="184"/>
      <c r="FK105" s="15"/>
      <c r="FL105" s="15"/>
      <c r="FM105" s="15"/>
      <c r="FN105" s="15"/>
      <c r="FO105" s="15"/>
      <c r="FP105" s="15"/>
      <c r="FQ105" s="184"/>
      <c r="FR105" s="15"/>
      <c r="FS105" s="15"/>
      <c r="FT105" s="15"/>
      <c r="FU105" s="15"/>
      <c r="FV105" s="15"/>
      <c r="FW105" s="178"/>
      <c r="FX105" s="184"/>
      <c r="FY105" s="181"/>
      <c r="FZ105" s="15"/>
      <c r="GA105" s="15"/>
      <c r="GB105" s="15"/>
      <c r="GC105" s="15"/>
      <c r="GD105" s="15"/>
      <c r="GE105" s="184"/>
      <c r="GF105" s="15"/>
      <c r="GG105" s="15"/>
      <c r="GH105" s="15"/>
      <c r="GI105" s="15"/>
      <c r="GJ105" s="15"/>
      <c r="GK105" s="15"/>
      <c r="GL105" s="184"/>
      <c r="GM105" s="15"/>
      <c r="GN105" s="15"/>
      <c r="GO105" s="15"/>
      <c r="GP105" s="15"/>
      <c r="GQ105" s="15"/>
      <c r="GR105" s="15"/>
      <c r="GS105" s="184"/>
      <c r="GT105" s="15"/>
      <c r="GU105" s="15"/>
      <c r="GV105" s="15"/>
      <c r="GW105" s="15"/>
      <c r="GX105" s="15"/>
      <c r="GY105" s="15"/>
      <c r="GZ105" s="184"/>
      <c r="HA105" s="15"/>
      <c r="HB105" s="15"/>
      <c r="HC105" s="15"/>
      <c r="HD105" s="15"/>
      <c r="HE105" s="15"/>
      <c r="HF105" s="15"/>
      <c r="HG105" s="184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  <c r="MG105" s="15"/>
      <c r="MH105" s="15"/>
      <c r="MI105" s="15"/>
      <c r="MJ105" s="15"/>
      <c r="MK105" s="15"/>
      <c r="ML105" s="15"/>
      <c r="MM105" s="15"/>
      <c r="MN105" s="15"/>
      <c r="MO105" s="15"/>
      <c r="MP105" s="15"/>
      <c r="MQ105" s="15"/>
      <c r="MR105" s="15"/>
      <c r="MS105" s="15"/>
      <c r="MT105" s="15"/>
      <c r="MU105" s="15"/>
      <c r="MV105" s="15"/>
      <c r="MW105" s="15"/>
      <c r="MX105" s="15"/>
      <c r="MY105" s="15"/>
      <c r="MZ105" s="15"/>
      <c r="NA105" s="15"/>
      <c r="NB105" s="15"/>
      <c r="NC105" s="15"/>
      <c r="ND105" s="15"/>
      <c r="NE105" s="15"/>
      <c r="NF105" s="15"/>
      <c r="NG105" s="15"/>
      <c r="NH105" s="15"/>
      <c r="NI105" s="15"/>
      <c r="NJ105" s="15"/>
      <c r="NK105" s="15"/>
      <c r="NL105" s="15"/>
      <c r="NM105" s="15"/>
      <c r="NN105" s="15"/>
      <c r="NO105" s="15"/>
      <c r="NP105" s="15"/>
      <c r="NQ105" s="15"/>
      <c r="NR105" s="15"/>
      <c r="NS105" s="15"/>
      <c r="NT105" s="15"/>
      <c r="NU105" s="15"/>
      <c r="NV105" s="15"/>
      <c r="NW105" s="15"/>
      <c r="NX105" s="15"/>
      <c r="NY105" s="15"/>
      <c r="NZ105" s="15"/>
    </row>
    <row r="106" spans="2:390" ht="19.5" customHeight="1" x14ac:dyDescent="0.45">
      <c r="B106" s="1">
        <f t="shared" ref="B106:C111" si="116">+B105</f>
        <v>3</v>
      </c>
      <c r="C106" s="1">
        <f t="shared" si="116"/>
        <v>4</v>
      </c>
      <c r="D106" s="1">
        <f t="shared" ref="D106:D111" si="117">+D105+1</f>
        <v>1</v>
      </c>
      <c r="E106" s="84" t="str">
        <f t="shared" si="112"/>
        <v>3.4.1</v>
      </c>
      <c r="F106" s="85" t="s">
        <v>131</v>
      </c>
      <c r="G106" s="191">
        <v>2</v>
      </c>
      <c r="H106" s="52" t="s">
        <v>117</v>
      </c>
      <c r="I106" s="52" t="s">
        <v>157</v>
      </c>
      <c r="J106" s="52">
        <v>173</v>
      </c>
      <c r="K106" s="52">
        <v>0</v>
      </c>
      <c r="L106" s="52">
        <f t="shared" ref="L106:L111" si="118">+J106-K106</f>
        <v>173</v>
      </c>
      <c r="M106" s="20">
        <v>3</v>
      </c>
      <c r="N106" s="20">
        <v>18</v>
      </c>
      <c r="O106" s="51">
        <f>+N106*M106</f>
        <v>54</v>
      </c>
      <c r="P106" s="51">
        <f t="shared" ref="P106:P111" si="119">+SUM(AA106:NZ106)</f>
        <v>54</v>
      </c>
      <c r="Q106" s="51">
        <f t="shared" ref="Q106:Q111" si="120">+O106-P106</f>
        <v>0</v>
      </c>
      <c r="R106" s="79">
        <v>46055</v>
      </c>
      <c r="S106" s="80">
        <v>10</v>
      </c>
      <c r="T106" s="21">
        <f t="shared" si="109"/>
        <v>46066</v>
      </c>
      <c r="U106" s="22">
        <f>+K106/J106</f>
        <v>0</v>
      </c>
      <c r="V106" s="199">
        <f t="shared" si="110"/>
        <v>0</v>
      </c>
      <c r="W106" s="158">
        <f>SUMIFS($AA106:$NZ106, $AA$8:$NZ$8, $W$13)/$O106</f>
        <v>0</v>
      </c>
      <c r="X106" s="159">
        <f t="shared" si="114"/>
        <v>0</v>
      </c>
      <c r="Y106" s="199">
        <f t="shared" si="111"/>
        <v>0</v>
      </c>
      <c r="Z106" s="36"/>
      <c r="AA106" s="15"/>
      <c r="AB106" s="15"/>
      <c r="AC106" s="15"/>
      <c r="AD106" s="15"/>
      <c r="AE106" s="15"/>
      <c r="AF106" s="15"/>
      <c r="AG106" s="184"/>
      <c r="AH106" s="15"/>
      <c r="AI106" s="15"/>
      <c r="AJ106" s="15"/>
      <c r="AK106" s="15"/>
      <c r="AL106" s="15"/>
      <c r="AM106" s="15"/>
      <c r="AN106" s="184"/>
      <c r="AO106" s="15"/>
      <c r="AP106" s="15"/>
      <c r="AQ106" s="15"/>
      <c r="AR106" s="15"/>
      <c r="AS106" s="15"/>
      <c r="AT106" s="15"/>
      <c r="AU106" s="184"/>
      <c r="AV106" s="15"/>
      <c r="AW106" s="15"/>
      <c r="AX106" s="15"/>
      <c r="AY106" s="15"/>
      <c r="AZ106" s="15"/>
      <c r="BA106" s="15"/>
      <c r="BB106" s="184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84"/>
      <c r="CE106" s="15"/>
      <c r="CF106" s="15"/>
      <c r="CG106" s="15"/>
      <c r="CH106" s="15"/>
      <c r="CI106" s="15"/>
      <c r="CJ106" s="15"/>
      <c r="CK106" s="184"/>
      <c r="CL106" s="15"/>
      <c r="CM106" s="15"/>
      <c r="CN106" s="15"/>
      <c r="CO106" s="15"/>
      <c r="CP106" s="15"/>
      <c r="CQ106" s="15"/>
      <c r="CR106" s="184"/>
      <c r="CS106" s="15">
        <v>3</v>
      </c>
      <c r="CT106" s="15">
        <v>3</v>
      </c>
      <c r="CU106" s="15">
        <v>3</v>
      </c>
      <c r="CV106" s="15">
        <v>3</v>
      </c>
      <c r="CW106" s="15">
        <v>3</v>
      </c>
      <c r="CX106" s="15">
        <v>3</v>
      </c>
      <c r="CY106" s="184"/>
      <c r="CZ106" s="15">
        <v>6</v>
      </c>
      <c r="DA106" s="15">
        <v>6</v>
      </c>
      <c r="DB106" s="15">
        <v>6</v>
      </c>
      <c r="DC106" s="15">
        <v>6</v>
      </c>
      <c r="DD106" s="15">
        <v>6</v>
      </c>
      <c r="DE106" s="15">
        <v>6</v>
      </c>
      <c r="DF106" s="184"/>
      <c r="DG106" s="15"/>
      <c r="DH106" s="15"/>
      <c r="DI106" s="15"/>
      <c r="DJ106" s="15"/>
      <c r="DK106" s="15"/>
      <c r="DL106" s="15"/>
      <c r="DM106" s="184"/>
      <c r="DN106" s="15"/>
      <c r="DO106" s="15"/>
      <c r="DP106" s="15"/>
      <c r="DQ106" s="15"/>
      <c r="DR106" s="15"/>
      <c r="DS106" s="15"/>
      <c r="DT106" s="184"/>
      <c r="DU106" s="15"/>
      <c r="DV106" s="15"/>
      <c r="DW106" s="15"/>
      <c r="DX106" s="15"/>
      <c r="DY106" s="15"/>
      <c r="DZ106" s="15"/>
      <c r="EA106" s="184"/>
      <c r="EB106" s="15"/>
      <c r="EC106" s="15"/>
      <c r="ED106" s="15"/>
      <c r="EE106" s="15"/>
      <c r="EF106" s="15"/>
      <c r="EG106" s="15"/>
      <c r="EH106" s="184"/>
      <c r="EI106" s="15"/>
      <c r="EJ106" s="15"/>
      <c r="EK106" s="15"/>
      <c r="EL106" s="15"/>
      <c r="EM106" s="15"/>
      <c r="EN106" s="15"/>
      <c r="EO106" s="184"/>
      <c r="EP106" s="15"/>
      <c r="EQ106" s="15"/>
      <c r="ER106" s="15"/>
      <c r="ES106" s="15"/>
      <c r="ET106" s="15"/>
      <c r="EU106" s="15"/>
      <c r="EV106" s="184"/>
      <c r="EW106" s="15"/>
      <c r="EX106" s="15"/>
      <c r="EY106" s="15"/>
      <c r="EZ106" s="15"/>
      <c r="FA106" s="15"/>
      <c r="FB106" s="15"/>
      <c r="FC106" s="184"/>
      <c r="FD106" s="15"/>
      <c r="FE106" s="15"/>
      <c r="FF106" s="15"/>
      <c r="FG106" s="15"/>
      <c r="FH106" s="15"/>
      <c r="FI106" s="15"/>
      <c r="FJ106" s="184"/>
      <c r="FK106" s="15"/>
      <c r="FL106" s="15"/>
      <c r="FM106" s="15"/>
      <c r="FN106" s="15"/>
      <c r="FO106" s="15"/>
      <c r="FP106" s="15"/>
      <c r="FQ106" s="184"/>
      <c r="FR106" s="15"/>
      <c r="FS106" s="15"/>
      <c r="FT106" s="15"/>
      <c r="FU106" s="15"/>
      <c r="FV106" s="15"/>
      <c r="FW106" s="178"/>
      <c r="FX106" s="184"/>
      <c r="FY106" s="181"/>
      <c r="FZ106" s="15"/>
      <c r="GA106" s="15"/>
      <c r="GB106" s="15"/>
      <c r="GC106" s="15"/>
      <c r="GD106" s="15"/>
      <c r="GE106" s="184"/>
      <c r="GF106" s="15"/>
      <c r="GG106" s="15"/>
      <c r="GH106" s="15"/>
      <c r="GI106" s="15"/>
      <c r="GJ106" s="15"/>
      <c r="GK106" s="15"/>
      <c r="GL106" s="184"/>
      <c r="GM106" s="15"/>
      <c r="GN106" s="15"/>
      <c r="GO106" s="15"/>
      <c r="GP106" s="15"/>
      <c r="GQ106" s="15"/>
      <c r="GR106" s="15"/>
      <c r="GS106" s="184"/>
      <c r="GT106" s="15"/>
      <c r="GU106" s="15"/>
      <c r="GV106" s="15"/>
      <c r="GW106" s="15"/>
      <c r="GX106" s="15"/>
      <c r="GY106" s="15"/>
      <c r="GZ106" s="184"/>
      <c r="HA106" s="15"/>
      <c r="HB106" s="15"/>
      <c r="HC106" s="15"/>
      <c r="HD106" s="15"/>
      <c r="HE106" s="15"/>
      <c r="HF106" s="15"/>
      <c r="HG106" s="184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  <c r="MG106" s="15"/>
      <c r="MH106" s="15"/>
      <c r="MI106" s="15"/>
      <c r="MJ106" s="15"/>
      <c r="MK106" s="15"/>
      <c r="ML106" s="15"/>
      <c r="MM106" s="15"/>
      <c r="MN106" s="15"/>
      <c r="MO106" s="15"/>
      <c r="MP106" s="15"/>
      <c r="MQ106" s="15"/>
      <c r="MR106" s="15"/>
      <c r="MS106" s="15"/>
      <c r="MT106" s="15"/>
      <c r="MU106" s="15"/>
      <c r="MV106" s="15"/>
      <c r="MW106" s="15"/>
      <c r="MX106" s="15"/>
      <c r="MY106" s="15"/>
      <c r="MZ106" s="15"/>
      <c r="NA106" s="15"/>
      <c r="NB106" s="15"/>
      <c r="NC106" s="15"/>
      <c r="ND106" s="15"/>
      <c r="NE106" s="15"/>
      <c r="NF106" s="15"/>
      <c r="NG106" s="15"/>
      <c r="NH106" s="15"/>
      <c r="NI106" s="15"/>
      <c r="NJ106" s="15"/>
      <c r="NK106" s="15"/>
      <c r="NL106" s="15"/>
      <c r="NM106" s="15"/>
      <c r="NN106" s="15"/>
      <c r="NO106" s="15"/>
      <c r="NP106" s="15"/>
      <c r="NQ106" s="15"/>
      <c r="NR106" s="15"/>
      <c r="NS106" s="15"/>
      <c r="NT106" s="15"/>
      <c r="NU106" s="15"/>
      <c r="NV106" s="15"/>
      <c r="NW106" s="15"/>
      <c r="NX106" s="15"/>
      <c r="NY106" s="15"/>
      <c r="NZ106" s="15"/>
    </row>
    <row r="107" spans="2:390" ht="19.5" customHeight="1" x14ac:dyDescent="0.45">
      <c r="B107" s="1">
        <f t="shared" si="116"/>
        <v>3</v>
      </c>
      <c r="C107" s="1">
        <f t="shared" si="116"/>
        <v>4</v>
      </c>
      <c r="D107" s="1">
        <f t="shared" si="117"/>
        <v>2</v>
      </c>
      <c r="E107" s="84" t="str">
        <f t="shared" si="112"/>
        <v>3.4.2</v>
      </c>
      <c r="F107" s="85" t="s">
        <v>84</v>
      </c>
      <c r="G107" s="82"/>
      <c r="H107" s="73" t="s">
        <v>85</v>
      </c>
      <c r="I107" s="196"/>
      <c r="J107" s="126"/>
      <c r="K107" s="127"/>
      <c r="L107" s="127"/>
      <c r="M107" s="150"/>
      <c r="N107" s="150"/>
      <c r="O107" s="151"/>
      <c r="P107" s="51">
        <f t="shared" si="119"/>
        <v>0</v>
      </c>
      <c r="Q107" s="51">
        <f t="shared" si="120"/>
        <v>0</v>
      </c>
      <c r="R107" s="79"/>
      <c r="S107" s="80"/>
      <c r="T107" s="21" t="str">
        <f t="shared" si="109"/>
        <v/>
      </c>
      <c r="U107" s="22"/>
      <c r="V107" s="199">
        <f t="shared" si="110"/>
        <v>0</v>
      </c>
      <c r="W107" s="158"/>
      <c r="X107" s="159"/>
      <c r="Y107" s="199">
        <f t="shared" si="111"/>
        <v>0</v>
      </c>
      <c r="Z107" s="36"/>
      <c r="AA107" s="15"/>
      <c r="AB107" s="15"/>
      <c r="AC107" s="15"/>
      <c r="AD107" s="15"/>
      <c r="AE107" s="15"/>
      <c r="AF107" s="15"/>
      <c r="AG107" s="184"/>
      <c r="AH107" s="15"/>
      <c r="AI107" s="15"/>
      <c r="AJ107" s="15"/>
      <c r="AK107" s="15"/>
      <c r="AL107" s="15"/>
      <c r="AM107" s="15"/>
      <c r="AN107" s="184"/>
      <c r="AO107" s="15"/>
      <c r="AP107" s="15"/>
      <c r="AQ107" s="15"/>
      <c r="AR107" s="15"/>
      <c r="AS107" s="15"/>
      <c r="AT107" s="15"/>
      <c r="AU107" s="184"/>
      <c r="AV107" s="15"/>
      <c r="AW107" s="15"/>
      <c r="AX107" s="15"/>
      <c r="AY107" s="15"/>
      <c r="AZ107" s="15"/>
      <c r="BA107" s="15"/>
      <c r="BB107" s="184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84"/>
      <c r="CE107" s="15"/>
      <c r="CF107" s="15"/>
      <c r="CG107" s="15"/>
      <c r="CH107" s="15"/>
      <c r="CI107" s="15"/>
      <c r="CJ107" s="15"/>
      <c r="CK107" s="184"/>
      <c r="CL107" s="15"/>
      <c r="CM107" s="15"/>
      <c r="CN107" s="15"/>
      <c r="CO107" s="15"/>
      <c r="CP107" s="15"/>
      <c r="CQ107" s="15"/>
      <c r="CR107" s="184"/>
      <c r="CS107" s="15"/>
      <c r="CT107" s="15"/>
      <c r="CU107" s="15"/>
      <c r="CV107" s="15"/>
      <c r="CW107" s="15"/>
      <c r="CX107" s="15"/>
      <c r="CY107" s="184"/>
      <c r="CZ107" s="15"/>
      <c r="DA107" s="15"/>
      <c r="DB107" s="15"/>
      <c r="DC107" s="15"/>
      <c r="DD107" s="15"/>
      <c r="DE107" s="15"/>
      <c r="DF107" s="184"/>
      <c r="DG107" s="15"/>
      <c r="DH107" s="15"/>
      <c r="DI107" s="15"/>
      <c r="DJ107" s="15"/>
      <c r="DK107" s="15"/>
      <c r="DL107" s="15"/>
      <c r="DM107" s="184"/>
      <c r="DN107" s="15"/>
      <c r="DO107" s="15"/>
      <c r="DP107" s="15"/>
      <c r="DQ107" s="15"/>
      <c r="DR107" s="15"/>
      <c r="DS107" s="15"/>
      <c r="DT107" s="184"/>
      <c r="DU107" s="15"/>
      <c r="DV107" s="15"/>
      <c r="DW107" s="15"/>
      <c r="DX107" s="15"/>
      <c r="DY107" s="15"/>
      <c r="DZ107" s="15"/>
      <c r="EA107" s="184"/>
      <c r="EB107" s="15"/>
      <c r="EC107" s="15"/>
      <c r="ED107" s="15"/>
      <c r="EE107" s="15"/>
      <c r="EF107" s="15"/>
      <c r="EG107" s="15"/>
      <c r="EH107" s="184"/>
      <c r="EI107" s="15"/>
      <c r="EJ107" s="15"/>
      <c r="EK107" s="15"/>
      <c r="EL107" s="15"/>
      <c r="EM107" s="15"/>
      <c r="EN107" s="15"/>
      <c r="EO107" s="184"/>
      <c r="EP107" s="15"/>
      <c r="EQ107" s="15"/>
      <c r="ER107" s="15"/>
      <c r="ES107" s="15"/>
      <c r="ET107" s="15"/>
      <c r="EU107" s="15"/>
      <c r="EV107" s="184"/>
      <c r="EW107" s="15"/>
      <c r="EX107" s="15"/>
      <c r="EY107" s="15"/>
      <c r="EZ107" s="15"/>
      <c r="FA107" s="15"/>
      <c r="FB107" s="15"/>
      <c r="FC107" s="184"/>
      <c r="FD107" s="15"/>
      <c r="FE107" s="15"/>
      <c r="FF107" s="15"/>
      <c r="FG107" s="15"/>
      <c r="FH107" s="15"/>
      <c r="FI107" s="15"/>
      <c r="FJ107" s="184"/>
      <c r="FK107" s="15"/>
      <c r="FL107" s="15"/>
      <c r="FM107" s="15"/>
      <c r="FN107" s="15"/>
      <c r="FO107" s="15"/>
      <c r="FP107" s="15"/>
      <c r="FQ107" s="184"/>
      <c r="FR107" s="15"/>
      <c r="FS107" s="15"/>
      <c r="FT107" s="15"/>
      <c r="FU107" s="15"/>
      <c r="FV107" s="15"/>
      <c r="FW107" s="178"/>
      <c r="FX107" s="184"/>
      <c r="FY107" s="181"/>
      <c r="FZ107" s="15"/>
      <c r="GA107" s="15"/>
      <c r="GB107" s="15"/>
      <c r="GC107" s="15"/>
      <c r="GD107" s="15"/>
      <c r="GE107" s="184"/>
      <c r="GF107" s="15"/>
      <c r="GG107" s="15"/>
      <c r="GH107" s="15"/>
      <c r="GI107" s="15"/>
      <c r="GJ107" s="15"/>
      <c r="GK107" s="15"/>
      <c r="GL107" s="184"/>
      <c r="GM107" s="15"/>
      <c r="GN107" s="15"/>
      <c r="GO107" s="15"/>
      <c r="GP107" s="15"/>
      <c r="GQ107" s="15"/>
      <c r="GR107" s="15"/>
      <c r="GS107" s="184"/>
      <c r="GT107" s="15"/>
      <c r="GU107" s="15"/>
      <c r="GV107" s="15"/>
      <c r="GW107" s="15"/>
      <c r="GX107" s="15"/>
      <c r="GY107" s="15"/>
      <c r="GZ107" s="184"/>
      <c r="HA107" s="15"/>
      <c r="HB107" s="15"/>
      <c r="HC107" s="15"/>
      <c r="HD107" s="15"/>
      <c r="HE107" s="15"/>
      <c r="HF107" s="15"/>
      <c r="HG107" s="184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  <c r="MG107" s="15"/>
      <c r="MH107" s="15"/>
      <c r="MI107" s="15"/>
      <c r="MJ107" s="15"/>
      <c r="MK107" s="15"/>
      <c r="ML107" s="15"/>
      <c r="MM107" s="15"/>
      <c r="MN107" s="15"/>
      <c r="MO107" s="15"/>
      <c r="MP107" s="15"/>
      <c r="MQ107" s="15"/>
      <c r="MR107" s="15"/>
      <c r="MS107" s="15"/>
      <c r="MT107" s="15"/>
      <c r="MU107" s="15"/>
      <c r="MV107" s="15"/>
      <c r="MW107" s="15"/>
      <c r="MX107" s="15"/>
      <c r="MY107" s="15"/>
      <c r="MZ107" s="15"/>
      <c r="NA107" s="15"/>
      <c r="NB107" s="15"/>
      <c r="NC107" s="15"/>
      <c r="ND107" s="15"/>
      <c r="NE107" s="15"/>
      <c r="NF107" s="15"/>
      <c r="NG107" s="15"/>
      <c r="NH107" s="15"/>
      <c r="NI107" s="15"/>
      <c r="NJ107" s="15"/>
      <c r="NK107" s="15"/>
      <c r="NL107" s="15"/>
      <c r="NM107" s="15"/>
      <c r="NN107" s="15"/>
      <c r="NO107" s="15"/>
      <c r="NP107" s="15"/>
      <c r="NQ107" s="15"/>
      <c r="NR107" s="15"/>
      <c r="NS107" s="15"/>
      <c r="NT107" s="15"/>
      <c r="NU107" s="15"/>
      <c r="NV107" s="15"/>
      <c r="NW107" s="15"/>
      <c r="NX107" s="15"/>
      <c r="NY107" s="15"/>
      <c r="NZ107" s="15"/>
    </row>
    <row r="108" spans="2:390" ht="19.5" customHeight="1" x14ac:dyDescent="0.45">
      <c r="B108" s="1">
        <f t="shared" si="116"/>
        <v>3</v>
      </c>
      <c r="C108" s="1">
        <f t="shared" si="116"/>
        <v>4</v>
      </c>
      <c r="D108" s="1">
        <f t="shared" si="117"/>
        <v>3</v>
      </c>
      <c r="E108" s="84" t="str">
        <f t="shared" si="112"/>
        <v>3.4.3</v>
      </c>
      <c r="F108" s="85" t="s">
        <v>86</v>
      </c>
      <c r="G108" s="191">
        <v>2</v>
      </c>
      <c r="H108" s="52" t="s">
        <v>117</v>
      </c>
      <c r="I108" s="52" t="s">
        <v>158</v>
      </c>
      <c r="J108" s="52">
        <v>173</v>
      </c>
      <c r="K108" s="52">
        <v>0</v>
      </c>
      <c r="L108" s="52">
        <f t="shared" si="118"/>
        <v>173</v>
      </c>
      <c r="M108" s="20">
        <v>2</v>
      </c>
      <c r="N108" s="20">
        <v>6</v>
      </c>
      <c r="O108" s="51">
        <f>+N108*M108</f>
        <v>12</v>
      </c>
      <c r="P108" s="51">
        <f t="shared" si="119"/>
        <v>12</v>
      </c>
      <c r="Q108" s="51">
        <f t="shared" si="120"/>
        <v>0</v>
      </c>
      <c r="R108" s="79">
        <v>46111</v>
      </c>
      <c r="S108" s="80">
        <v>5</v>
      </c>
      <c r="T108" s="21">
        <f t="shared" si="109"/>
        <v>46115</v>
      </c>
      <c r="U108" s="22">
        <f>+K108/J108</f>
        <v>0</v>
      </c>
      <c r="V108" s="199">
        <f t="shared" si="110"/>
        <v>0</v>
      </c>
      <c r="W108" s="158">
        <f>SUMIFS($AA108:$NZ108, $AA$8:$NZ$8, $W$13)/$O108</f>
        <v>0</v>
      </c>
      <c r="X108" s="159">
        <f>SUMIF($AA$9:$NZ$9, "&lt;=" &amp; $W$11,$AA108:$NZ108)/$O108</f>
        <v>0</v>
      </c>
      <c r="Y108" s="199">
        <f t="shared" si="111"/>
        <v>0</v>
      </c>
      <c r="Z108" s="36"/>
      <c r="AA108" s="15"/>
      <c r="AB108" s="15"/>
      <c r="AC108" s="15"/>
      <c r="AD108" s="15"/>
      <c r="AE108" s="15"/>
      <c r="AF108" s="15"/>
      <c r="AG108" s="184"/>
      <c r="AH108" s="15"/>
      <c r="AI108" s="15"/>
      <c r="AJ108" s="15"/>
      <c r="AK108" s="15"/>
      <c r="AL108" s="15"/>
      <c r="AM108" s="15"/>
      <c r="AN108" s="184"/>
      <c r="AO108" s="15"/>
      <c r="AP108" s="15"/>
      <c r="AQ108" s="15"/>
      <c r="AR108" s="15"/>
      <c r="AS108" s="15"/>
      <c r="AT108" s="15"/>
      <c r="AU108" s="184"/>
      <c r="AV108" s="15"/>
      <c r="AW108" s="15"/>
      <c r="AX108" s="15"/>
      <c r="AY108" s="15"/>
      <c r="AZ108" s="15"/>
      <c r="BA108" s="15"/>
      <c r="BB108" s="184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84"/>
      <c r="CE108" s="15"/>
      <c r="CF108" s="15"/>
      <c r="CG108" s="15"/>
      <c r="CH108" s="15"/>
      <c r="CI108" s="15"/>
      <c r="CJ108" s="15"/>
      <c r="CK108" s="184"/>
      <c r="CL108" s="15"/>
      <c r="CM108" s="15"/>
      <c r="CN108" s="15"/>
      <c r="CO108" s="15"/>
      <c r="CP108" s="15"/>
      <c r="CQ108" s="15"/>
      <c r="CR108" s="184"/>
      <c r="CS108" s="15"/>
      <c r="CT108" s="15"/>
      <c r="CU108" s="15"/>
      <c r="CV108" s="15"/>
      <c r="CW108" s="15"/>
      <c r="CX108" s="15"/>
      <c r="CY108" s="184"/>
      <c r="CZ108" s="15"/>
      <c r="DA108" s="15"/>
      <c r="DB108" s="15"/>
      <c r="DC108" s="15"/>
      <c r="DD108" s="15"/>
      <c r="DE108" s="15"/>
      <c r="DF108" s="184"/>
      <c r="DG108" s="15"/>
      <c r="DH108" s="15"/>
      <c r="DI108" s="15"/>
      <c r="DJ108" s="15"/>
      <c r="DK108" s="15"/>
      <c r="DL108" s="15"/>
      <c r="DM108" s="184"/>
      <c r="DN108" s="15"/>
      <c r="DO108" s="15"/>
      <c r="DP108" s="15"/>
      <c r="DQ108" s="15"/>
      <c r="DR108" s="15"/>
      <c r="DS108" s="15"/>
      <c r="DT108" s="184"/>
      <c r="DU108" s="15"/>
      <c r="DV108" s="15"/>
      <c r="DW108" s="15"/>
      <c r="DX108" s="15"/>
      <c r="DY108" s="15"/>
      <c r="DZ108" s="15"/>
      <c r="EA108" s="184"/>
      <c r="EB108" s="15"/>
      <c r="EC108" s="15"/>
      <c r="ED108" s="15"/>
      <c r="EE108" s="15"/>
      <c r="EF108" s="15"/>
      <c r="EG108" s="15"/>
      <c r="EH108" s="184"/>
      <c r="EI108" s="15"/>
      <c r="EJ108" s="15"/>
      <c r="EK108" s="15"/>
      <c r="EL108" s="15"/>
      <c r="EM108" s="15"/>
      <c r="EN108" s="15"/>
      <c r="EO108" s="184"/>
      <c r="EP108" s="15"/>
      <c r="EQ108" s="15"/>
      <c r="ER108" s="15"/>
      <c r="ES108" s="15"/>
      <c r="ET108" s="15"/>
      <c r="EU108" s="15"/>
      <c r="EV108" s="184"/>
      <c r="EW108" s="15">
        <v>2</v>
      </c>
      <c r="EX108" s="15">
        <v>2</v>
      </c>
      <c r="EY108" s="15">
        <v>2</v>
      </c>
      <c r="EZ108" s="15">
        <v>2</v>
      </c>
      <c r="FA108" s="15">
        <v>2</v>
      </c>
      <c r="FB108" s="15">
        <v>2</v>
      </c>
      <c r="FC108" s="184"/>
      <c r="FD108" s="15"/>
      <c r="FE108" s="15"/>
      <c r="FF108" s="15"/>
      <c r="FG108" s="15"/>
      <c r="FH108" s="15"/>
      <c r="FI108" s="15"/>
      <c r="FJ108" s="184"/>
      <c r="FK108" s="15"/>
      <c r="FL108" s="15"/>
      <c r="FM108" s="15"/>
      <c r="FN108" s="15"/>
      <c r="FO108" s="15"/>
      <c r="FP108" s="15"/>
      <c r="FQ108" s="184"/>
      <c r="FR108" s="15"/>
      <c r="FS108" s="15"/>
      <c r="FT108" s="15"/>
      <c r="FU108" s="15"/>
      <c r="FV108" s="15"/>
      <c r="FW108" s="178"/>
      <c r="FX108" s="184"/>
      <c r="FY108" s="181"/>
      <c r="FZ108" s="15"/>
      <c r="GA108" s="15"/>
      <c r="GB108" s="15"/>
      <c r="GC108" s="15"/>
      <c r="GD108" s="15"/>
      <c r="GE108" s="184"/>
      <c r="GF108" s="15"/>
      <c r="GG108" s="15"/>
      <c r="GH108" s="15"/>
      <c r="GI108" s="15"/>
      <c r="GJ108" s="15"/>
      <c r="GK108" s="15"/>
      <c r="GL108" s="184"/>
      <c r="GM108" s="15"/>
      <c r="GN108" s="15"/>
      <c r="GO108" s="15"/>
      <c r="GP108" s="15"/>
      <c r="GQ108" s="15"/>
      <c r="GR108" s="15"/>
      <c r="GS108" s="184"/>
      <c r="GT108" s="15"/>
      <c r="GU108" s="15"/>
      <c r="GV108" s="15"/>
      <c r="GW108" s="15"/>
      <c r="GX108" s="15"/>
      <c r="GY108" s="15"/>
      <c r="GZ108" s="184"/>
      <c r="HA108" s="15"/>
      <c r="HB108" s="15"/>
      <c r="HC108" s="15"/>
      <c r="HD108" s="15"/>
      <c r="HE108" s="15"/>
      <c r="HF108" s="15"/>
      <c r="HG108" s="184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  <c r="MG108" s="15"/>
      <c r="MH108" s="15"/>
      <c r="MI108" s="15"/>
      <c r="MJ108" s="15"/>
      <c r="MK108" s="15"/>
      <c r="ML108" s="15"/>
      <c r="MM108" s="15"/>
      <c r="MN108" s="15"/>
      <c r="MO108" s="15"/>
      <c r="MP108" s="15"/>
      <c r="MQ108" s="15"/>
      <c r="MR108" s="15"/>
      <c r="MS108" s="15"/>
      <c r="MT108" s="15"/>
      <c r="MU108" s="15"/>
      <c r="MV108" s="15"/>
      <c r="MW108" s="15"/>
      <c r="MX108" s="15"/>
      <c r="MY108" s="15"/>
      <c r="MZ108" s="15"/>
      <c r="NA108" s="15"/>
      <c r="NB108" s="15"/>
      <c r="NC108" s="15"/>
      <c r="ND108" s="15"/>
      <c r="NE108" s="15"/>
      <c r="NF108" s="15"/>
      <c r="NG108" s="15"/>
      <c r="NH108" s="15"/>
      <c r="NI108" s="15"/>
      <c r="NJ108" s="15"/>
      <c r="NK108" s="15"/>
      <c r="NL108" s="15"/>
      <c r="NM108" s="15"/>
      <c r="NN108" s="15"/>
      <c r="NO108" s="15"/>
      <c r="NP108" s="15"/>
      <c r="NQ108" s="15"/>
      <c r="NR108" s="15"/>
      <c r="NS108" s="15"/>
      <c r="NT108" s="15"/>
      <c r="NU108" s="15"/>
      <c r="NV108" s="15"/>
      <c r="NW108" s="15"/>
      <c r="NX108" s="15"/>
      <c r="NY108" s="15"/>
      <c r="NZ108" s="15"/>
    </row>
    <row r="109" spans="2:390" ht="19.5" customHeight="1" x14ac:dyDescent="0.45">
      <c r="B109" s="1">
        <f t="shared" si="116"/>
        <v>3</v>
      </c>
      <c r="C109" s="1">
        <f t="shared" si="116"/>
        <v>4</v>
      </c>
      <c r="D109" s="1">
        <f t="shared" si="117"/>
        <v>4</v>
      </c>
      <c r="E109" s="84" t="str">
        <f t="shared" si="112"/>
        <v>3.4.4</v>
      </c>
      <c r="F109" s="85" t="s">
        <v>45</v>
      </c>
      <c r="G109" s="191">
        <v>2</v>
      </c>
      <c r="H109" s="52" t="s">
        <v>117</v>
      </c>
      <c r="I109" s="52" t="s">
        <v>158</v>
      </c>
      <c r="J109" s="52">
        <v>62</v>
      </c>
      <c r="K109" s="52">
        <v>0</v>
      </c>
      <c r="L109" s="52">
        <f t="shared" si="118"/>
        <v>62</v>
      </c>
      <c r="M109" s="20">
        <v>2</v>
      </c>
      <c r="N109" s="20">
        <v>6</v>
      </c>
      <c r="O109" s="51">
        <f>+N109*M109</f>
        <v>12</v>
      </c>
      <c r="P109" s="51">
        <f t="shared" si="119"/>
        <v>12</v>
      </c>
      <c r="Q109" s="51">
        <f t="shared" si="120"/>
        <v>0</v>
      </c>
      <c r="R109" s="79">
        <v>46111</v>
      </c>
      <c r="S109" s="80">
        <v>5</v>
      </c>
      <c r="T109" s="21">
        <f t="shared" si="109"/>
        <v>46115</v>
      </c>
      <c r="U109" s="22">
        <f>+K109/J109</f>
        <v>0</v>
      </c>
      <c r="V109" s="199">
        <f t="shared" si="110"/>
        <v>0</v>
      </c>
      <c r="W109" s="158">
        <f>SUMIFS($AA109:$NZ109, $AA$8:$NZ$8, $W$13)/$O109</f>
        <v>0</v>
      </c>
      <c r="X109" s="159">
        <f>SUMIF($AA$9:$NZ$9, "&lt;=" &amp; $W$11,$AA109:$NZ109)/$O109</f>
        <v>0</v>
      </c>
      <c r="Y109" s="199">
        <f t="shared" si="111"/>
        <v>0</v>
      </c>
      <c r="Z109" s="36"/>
      <c r="AA109" s="15"/>
      <c r="AB109" s="15"/>
      <c r="AC109" s="15"/>
      <c r="AD109" s="15"/>
      <c r="AE109" s="15"/>
      <c r="AF109" s="15"/>
      <c r="AG109" s="184"/>
      <c r="AH109" s="15"/>
      <c r="AI109" s="15"/>
      <c r="AJ109" s="15"/>
      <c r="AK109" s="15"/>
      <c r="AL109" s="15"/>
      <c r="AM109" s="15"/>
      <c r="AN109" s="184"/>
      <c r="AO109" s="15"/>
      <c r="AP109" s="15"/>
      <c r="AQ109" s="15"/>
      <c r="AR109" s="15"/>
      <c r="AS109" s="15"/>
      <c r="AT109" s="15"/>
      <c r="AU109" s="184"/>
      <c r="AV109" s="15"/>
      <c r="AW109" s="15"/>
      <c r="AX109" s="15"/>
      <c r="AY109" s="15"/>
      <c r="AZ109" s="15"/>
      <c r="BA109" s="15"/>
      <c r="BB109" s="184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84"/>
      <c r="CE109" s="15"/>
      <c r="CF109" s="15"/>
      <c r="CG109" s="15"/>
      <c r="CH109" s="15"/>
      <c r="CI109" s="15"/>
      <c r="CJ109" s="15"/>
      <c r="CK109" s="184"/>
      <c r="CL109" s="15"/>
      <c r="CM109" s="15"/>
      <c r="CN109" s="15"/>
      <c r="CO109" s="15"/>
      <c r="CP109" s="15"/>
      <c r="CQ109" s="15"/>
      <c r="CR109" s="184"/>
      <c r="CS109" s="15"/>
      <c r="CT109" s="15"/>
      <c r="CU109" s="15"/>
      <c r="CV109" s="15"/>
      <c r="CW109" s="15"/>
      <c r="CX109" s="15"/>
      <c r="CY109" s="184"/>
      <c r="CZ109" s="15"/>
      <c r="DA109" s="15"/>
      <c r="DB109" s="15"/>
      <c r="DC109" s="15"/>
      <c r="DD109" s="15"/>
      <c r="DE109" s="15"/>
      <c r="DF109" s="184"/>
      <c r="DG109" s="15"/>
      <c r="DH109" s="15"/>
      <c r="DI109" s="15"/>
      <c r="DJ109" s="15"/>
      <c r="DK109" s="15"/>
      <c r="DL109" s="15"/>
      <c r="DM109" s="184"/>
      <c r="DN109" s="15"/>
      <c r="DO109" s="15"/>
      <c r="DP109" s="15"/>
      <c r="DQ109" s="15"/>
      <c r="DR109" s="15"/>
      <c r="DS109" s="15"/>
      <c r="DT109" s="184"/>
      <c r="DU109" s="15"/>
      <c r="DV109" s="15"/>
      <c r="DW109" s="15"/>
      <c r="DX109" s="15"/>
      <c r="DY109" s="15"/>
      <c r="DZ109" s="15"/>
      <c r="EA109" s="184"/>
      <c r="EB109" s="15"/>
      <c r="EC109" s="15"/>
      <c r="ED109" s="15"/>
      <c r="EE109" s="15"/>
      <c r="EF109" s="15"/>
      <c r="EG109" s="15"/>
      <c r="EH109" s="184"/>
      <c r="EI109" s="15"/>
      <c r="EJ109" s="15"/>
      <c r="EK109" s="15"/>
      <c r="EL109" s="15"/>
      <c r="EM109" s="15"/>
      <c r="EN109" s="15"/>
      <c r="EO109" s="184"/>
      <c r="EP109" s="15"/>
      <c r="EQ109" s="15"/>
      <c r="ER109" s="15"/>
      <c r="ES109" s="15"/>
      <c r="ET109" s="15"/>
      <c r="EU109" s="15"/>
      <c r="EV109" s="184"/>
      <c r="EW109" s="15">
        <v>2</v>
      </c>
      <c r="EX109" s="15">
        <v>2</v>
      </c>
      <c r="EY109" s="15">
        <v>2</v>
      </c>
      <c r="EZ109" s="15">
        <v>2</v>
      </c>
      <c r="FA109" s="15">
        <v>2</v>
      </c>
      <c r="FB109" s="15">
        <v>2</v>
      </c>
      <c r="FC109" s="184"/>
      <c r="FD109" s="15"/>
      <c r="FE109" s="15"/>
      <c r="FF109" s="15"/>
      <c r="FG109" s="15"/>
      <c r="FH109" s="15"/>
      <c r="FI109" s="15"/>
      <c r="FJ109" s="184"/>
      <c r="FK109" s="15"/>
      <c r="FL109" s="15"/>
      <c r="FM109" s="15"/>
      <c r="FN109" s="15"/>
      <c r="FO109" s="15"/>
      <c r="FP109" s="15"/>
      <c r="FQ109" s="184"/>
      <c r="FR109" s="15"/>
      <c r="FS109" s="15"/>
      <c r="FT109" s="15"/>
      <c r="FU109" s="15"/>
      <c r="FV109" s="15"/>
      <c r="FW109" s="178"/>
      <c r="FX109" s="184"/>
      <c r="FY109" s="181"/>
      <c r="FZ109" s="15"/>
      <c r="GA109" s="15"/>
      <c r="GB109" s="15"/>
      <c r="GC109" s="15"/>
      <c r="GD109" s="15"/>
      <c r="GE109" s="184"/>
      <c r="GF109" s="15"/>
      <c r="GG109" s="15"/>
      <c r="GH109" s="15"/>
      <c r="GI109" s="15"/>
      <c r="GJ109" s="15"/>
      <c r="GK109" s="15"/>
      <c r="GL109" s="184"/>
      <c r="GM109" s="15"/>
      <c r="GN109" s="15"/>
      <c r="GO109" s="15"/>
      <c r="GP109" s="15"/>
      <c r="GQ109" s="15"/>
      <c r="GR109" s="15"/>
      <c r="GS109" s="184"/>
      <c r="GT109" s="15"/>
      <c r="GU109" s="15"/>
      <c r="GV109" s="15"/>
      <c r="GW109" s="15"/>
      <c r="GX109" s="15"/>
      <c r="GY109" s="15"/>
      <c r="GZ109" s="184"/>
      <c r="HA109" s="15"/>
      <c r="HB109" s="15"/>
      <c r="HC109" s="15"/>
      <c r="HD109" s="15"/>
      <c r="HE109" s="15"/>
      <c r="HF109" s="15"/>
      <c r="HG109" s="184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/>
      <c r="LI109" s="15"/>
      <c r="LJ109" s="15"/>
      <c r="LK109" s="15"/>
      <c r="LL109" s="15"/>
      <c r="LM109" s="15"/>
      <c r="LN109" s="15"/>
      <c r="LO109" s="15"/>
      <c r="LP109" s="15"/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  <c r="MG109" s="15"/>
      <c r="MH109" s="15"/>
      <c r="MI109" s="15"/>
      <c r="MJ109" s="15"/>
      <c r="MK109" s="15"/>
      <c r="ML109" s="15"/>
      <c r="MM109" s="15"/>
      <c r="MN109" s="15"/>
      <c r="MO109" s="15"/>
      <c r="MP109" s="15"/>
      <c r="MQ109" s="15"/>
      <c r="MR109" s="15"/>
      <c r="MS109" s="15"/>
      <c r="MT109" s="15"/>
      <c r="MU109" s="15"/>
      <c r="MV109" s="15"/>
      <c r="MW109" s="15"/>
      <c r="MX109" s="15"/>
      <c r="MY109" s="15"/>
      <c r="MZ109" s="15"/>
      <c r="NA109" s="15"/>
      <c r="NB109" s="15"/>
      <c r="NC109" s="15"/>
      <c r="ND109" s="15"/>
      <c r="NE109" s="15"/>
      <c r="NF109" s="15"/>
      <c r="NG109" s="15"/>
      <c r="NH109" s="15"/>
      <c r="NI109" s="15"/>
      <c r="NJ109" s="15"/>
      <c r="NK109" s="15"/>
      <c r="NL109" s="15"/>
      <c r="NM109" s="15"/>
      <c r="NN109" s="15"/>
      <c r="NO109" s="15"/>
      <c r="NP109" s="15"/>
      <c r="NQ109" s="15"/>
      <c r="NR109" s="15"/>
      <c r="NS109" s="15"/>
      <c r="NT109" s="15"/>
      <c r="NU109" s="15"/>
      <c r="NV109" s="15"/>
      <c r="NW109" s="15"/>
      <c r="NX109" s="15"/>
      <c r="NY109" s="15"/>
      <c r="NZ109" s="15"/>
    </row>
    <row r="110" spans="2:390" ht="19.5" customHeight="1" x14ac:dyDescent="0.45">
      <c r="B110" s="1">
        <f t="shared" si="116"/>
        <v>3</v>
      </c>
      <c r="C110" s="1">
        <f t="shared" si="116"/>
        <v>4</v>
      </c>
      <c r="D110" s="1">
        <f t="shared" si="117"/>
        <v>5</v>
      </c>
      <c r="E110" s="84" t="str">
        <f t="shared" si="112"/>
        <v>3.4.5</v>
      </c>
      <c r="F110" s="85" t="s">
        <v>87</v>
      </c>
      <c r="G110" s="191">
        <v>2</v>
      </c>
      <c r="H110" s="52" t="s">
        <v>117</v>
      </c>
      <c r="I110" s="52" t="s">
        <v>158</v>
      </c>
      <c r="J110" s="52">
        <v>62</v>
      </c>
      <c r="K110" s="52">
        <v>0</v>
      </c>
      <c r="L110" s="52">
        <f t="shared" si="118"/>
        <v>62</v>
      </c>
      <c r="M110" s="20">
        <v>2</v>
      </c>
      <c r="N110" s="20">
        <v>12</v>
      </c>
      <c r="O110" s="51">
        <f>+N110*M110</f>
        <v>24</v>
      </c>
      <c r="P110" s="51">
        <f t="shared" si="119"/>
        <v>24</v>
      </c>
      <c r="Q110" s="51">
        <f t="shared" si="120"/>
        <v>0</v>
      </c>
      <c r="R110" s="79">
        <v>46114</v>
      </c>
      <c r="S110" s="80">
        <v>5</v>
      </c>
      <c r="T110" s="21">
        <f t="shared" si="109"/>
        <v>46120</v>
      </c>
      <c r="U110" s="22">
        <f>+K110/J110</f>
        <v>0</v>
      </c>
      <c r="V110" s="199">
        <f t="shared" si="110"/>
        <v>0</v>
      </c>
      <c r="W110" s="158">
        <f>SUMIFS($AA110:$NZ110, $AA$8:$NZ$8, $W$13)/$O110</f>
        <v>0</v>
      </c>
      <c r="X110" s="159">
        <f>SUMIF($AA$9:$NZ$9, "&lt;=" &amp; $W$11,$AA110:$NZ110)/$O110</f>
        <v>0</v>
      </c>
      <c r="Y110" s="199">
        <f t="shared" si="111"/>
        <v>0</v>
      </c>
      <c r="Z110" s="36"/>
      <c r="AA110" s="15"/>
      <c r="AB110" s="15"/>
      <c r="AC110" s="15"/>
      <c r="AD110" s="15"/>
      <c r="AE110" s="15"/>
      <c r="AF110" s="15"/>
      <c r="AG110" s="184"/>
      <c r="AH110" s="15"/>
      <c r="AI110" s="15"/>
      <c r="AJ110" s="15"/>
      <c r="AK110" s="15"/>
      <c r="AL110" s="15"/>
      <c r="AM110" s="15"/>
      <c r="AN110" s="184"/>
      <c r="AO110" s="15"/>
      <c r="AP110" s="15"/>
      <c r="AQ110" s="15"/>
      <c r="AR110" s="15"/>
      <c r="AS110" s="15"/>
      <c r="AT110" s="15"/>
      <c r="AU110" s="184"/>
      <c r="AV110" s="15"/>
      <c r="AW110" s="15"/>
      <c r="AX110" s="15"/>
      <c r="AY110" s="15"/>
      <c r="AZ110" s="15"/>
      <c r="BA110" s="15"/>
      <c r="BB110" s="184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84"/>
      <c r="CE110" s="15"/>
      <c r="CF110" s="15"/>
      <c r="CG110" s="15"/>
      <c r="CH110" s="15"/>
      <c r="CI110" s="15"/>
      <c r="CJ110" s="15"/>
      <c r="CK110" s="184"/>
      <c r="CL110" s="15"/>
      <c r="CM110" s="15"/>
      <c r="CN110" s="15"/>
      <c r="CO110" s="15"/>
      <c r="CP110" s="15"/>
      <c r="CQ110" s="15"/>
      <c r="CR110" s="184"/>
      <c r="CS110" s="15"/>
      <c r="CT110" s="15"/>
      <c r="CU110" s="15"/>
      <c r="CV110" s="15"/>
      <c r="CW110" s="15"/>
      <c r="CX110" s="15"/>
      <c r="CY110" s="184"/>
      <c r="CZ110" s="15"/>
      <c r="DA110" s="15"/>
      <c r="DB110" s="15"/>
      <c r="DC110" s="15"/>
      <c r="DD110" s="15"/>
      <c r="DE110" s="15"/>
      <c r="DF110" s="184"/>
      <c r="DG110" s="15"/>
      <c r="DH110" s="15"/>
      <c r="DI110" s="15"/>
      <c r="DJ110" s="15"/>
      <c r="DK110" s="15"/>
      <c r="DL110" s="15"/>
      <c r="DM110" s="184"/>
      <c r="DN110" s="15"/>
      <c r="DO110" s="15"/>
      <c r="DP110" s="15"/>
      <c r="DQ110" s="15"/>
      <c r="DR110" s="15"/>
      <c r="DS110" s="15"/>
      <c r="DT110" s="184"/>
      <c r="DU110" s="15"/>
      <c r="DV110" s="15"/>
      <c r="DW110" s="15"/>
      <c r="DX110" s="15"/>
      <c r="DY110" s="15"/>
      <c r="DZ110" s="15"/>
      <c r="EA110" s="184"/>
      <c r="EB110" s="15"/>
      <c r="EC110" s="15"/>
      <c r="ED110" s="15"/>
      <c r="EE110" s="15"/>
      <c r="EF110" s="15"/>
      <c r="EG110" s="15"/>
      <c r="EH110" s="184"/>
      <c r="EI110" s="15"/>
      <c r="EJ110" s="15"/>
      <c r="EK110" s="15"/>
      <c r="EL110" s="15"/>
      <c r="EM110" s="15"/>
      <c r="EN110" s="15"/>
      <c r="EO110" s="184"/>
      <c r="EP110" s="15"/>
      <c r="EQ110" s="15"/>
      <c r="ER110" s="15"/>
      <c r="ES110" s="15"/>
      <c r="ET110" s="15"/>
      <c r="EU110" s="15"/>
      <c r="EV110" s="184"/>
      <c r="EW110" s="15"/>
      <c r="EX110" s="15"/>
      <c r="EY110" s="15"/>
      <c r="EZ110" s="15">
        <v>4</v>
      </c>
      <c r="FA110" s="15">
        <v>4</v>
      </c>
      <c r="FB110" s="15">
        <v>4</v>
      </c>
      <c r="FC110" s="184"/>
      <c r="FD110" s="15">
        <v>4</v>
      </c>
      <c r="FE110" s="15">
        <v>4</v>
      </c>
      <c r="FF110" s="15">
        <v>4</v>
      </c>
      <c r="FG110" s="15"/>
      <c r="FH110" s="15"/>
      <c r="FI110" s="15"/>
      <c r="FJ110" s="184"/>
      <c r="FK110" s="15"/>
      <c r="FL110" s="15"/>
      <c r="FM110" s="15"/>
      <c r="FN110" s="15"/>
      <c r="FO110" s="15"/>
      <c r="FP110" s="15"/>
      <c r="FQ110" s="184"/>
      <c r="FR110" s="15"/>
      <c r="FS110" s="15"/>
      <c r="FT110" s="15"/>
      <c r="FU110" s="15"/>
      <c r="FV110" s="15"/>
      <c r="FW110" s="178"/>
      <c r="FX110" s="184"/>
      <c r="FY110" s="181"/>
      <c r="FZ110" s="15"/>
      <c r="GA110" s="15"/>
      <c r="GB110" s="15"/>
      <c r="GC110" s="15"/>
      <c r="GD110" s="15"/>
      <c r="GE110" s="184"/>
      <c r="GF110" s="15"/>
      <c r="GG110" s="15"/>
      <c r="GH110" s="15"/>
      <c r="GI110" s="15"/>
      <c r="GJ110" s="15"/>
      <c r="GK110" s="15"/>
      <c r="GL110" s="184"/>
      <c r="GM110" s="15"/>
      <c r="GN110" s="15"/>
      <c r="GO110" s="15"/>
      <c r="GP110" s="15"/>
      <c r="GQ110" s="15"/>
      <c r="GR110" s="15"/>
      <c r="GS110" s="184"/>
      <c r="GT110" s="15"/>
      <c r="GU110" s="15"/>
      <c r="GV110" s="15"/>
      <c r="GW110" s="15"/>
      <c r="GX110" s="15"/>
      <c r="GY110" s="15"/>
      <c r="GZ110" s="184"/>
      <c r="HA110" s="15"/>
      <c r="HB110" s="15"/>
      <c r="HC110" s="15"/>
      <c r="HD110" s="15"/>
      <c r="HE110" s="15"/>
      <c r="HF110" s="15"/>
      <c r="HG110" s="184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/>
      <c r="LI110" s="15"/>
      <c r="LJ110" s="15"/>
      <c r="LK110" s="15"/>
      <c r="LL110" s="15"/>
      <c r="LM110" s="15"/>
      <c r="LN110" s="15"/>
      <c r="LO110" s="15"/>
      <c r="LP110" s="15"/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  <c r="MG110" s="15"/>
      <c r="MH110" s="15"/>
      <c r="MI110" s="15"/>
      <c r="MJ110" s="15"/>
      <c r="MK110" s="15"/>
      <c r="ML110" s="15"/>
      <c r="MM110" s="15"/>
      <c r="MN110" s="15"/>
      <c r="MO110" s="15"/>
      <c r="MP110" s="15"/>
      <c r="MQ110" s="15"/>
      <c r="MR110" s="15"/>
      <c r="MS110" s="15"/>
      <c r="MT110" s="15"/>
      <c r="MU110" s="15"/>
      <c r="MV110" s="15"/>
      <c r="MW110" s="15"/>
      <c r="MX110" s="15"/>
      <c r="MY110" s="15"/>
      <c r="MZ110" s="15"/>
      <c r="NA110" s="15"/>
      <c r="NB110" s="15"/>
      <c r="NC110" s="15"/>
      <c r="ND110" s="15"/>
      <c r="NE110" s="15"/>
      <c r="NF110" s="15"/>
      <c r="NG110" s="15"/>
      <c r="NH110" s="15"/>
      <c r="NI110" s="15"/>
      <c r="NJ110" s="15"/>
      <c r="NK110" s="15"/>
      <c r="NL110" s="15"/>
      <c r="NM110" s="15"/>
      <c r="NN110" s="15"/>
      <c r="NO110" s="15"/>
      <c r="NP110" s="15"/>
      <c r="NQ110" s="15"/>
      <c r="NR110" s="15"/>
      <c r="NS110" s="15"/>
      <c r="NT110" s="15"/>
      <c r="NU110" s="15"/>
      <c r="NV110" s="15"/>
      <c r="NW110" s="15"/>
      <c r="NX110" s="15"/>
      <c r="NY110" s="15"/>
      <c r="NZ110" s="15"/>
    </row>
    <row r="111" spans="2:390" ht="19.5" customHeight="1" x14ac:dyDescent="0.45">
      <c r="B111" s="1">
        <f t="shared" si="116"/>
        <v>3</v>
      </c>
      <c r="C111" s="1">
        <f t="shared" si="116"/>
        <v>4</v>
      </c>
      <c r="D111" s="1">
        <f t="shared" si="117"/>
        <v>6</v>
      </c>
      <c r="E111" s="84" t="str">
        <f t="shared" si="112"/>
        <v>3.4.6</v>
      </c>
      <c r="F111" s="85" t="s">
        <v>23</v>
      </c>
      <c r="G111" s="191">
        <v>2.8</v>
      </c>
      <c r="H111" s="52" t="s">
        <v>117</v>
      </c>
      <c r="I111" s="52" t="s">
        <v>158</v>
      </c>
      <c r="J111" s="52">
        <v>103</v>
      </c>
      <c r="K111" s="52">
        <v>0</v>
      </c>
      <c r="L111" s="52">
        <f t="shared" si="118"/>
        <v>103</v>
      </c>
      <c r="M111" s="20">
        <v>4</v>
      </c>
      <c r="N111" s="20">
        <v>12</v>
      </c>
      <c r="O111" s="51">
        <f>+N111*M111</f>
        <v>48</v>
      </c>
      <c r="P111" s="51">
        <f t="shared" si="119"/>
        <v>48</v>
      </c>
      <c r="Q111" s="51">
        <f t="shared" si="120"/>
        <v>0</v>
      </c>
      <c r="R111" s="79">
        <v>46118</v>
      </c>
      <c r="S111" s="80">
        <v>10</v>
      </c>
      <c r="T111" s="21">
        <f t="shared" si="109"/>
        <v>46129</v>
      </c>
      <c r="U111" s="22">
        <f>+K111/J111</f>
        <v>0</v>
      </c>
      <c r="V111" s="199">
        <f t="shared" si="110"/>
        <v>0</v>
      </c>
      <c r="W111" s="158">
        <f>SUMIFS($AA111:$NZ111, $AA$8:$NZ$8, $W$13)/$O111</f>
        <v>0</v>
      </c>
      <c r="X111" s="159">
        <f>SUMIF($AA$9:$NZ$9, "&lt;=" &amp; $W$11,$AA111:$NZ111)/$O111</f>
        <v>0</v>
      </c>
      <c r="Y111" s="199">
        <f t="shared" si="111"/>
        <v>0</v>
      </c>
      <c r="Z111" s="36"/>
      <c r="AA111" s="15"/>
      <c r="AB111" s="15"/>
      <c r="AC111" s="15"/>
      <c r="AD111" s="15"/>
      <c r="AE111" s="15"/>
      <c r="AF111" s="15"/>
      <c r="AG111" s="184"/>
      <c r="AH111" s="15"/>
      <c r="AI111" s="15"/>
      <c r="AJ111" s="15"/>
      <c r="AK111" s="15"/>
      <c r="AL111" s="15"/>
      <c r="AM111" s="15"/>
      <c r="AN111" s="184"/>
      <c r="AO111" s="15"/>
      <c r="AP111" s="15"/>
      <c r="AQ111" s="15"/>
      <c r="AR111" s="15"/>
      <c r="AS111" s="15"/>
      <c r="AT111" s="15"/>
      <c r="AU111" s="184"/>
      <c r="AV111" s="15"/>
      <c r="AW111" s="15"/>
      <c r="AX111" s="15"/>
      <c r="AY111" s="15"/>
      <c r="AZ111" s="15"/>
      <c r="BA111" s="15"/>
      <c r="BB111" s="184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84"/>
      <c r="CE111" s="15"/>
      <c r="CF111" s="15"/>
      <c r="CG111" s="15"/>
      <c r="CH111" s="15"/>
      <c r="CI111" s="15"/>
      <c r="CJ111" s="15"/>
      <c r="CK111" s="184"/>
      <c r="CL111" s="15"/>
      <c r="CM111" s="15"/>
      <c r="CN111" s="15"/>
      <c r="CO111" s="15"/>
      <c r="CP111" s="15"/>
      <c r="CQ111" s="15"/>
      <c r="CR111" s="184"/>
      <c r="CS111" s="15"/>
      <c r="CT111" s="15"/>
      <c r="CU111" s="15"/>
      <c r="CV111" s="15"/>
      <c r="CW111" s="15"/>
      <c r="CX111" s="15"/>
      <c r="CY111" s="184"/>
      <c r="CZ111" s="15"/>
      <c r="DA111" s="15"/>
      <c r="DB111" s="15"/>
      <c r="DC111" s="15"/>
      <c r="DD111" s="15"/>
      <c r="DE111" s="15"/>
      <c r="DF111" s="184"/>
      <c r="DG111" s="15"/>
      <c r="DH111" s="15"/>
      <c r="DI111" s="15"/>
      <c r="DJ111" s="15"/>
      <c r="DK111" s="15"/>
      <c r="DL111" s="15"/>
      <c r="DM111" s="184"/>
      <c r="DN111" s="15"/>
      <c r="DO111" s="15"/>
      <c r="DP111" s="15"/>
      <c r="DQ111" s="15"/>
      <c r="DR111" s="15"/>
      <c r="DS111" s="15"/>
      <c r="DT111" s="184"/>
      <c r="DU111" s="15"/>
      <c r="DV111" s="15"/>
      <c r="DW111" s="15"/>
      <c r="DX111" s="15"/>
      <c r="DY111" s="15"/>
      <c r="DZ111" s="15"/>
      <c r="EA111" s="184"/>
      <c r="EB111" s="15"/>
      <c r="EC111" s="15"/>
      <c r="ED111" s="15"/>
      <c r="EE111" s="15"/>
      <c r="EF111" s="15"/>
      <c r="EG111" s="15"/>
      <c r="EH111" s="184"/>
      <c r="EI111" s="15"/>
      <c r="EJ111" s="15"/>
      <c r="EK111" s="15"/>
      <c r="EL111" s="15"/>
      <c r="EM111" s="15"/>
      <c r="EN111" s="15"/>
      <c r="EO111" s="184"/>
      <c r="EP111" s="15"/>
      <c r="EQ111" s="15"/>
      <c r="ER111" s="15"/>
      <c r="ES111" s="15"/>
      <c r="ET111" s="15"/>
      <c r="EU111" s="15"/>
      <c r="EV111" s="184"/>
      <c r="EW111" s="15"/>
      <c r="EX111" s="15"/>
      <c r="EY111" s="15"/>
      <c r="EZ111" s="15"/>
      <c r="FA111" s="15"/>
      <c r="FB111" s="15"/>
      <c r="FC111" s="184"/>
      <c r="FD111" s="15">
        <v>4</v>
      </c>
      <c r="FE111" s="15">
        <v>4</v>
      </c>
      <c r="FF111" s="15">
        <v>4</v>
      </c>
      <c r="FG111" s="15">
        <v>4</v>
      </c>
      <c r="FH111" s="15">
        <v>4</v>
      </c>
      <c r="FI111" s="15">
        <v>4</v>
      </c>
      <c r="FJ111" s="184"/>
      <c r="FK111" s="15">
        <v>4</v>
      </c>
      <c r="FL111" s="15">
        <v>4</v>
      </c>
      <c r="FM111" s="15">
        <v>4</v>
      </c>
      <c r="FN111" s="15">
        <v>4</v>
      </c>
      <c r="FO111" s="15">
        <v>4</v>
      </c>
      <c r="FP111" s="15">
        <v>4</v>
      </c>
      <c r="FQ111" s="184"/>
      <c r="FR111" s="15"/>
      <c r="FS111" s="15"/>
      <c r="FT111" s="15"/>
      <c r="FU111" s="15"/>
      <c r="FV111" s="15"/>
      <c r="FW111" s="178"/>
      <c r="FX111" s="184"/>
      <c r="FY111" s="181"/>
      <c r="FZ111" s="15"/>
      <c r="GA111" s="15"/>
      <c r="GB111" s="15"/>
      <c r="GC111" s="15"/>
      <c r="GD111" s="15"/>
      <c r="GE111" s="184"/>
      <c r="GF111" s="15"/>
      <c r="GG111" s="15"/>
      <c r="GH111" s="15"/>
      <c r="GI111" s="15"/>
      <c r="GJ111" s="15"/>
      <c r="GK111" s="15"/>
      <c r="GL111" s="184"/>
      <c r="GM111" s="15"/>
      <c r="GN111" s="15"/>
      <c r="GO111" s="15"/>
      <c r="GP111" s="15"/>
      <c r="GQ111" s="15"/>
      <c r="GR111" s="15"/>
      <c r="GS111" s="184"/>
      <c r="GT111" s="15"/>
      <c r="GU111" s="15"/>
      <c r="GV111" s="15"/>
      <c r="GW111" s="15"/>
      <c r="GX111" s="15"/>
      <c r="GY111" s="15"/>
      <c r="GZ111" s="184"/>
      <c r="HA111" s="15"/>
      <c r="HB111" s="15"/>
      <c r="HC111" s="15"/>
      <c r="HD111" s="15"/>
      <c r="HE111" s="15"/>
      <c r="HF111" s="15"/>
      <c r="HG111" s="184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/>
      <c r="LI111" s="15"/>
      <c r="LJ111" s="15"/>
      <c r="LK111" s="15"/>
      <c r="LL111" s="15"/>
      <c r="LM111" s="15"/>
      <c r="LN111" s="15"/>
      <c r="LO111" s="15"/>
      <c r="LP111" s="15"/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  <c r="MG111" s="15"/>
      <c r="MH111" s="15"/>
      <c r="MI111" s="15"/>
      <c r="MJ111" s="15"/>
      <c r="MK111" s="15"/>
      <c r="ML111" s="15"/>
      <c r="MM111" s="15"/>
      <c r="MN111" s="15"/>
      <c r="MO111" s="15"/>
      <c r="MP111" s="15"/>
      <c r="MQ111" s="15"/>
      <c r="MR111" s="15"/>
      <c r="MS111" s="15"/>
      <c r="MT111" s="15"/>
      <c r="MU111" s="15"/>
      <c r="MV111" s="15"/>
      <c r="MW111" s="15"/>
      <c r="MX111" s="15"/>
      <c r="MY111" s="15"/>
      <c r="MZ111" s="15"/>
      <c r="NA111" s="15"/>
      <c r="NB111" s="15"/>
      <c r="NC111" s="15"/>
      <c r="ND111" s="15"/>
      <c r="NE111" s="15"/>
      <c r="NF111" s="15"/>
      <c r="NG111" s="15"/>
      <c r="NH111" s="15"/>
      <c r="NI111" s="15"/>
      <c r="NJ111" s="15"/>
      <c r="NK111" s="15"/>
      <c r="NL111" s="15"/>
      <c r="NM111" s="15"/>
      <c r="NN111" s="15"/>
      <c r="NO111" s="15"/>
      <c r="NP111" s="15"/>
      <c r="NQ111" s="15"/>
      <c r="NR111" s="15"/>
      <c r="NS111" s="15"/>
      <c r="NT111" s="15"/>
      <c r="NU111" s="15"/>
      <c r="NV111" s="15"/>
      <c r="NW111" s="15"/>
      <c r="NX111" s="15"/>
      <c r="NY111" s="15"/>
      <c r="NZ111" s="15"/>
    </row>
    <row r="112" spans="2:390" ht="19.5" customHeight="1" x14ac:dyDescent="0.45">
      <c r="B112" s="1">
        <f>+B111</f>
        <v>3</v>
      </c>
      <c r="C112" s="1">
        <f>+C111+1</f>
        <v>5</v>
      </c>
      <c r="D112" s="1">
        <v>0</v>
      </c>
      <c r="E112" s="93" t="str">
        <f t="shared" si="112"/>
        <v>3.5.0</v>
      </c>
      <c r="F112" s="94" t="s">
        <v>64</v>
      </c>
      <c r="G112" s="108"/>
      <c r="H112" s="109"/>
      <c r="I112" s="109"/>
      <c r="J112" s="110"/>
      <c r="K112" s="110"/>
      <c r="L112" s="110"/>
      <c r="M112" s="108"/>
      <c r="N112" s="108"/>
      <c r="O112" s="95">
        <f>SUM(O113:O119)</f>
        <v>168</v>
      </c>
      <c r="P112" s="95"/>
      <c r="Q112" s="95"/>
      <c r="R112" s="166"/>
      <c r="S112" s="167"/>
      <c r="T112" s="163" t="str">
        <f t="shared" si="109"/>
        <v/>
      </c>
      <c r="U112" s="164">
        <f>+SUMPRODUCT(U113:U119,O113:O119)/O112</f>
        <v>0</v>
      </c>
      <c r="V112" s="200">
        <f t="shared" si="110"/>
        <v>0</v>
      </c>
      <c r="W112" s="158">
        <f>SUMIFS($AA112:$NZ112, $AA$8:$NZ$8, $W$13)/$O112</f>
        <v>0</v>
      </c>
      <c r="X112" s="159">
        <f>SUMIF($AA$9:$NZ$9, "&lt;=" &amp; $W$11,$AA112:$NZ112)/$O112</f>
        <v>0</v>
      </c>
      <c r="Y112" s="199">
        <f t="shared" si="111"/>
        <v>0</v>
      </c>
      <c r="Z112" s="36"/>
      <c r="AA112" s="15"/>
      <c r="AB112" s="15"/>
      <c r="AC112" s="15"/>
      <c r="AD112" s="15"/>
      <c r="AE112" s="15"/>
      <c r="AF112" s="15"/>
      <c r="AG112" s="184"/>
      <c r="AH112" s="15"/>
      <c r="AI112" s="15"/>
      <c r="AJ112" s="15"/>
      <c r="AK112" s="15"/>
      <c r="AL112" s="15"/>
      <c r="AM112" s="15"/>
      <c r="AN112" s="184"/>
      <c r="AO112" s="15"/>
      <c r="AP112" s="15"/>
      <c r="AQ112" s="15"/>
      <c r="AR112" s="15"/>
      <c r="AS112" s="15"/>
      <c r="AT112" s="15"/>
      <c r="AU112" s="184"/>
      <c r="AV112" s="15"/>
      <c r="AW112" s="15"/>
      <c r="AX112" s="15"/>
      <c r="AY112" s="15"/>
      <c r="AZ112" s="15"/>
      <c r="BA112" s="15"/>
      <c r="BB112" s="184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84"/>
      <c r="CE112" s="15"/>
      <c r="CF112" s="15"/>
      <c r="CG112" s="15"/>
      <c r="CH112" s="15"/>
      <c r="CI112" s="15"/>
      <c r="CJ112" s="15"/>
      <c r="CK112" s="184"/>
      <c r="CL112" s="15"/>
      <c r="CM112" s="15"/>
      <c r="CN112" s="15"/>
      <c r="CO112" s="15"/>
      <c r="CP112" s="15"/>
      <c r="CQ112" s="15"/>
      <c r="CR112" s="184"/>
      <c r="CS112" s="15"/>
      <c r="CT112" s="15"/>
      <c r="CU112" s="15"/>
      <c r="CV112" s="15"/>
      <c r="CW112" s="15"/>
      <c r="CX112" s="15"/>
      <c r="CY112" s="184"/>
      <c r="CZ112" s="15"/>
      <c r="DA112" s="15"/>
      <c r="DB112" s="15"/>
      <c r="DC112" s="15"/>
      <c r="DD112" s="15"/>
      <c r="DE112" s="15"/>
      <c r="DF112" s="184"/>
      <c r="DG112" s="15"/>
      <c r="DH112" s="15"/>
      <c r="DI112" s="15"/>
      <c r="DJ112" s="15"/>
      <c r="DK112" s="15"/>
      <c r="DL112" s="15"/>
      <c r="DM112" s="184"/>
      <c r="DN112" s="15"/>
      <c r="DO112" s="15"/>
      <c r="DP112" s="15"/>
      <c r="DQ112" s="15"/>
      <c r="DR112" s="15"/>
      <c r="DS112" s="15"/>
      <c r="DT112" s="184"/>
      <c r="DU112" s="15"/>
      <c r="DV112" s="15"/>
      <c r="DW112" s="15"/>
      <c r="DX112" s="15"/>
      <c r="DY112" s="15"/>
      <c r="DZ112" s="15"/>
      <c r="EA112" s="184"/>
      <c r="EB112" s="15"/>
      <c r="EC112" s="15"/>
      <c r="ED112" s="15"/>
      <c r="EE112" s="15"/>
      <c r="EF112" s="15"/>
      <c r="EG112" s="15"/>
      <c r="EH112" s="184"/>
      <c r="EI112" s="15"/>
      <c r="EJ112" s="15"/>
      <c r="EK112" s="15"/>
      <c r="EL112" s="15"/>
      <c r="EM112" s="15"/>
      <c r="EN112" s="15"/>
      <c r="EO112" s="184"/>
      <c r="EP112" s="15"/>
      <c r="EQ112" s="15"/>
      <c r="ER112" s="15"/>
      <c r="ES112" s="15"/>
      <c r="ET112" s="15"/>
      <c r="EU112" s="15"/>
      <c r="EV112" s="184"/>
      <c r="EW112" s="15"/>
      <c r="EX112" s="15"/>
      <c r="EY112" s="15"/>
      <c r="EZ112" s="15"/>
      <c r="FA112" s="15"/>
      <c r="FB112" s="15"/>
      <c r="FC112" s="184"/>
      <c r="FD112" s="15"/>
      <c r="FE112" s="15"/>
      <c r="FF112" s="15"/>
      <c r="FG112" s="15"/>
      <c r="FH112" s="15"/>
      <c r="FI112" s="15"/>
      <c r="FJ112" s="184"/>
      <c r="FK112" s="15"/>
      <c r="FL112" s="15"/>
      <c r="FM112" s="15"/>
      <c r="FN112" s="15"/>
      <c r="FO112" s="15"/>
      <c r="FP112" s="15"/>
      <c r="FQ112" s="184"/>
      <c r="FR112" s="15"/>
      <c r="FS112" s="15"/>
      <c r="FT112" s="15"/>
      <c r="FU112" s="15"/>
      <c r="FV112" s="15"/>
      <c r="FW112" s="178"/>
      <c r="FX112" s="184"/>
      <c r="FY112" s="181"/>
      <c r="FZ112" s="15"/>
      <c r="GA112" s="15"/>
      <c r="GB112" s="15"/>
      <c r="GC112" s="15"/>
      <c r="GD112" s="15"/>
      <c r="GE112" s="184"/>
      <c r="GF112" s="15"/>
      <c r="GG112" s="15"/>
      <c r="GH112" s="15"/>
      <c r="GI112" s="15"/>
      <c r="GJ112" s="15"/>
      <c r="GK112" s="15"/>
      <c r="GL112" s="184"/>
      <c r="GM112" s="15"/>
      <c r="GN112" s="15"/>
      <c r="GO112" s="15"/>
      <c r="GP112" s="15"/>
      <c r="GQ112" s="15"/>
      <c r="GR112" s="15"/>
      <c r="GS112" s="184"/>
      <c r="GT112" s="15"/>
      <c r="GU112" s="15"/>
      <c r="GV112" s="15"/>
      <c r="GW112" s="15"/>
      <c r="GX112" s="15"/>
      <c r="GY112" s="15"/>
      <c r="GZ112" s="184"/>
      <c r="HA112" s="15"/>
      <c r="HB112" s="15"/>
      <c r="HC112" s="15"/>
      <c r="HD112" s="15"/>
      <c r="HE112" s="15"/>
      <c r="HF112" s="15"/>
      <c r="HG112" s="184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  <c r="MH112" s="15"/>
      <c r="MI112" s="15"/>
      <c r="MJ112" s="15"/>
      <c r="MK112" s="15"/>
      <c r="ML112" s="15"/>
      <c r="MM112" s="15"/>
      <c r="MN112" s="15"/>
      <c r="MO112" s="15"/>
      <c r="MP112" s="15"/>
      <c r="MQ112" s="15"/>
      <c r="MR112" s="15"/>
      <c r="MS112" s="15"/>
      <c r="MT112" s="15"/>
      <c r="MU112" s="15"/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</row>
    <row r="113" spans="2:390" ht="19.5" customHeight="1" x14ac:dyDescent="0.45">
      <c r="B113" s="1">
        <f t="shared" ref="B113:C119" si="121">+B112</f>
        <v>3</v>
      </c>
      <c r="C113" s="1">
        <f t="shared" si="121"/>
        <v>5</v>
      </c>
      <c r="D113" s="1">
        <f t="shared" ref="D113:D119" si="122">+D112+1</f>
        <v>1</v>
      </c>
      <c r="E113" s="59" t="str">
        <f t="shared" si="112"/>
        <v>3.5.1</v>
      </c>
      <c r="F113" s="23" t="s">
        <v>154</v>
      </c>
      <c r="G113" s="82"/>
      <c r="H113" s="52" t="s">
        <v>117</v>
      </c>
      <c r="I113" s="52"/>
      <c r="J113" s="61">
        <v>1</v>
      </c>
      <c r="K113" s="52">
        <v>0</v>
      </c>
      <c r="L113" s="52">
        <f t="shared" ref="L113:L119" si="123">+J113-K113</f>
        <v>1</v>
      </c>
      <c r="M113" s="141"/>
      <c r="N113" s="142"/>
      <c r="O113" s="143"/>
      <c r="P113" s="143"/>
      <c r="Q113" s="143"/>
      <c r="R113" s="153"/>
      <c r="S113" s="154"/>
      <c r="T113" s="155" t="str">
        <f t="shared" si="109"/>
        <v/>
      </c>
      <c r="U113" s="22">
        <f t="shared" ref="U113:U119" si="124">+K113/J113</f>
        <v>0</v>
      </c>
      <c r="V113" s="199">
        <f t="shared" si="110"/>
        <v>0</v>
      </c>
      <c r="W113" s="158"/>
      <c r="X113" s="159"/>
      <c r="Y113" s="199">
        <f t="shared" si="111"/>
        <v>0</v>
      </c>
      <c r="Z113" s="36"/>
      <c r="AA113" s="15"/>
      <c r="AB113" s="15"/>
      <c r="AC113" s="15"/>
      <c r="AD113" s="15"/>
      <c r="AE113" s="15"/>
      <c r="AF113" s="15"/>
      <c r="AG113" s="184"/>
      <c r="AH113" s="15"/>
      <c r="AI113" s="15"/>
      <c r="AJ113" s="15"/>
      <c r="AK113" s="15"/>
      <c r="AL113" s="15"/>
      <c r="AM113" s="15"/>
      <c r="AN113" s="184"/>
      <c r="AO113" s="15"/>
      <c r="AP113" s="15"/>
      <c r="AQ113" s="15"/>
      <c r="AR113" s="15"/>
      <c r="AS113" s="15"/>
      <c r="AT113" s="15"/>
      <c r="AU113" s="184"/>
      <c r="AV113" s="15"/>
      <c r="AW113" s="15"/>
      <c r="AX113" s="15"/>
      <c r="AY113" s="15"/>
      <c r="AZ113" s="15"/>
      <c r="BA113" s="15"/>
      <c r="BB113" s="184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84"/>
      <c r="CE113" s="15"/>
      <c r="CF113" s="15"/>
      <c r="CG113" s="15"/>
      <c r="CH113" s="15"/>
      <c r="CI113" s="15"/>
      <c r="CJ113" s="15"/>
      <c r="CK113" s="184"/>
      <c r="CL113" s="15"/>
      <c r="CM113" s="15"/>
      <c r="CN113" s="15"/>
      <c r="CO113" s="15"/>
      <c r="CP113" s="15"/>
      <c r="CQ113" s="15"/>
      <c r="CR113" s="184"/>
      <c r="CS113" s="15"/>
      <c r="CT113" s="15"/>
      <c r="CU113" s="15"/>
      <c r="CV113" s="15"/>
      <c r="CW113" s="15"/>
      <c r="CX113" s="15"/>
      <c r="CY113" s="184"/>
      <c r="CZ113" s="15"/>
      <c r="DA113" s="15"/>
      <c r="DB113" s="15"/>
      <c r="DC113" s="15"/>
      <c r="DD113" s="15"/>
      <c r="DE113" s="15"/>
      <c r="DF113" s="184"/>
      <c r="DG113" s="15"/>
      <c r="DH113" s="15"/>
      <c r="DI113" s="15"/>
      <c r="DJ113" s="15"/>
      <c r="DK113" s="15"/>
      <c r="DL113" s="15"/>
      <c r="DM113" s="184"/>
      <c r="DN113" s="15"/>
      <c r="DO113" s="15"/>
      <c r="DP113" s="15"/>
      <c r="DQ113" s="15"/>
      <c r="DR113" s="15"/>
      <c r="DS113" s="15"/>
      <c r="DT113" s="184"/>
      <c r="DU113" s="15"/>
      <c r="DV113" s="15"/>
      <c r="DW113" s="15"/>
      <c r="DX113" s="15"/>
      <c r="DY113" s="15"/>
      <c r="DZ113" s="15"/>
      <c r="EA113" s="184"/>
      <c r="EB113" s="15"/>
      <c r="EC113" s="15"/>
      <c r="ED113" s="15"/>
      <c r="EE113" s="15"/>
      <c r="EF113" s="15"/>
      <c r="EG113" s="15"/>
      <c r="EH113" s="184"/>
      <c r="EI113" s="15"/>
      <c r="EJ113" s="15"/>
      <c r="EK113" s="15"/>
      <c r="EL113" s="15"/>
      <c r="EM113" s="15"/>
      <c r="EN113" s="15"/>
      <c r="EO113" s="184"/>
      <c r="EP113" s="15"/>
      <c r="EQ113" s="15"/>
      <c r="ER113" s="15"/>
      <c r="ES113" s="15"/>
      <c r="ET113" s="15"/>
      <c r="EU113" s="15"/>
      <c r="EV113" s="184"/>
      <c r="EW113" s="15"/>
      <c r="EX113" s="15"/>
      <c r="EY113" s="15"/>
      <c r="EZ113" s="15"/>
      <c r="FA113" s="15"/>
      <c r="FB113" s="15"/>
      <c r="FC113" s="184"/>
      <c r="FD113" s="15"/>
      <c r="FE113" s="15"/>
      <c r="FF113" s="15"/>
      <c r="FG113" s="15"/>
      <c r="FH113" s="15"/>
      <c r="FI113" s="15"/>
      <c r="FJ113" s="184"/>
      <c r="FK113" s="15"/>
      <c r="FL113" s="15"/>
      <c r="FM113" s="15"/>
      <c r="FN113" s="15"/>
      <c r="FO113" s="15"/>
      <c r="FP113" s="15"/>
      <c r="FQ113" s="184"/>
      <c r="FR113" s="15"/>
      <c r="FS113" s="15"/>
      <c r="FT113" s="15"/>
      <c r="FU113" s="15"/>
      <c r="FV113" s="15"/>
      <c r="FW113" s="178"/>
      <c r="FX113" s="184"/>
      <c r="FY113" s="181"/>
      <c r="FZ113" s="15"/>
      <c r="GA113" s="15"/>
      <c r="GB113" s="15"/>
      <c r="GC113" s="15"/>
      <c r="GD113" s="15"/>
      <c r="GE113" s="184"/>
      <c r="GF113" s="15"/>
      <c r="GG113" s="15"/>
      <c r="GH113" s="15"/>
      <c r="GI113" s="15"/>
      <c r="GJ113" s="15"/>
      <c r="GK113" s="15"/>
      <c r="GL113" s="184"/>
      <c r="GM113" s="15"/>
      <c r="GN113" s="15"/>
      <c r="GO113" s="15"/>
      <c r="GP113" s="15"/>
      <c r="GQ113" s="15"/>
      <c r="GR113" s="15"/>
      <c r="GS113" s="184"/>
      <c r="GT113" s="15"/>
      <c r="GU113" s="15"/>
      <c r="GV113" s="15"/>
      <c r="GW113" s="15"/>
      <c r="GX113" s="15"/>
      <c r="GY113" s="15"/>
      <c r="GZ113" s="184"/>
      <c r="HA113" s="15"/>
      <c r="HB113" s="15"/>
      <c r="HC113" s="15"/>
      <c r="HD113" s="15"/>
      <c r="HE113" s="15"/>
      <c r="HF113" s="15"/>
      <c r="HG113" s="184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/>
      <c r="LI113" s="15"/>
      <c r="LJ113" s="15"/>
      <c r="LK113" s="15"/>
      <c r="LL113" s="15"/>
      <c r="LM113" s="15"/>
      <c r="LN113" s="15"/>
      <c r="LO113" s="15"/>
      <c r="LP113" s="15"/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  <c r="MG113" s="15"/>
      <c r="MH113" s="15"/>
      <c r="MI113" s="15"/>
      <c r="MJ113" s="15"/>
      <c r="MK113" s="15"/>
      <c r="ML113" s="15"/>
      <c r="MM113" s="15"/>
      <c r="MN113" s="15"/>
      <c r="MO113" s="15"/>
      <c r="MP113" s="15"/>
      <c r="MQ113" s="15"/>
      <c r="MR113" s="15"/>
      <c r="MS113" s="15"/>
      <c r="MT113" s="15"/>
      <c r="MU113" s="15"/>
      <c r="MV113" s="15"/>
      <c r="MW113" s="15"/>
      <c r="MX113" s="15"/>
      <c r="MY113" s="15"/>
      <c r="MZ113" s="15"/>
      <c r="NA113" s="15"/>
      <c r="NB113" s="15"/>
      <c r="NC113" s="15"/>
      <c r="ND113" s="15"/>
      <c r="NE113" s="15"/>
      <c r="NF113" s="15"/>
      <c r="NG113" s="15"/>
      <c r="NH113" s="15"/>
      <c r="NI113" s="15"/>
      <c r="NJ113" s="15"/>
      <c r="NK113" s="15"/>
      <c r="NL113" s="15"/>
      <c r="NM113" s="15"/>
      <c r="NN113" s="15"/>
      <c r="NO113" s="15"/>
      <c r="NP113" s="15"/>
      <c r="NQ113" s="15"/>
      <c r="NR113" s="15"/>
      <c r="NS113" s="15"/>
      <c r="NT113" s="15"/>
      <c r="NU113" s="15"/>
      <c r="NV113" s="15"/>
      <c r="NW113" s="15"/>
      <c r="NX113" s="15"/>
      <c r="NY113" s="15"/>
      <c r="NZ113" s="15"/>
    </row>
    <row r="114" spans="2:390" ht="19.5" customHeight="1" x14ac:dyDescent="0.45">
      <c r="B114" s="1">
        <f t="shared" si="121"/>
        <v>3</v>
      </c>
      <c r="C114" s="1">
        <f t="shared" si="121"/>
        <v>5</v>
      </c>
      <c r="D114" s="1">
        <f t="shared" si="122"/>
        <v>2</v>
      </c>
      <c r="E114" s="59" t="str">
        <f t="shared" si="112"/>
        <v>3.5.2</v>
      </c>
      <c r="F114" s="86" t="s">
        <v>98</v>
      </c>
      <c r="G114" s="82"/>
      <c r="H114" s="52" t="s">
        <v>117</v>
      </c>
      <c r="I114" s="52"/>
      <c r="J114" s="61">
        <v>1</v>
      </c>
      <c r="K114" s="52">
        <v>0</v>
      </c>
      <c r="L114" s="52">
        <f t="shared" si="123"/>
        <v>1</v>
      </c>
      <c r="M114" s="144"/>
      <c r="N114" s="145"/>
      <c r="O114" s="146"/>
      <c r="P114" s="146"/>
      <c r="Q114" s="146"/>
      <c r="R114" s="153"/>
      <c r="S114" s="154"/>
      <c r="T114" s="155" t="str">
        <f t="shared" si="109"/>
        <v/>
      </c>
      <c r="U114" s="22">
        <f t="shared" si="124"/>
        <v>0</v>
      </c>
      <c r="V114" s="199">
        <f t="shared" si="110"/>
        <v>0</v>
      </c>
      <c r="W114" s="158"/>
      <c r="X114" s="159"/>
      <c r="Y114" s="199">
        <f t="shared" si="111"/>
        <v>0</v>
      </c>
      <c r="Z114" s="36"/>
      <c r="AA114" s="15"/>
      <c r="AB114" s="15"/>
      <c r="AC114" s="15"/>
      <c r="AD114" s="15"/>
      <c r="AE114" s="15"/>
      <c r="AF114" s="15"/>
      <c r="AG114" s="184"/>
      <c r="AH114" s="15"/>
      <c r="AI114" s="15"/>
      <c r="AJ114" s="15"/>
      <c r="AK114" s="15"/>
      <c r="AL114" s="15"/>
      <c r="AM114" s="15"/>
      <c r="AN114" s="184"/>
      <c r="AO114" s="15"/>
      <c r="AP114" s="15"/>
      <c r="AQ114" s="15"/>
      <c r="AR114" s="15"/>
      <c r="AS114" s="15"/>
      <c r="AT114" s="15"/>
      <c r="AU114" s="184"/>
      <c r="AV114" s="15"/>
      <c r="AW114" s="15"/>
      <c r="AX114" s="15"/>
      <c r="AY114" s="15"/>
      <c r="AZ114" s="15"/>
      <c r="BA114" s="15"/>
      <c r="BB114" s="184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84"/>
      <c r="CE114" s="15"/>
      <c r="CF114" s="15"/>
      <c r="CG114" s="15"/>
      <c r="CH114" s="15"/>
      <c r="CI114" s="15"/>
      <c r="CJ114" s="15"/>
      <c r="CK114" s="184"/>
      <c r="CL114" s="15"/>
      <c r="CM114" s="15"/>
      <c r="CN114" s="15"/>
      <c r="CO114" s="15"/>
      <c r="CP114" s="15"/>
      <c r="CQ114" s="15"/>
      <c r="CR114" s="184"/>
      <c r="CS114" s="15"/>
      <c r="CT114" s="15"/>
      <c r="CU114" s="15"/>
      <c r="CV114" s="15"/>
      <c r="CW114" s="15"/>
      <c r="CX114" s="15"/>
      <c r="CY114" s="184"/>
      <c r="CZ114" s="15"/>
      <c r="DA114" s="15"/>
      <c r="DB114" s="15"/>
      <c r="DC114" s="15"/>
      <c r="DD114" s="15"/>
      <c r="DE114" s="15"/>
      <c r="DF114" s="184"/>
      <c r="DG114" s="15"/>
      <c r="DH114" s="15"/>
      <c r="DI114" s="15"/>
      <c r="DJ114" s="15"/>
      <c r="DK114" s="15"/>
      <c r="DL114" s="15"/>
      <c r="DM114" s="184"/>
      <c r="DN114" s="15"/>
      <c r="DO114" s="15"/>
      <c r="DP114" s="15"/>
      <c r="DQ114" s="15"/>
      <c r="DR114" s="15"/>
      <c r="DS114" s="15"/>
      <c r="DT114" s="184"/>
      <c r="DU114" s="15"/>
      <c r="DV114" s="15"/>
      <c r="DW114" s="15"/>
      <c r="DX114" s="15"/>
      <c r="DY114" s="15"/>
      <c r="DZ114" s="15"/>
      <c r="EA114" s="184"/>
      <c r="EB114" s="15"/>
      <c r="EC114" s="15"/>
      <c r="ED114" s="15"/>
      <c r="EE114" s="15"/>
      <c r="EF114" s="15"/>
      <c r="EG114" s="15"/>
      <c r="EH114" s="184"/>
      <c r="EI114" s="15"/>
      <c r="EJ114" s="15"/>
      <c r="EK114" s="15"/>
      <c r="EL114" s="15"/>
      <c r="EM114" s="15"/>
      <c r="EN114" s="15"/>
      <c r="EO114" s="184"/>
      <c r="EP114" s="15"/>
      <c r="EQ114" s="15"/>
      <c r="ER114" s="15"/>
      <c r="ES114" s="15"/>
      <c r="ET114" s="15"/>
      <c r="EU114" s="15"/>
      <c r="EV114" s="184"/>
      <c r="EW114" s="15"/>
      <c r="EX114" s="15"/>
      <c r="EY114" s="15"/>
      <c r="EZ114" s="15"/>
      <c r="FA114" s="15"/>
      <c r="FB114" s="15"/>
      <c r="FC114" s="184"/>
      <c r="FD114" s="15"/>
      <c r="FE114" s="15"/>
      <c r="FF114" s="15"/>
      <c r="FG114" s="15"/>
      <c r="FH114" s="15"/>
      <c r="FI114" s="15"/>
      <c r="FJ114" s="184"/>
      <c r="FK114" s="15"/>
      <c r="FL114" s="15"/>
      <c r="FM114" s="15"/>
      <c r="FN114" s="15"/>
      <c r="FO114" s="15"/>
      <c r="FP114" s="15"/>
      <c r="FQ114" s="184"/>
      <c r="FR114" s="15"/>
      <c r="FS114" s="15"/>
      <c r="FT114" s="15"/>
      <c r="FU114" s="15"/>
      <c r="FV114" s="15"/>
      <c r="FW114" s="178"/>
      <c r="FX114" s="184"/>
      <c r="FY114" s="181"/>
      <c r="FZ114" s="15"/>
      <c r="GA114" s="15"/>
      <c r="GB114" s="15"/>
      <c r="GC114" s="15"/>
      <c r="GD114" s="15"/>
      <c r="GE114" s="184"/>
      <c r="GF114" s="15"/>
      <c r="GG114" s="15"/>
      <c r="GH114" s="15"/>
      <c r="GI114" s="15"/>
      <c r="GJ114" s="15"/>
      <c r="GK114" s="15"/>
      <c r="GL114" s="184"/>
      <c r="GM114" s="15"/>
      <c r="GN114" s="15"/>
      <c r="GO114" s="15"/>
      <c r="GP114" s="15"/>
      <c r="GQ114" s="15"/>
      <c r="GR114" s="15"/>
      <c r="GS114" s="184"/>
      <c r="GT114" s="15"/>
      <c r="GU114" s="15"/>
      <c r="GV114" s="15"/>
      <c r="GW114" s="15"/>
      <c r="GX114" s="15"/>
      <c r="GY114" s="15"/>
      <c r="GZ114" s="184"/>
      <c r="HA114" s="15"/>
      <c r="HB114" s="15"/>
      <c r="HC114" s="15"/>
      <c r="HD114" s="15"/>
      <c r="HE114" s="15"/>
      <c r="HF114" s="15"/>
      <c r="HG114" s="184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  <c r="MG114" s="15"/>
      <c r="MH114" s="15"/>
      <c r="MI114" s="15"/>
      <c r="MJ114" s="15"/>
      <c r="MK114" s="15"/>
      <c r="ML114" s="15"/>
      <c r="MM114" s="15"/>
      <c r="MN114" s="15"/>
      <c r="MO114" s="15"/>
      <c r="MP114" s="15"/>
      <c r="MQ114" s="15"/>
      <c r="MR114" s="15"/>
      <c r="MS114" s="15"/>
      <c r="MT114" s="15"/>
      <c r="MU114" s="15"/>
      <c r="MV114" s="15"/>
      <c r="MW114" s="15"/>
      <c r="MX114" s="15"/>
      <c r="MY114" s="15"/>
      <c r="MZ114" s="15"/>
      <c r="NA114" s="15"/>
      <c r="NB114" s="15"/>
      <c r="NC114" s="15"/>
      <c r="ND114" s="15"/>
      <c r="NE114" s="15"/>
      <c r="NF114" s="15"/>
      <c r="NG114" s="15"/>
      <c r="NH114" s="15"/>
      <c r="NI114" s="15"/>
      <c r="NJ114" s="15"/>
      <c r="NK114" s="15"/>
      <c r="NL114" s="15"/>
      <c r="NM114" s="15"/>
      <c r="NN114" s="15"/>
      <c r="NO114" s="15"/>
      <c r="NP114" s="15"/>
      <c r="NQ114" s="15"/>
      <c r="NR114" s="15"/>
      <c r="NS114" s="15"/>
      <c r="NT114" s="15"/>
      <c r="NU114" s="15"/>
      <c r="NV114" s="15"/>
      <c r="NW114" s="15"/>
      <c r="NX114" s="15"/>
      <c r="NY114" s="15"/>
      <c r="NZ114" s="15"/>
    </row>
    <row r="115" spans="2:390" ht="19.5" customHeight="1" x14ac:dyDescent="0.45">
      <c r="B115" s="1">
        <f t="shared" si="121"/>
        <v>3</v>
      </c>
      <c r="C115" s="1">
        <f t="shared" si="121"/>
        <v>5</v>
      </c>
      <c r="D115" s="1">
        <f t="shared" si="122"/>
        <v>3</v>
      </c>
      <c r="E115" s="59" t="str">
        <f t="shared" si="112"/>
        <v>3.5.3</v>
      </c>
      <c r="F115" s="86" t="s">
        <v>90</v>
      </c>
      <c r="G115" s="82"/>
      <c r="H115" s="52" t="s">
        <v>117</v>
      </c>
      <c r="I115" s="52"/>
      <c r="J115" s="61">
        <v>1</v>
      </c>
      <c r="K115" s="52">
        <v>0</v>
      </c>
      <c r="L115" s="52">
        <f t="shared" si="123"/>
        <v>1</v>
      </c>
      <c r="M115" s="147"/>
      <c r="N115" s="148"/>
      <c r="O115" s="149"/>
      <c r="P115" s="149"/>
      <c r="Q115" s="149"/>
      <c r="R115" s="153"/>
      <c r="S115" s="154"/>
      <c r="T115" s="155" t="str">
        <f t="shared" si="109"/>
        <v/>
      </c>
      <c r="U115" s="22">
        <f t="shared" si="124"/>
        <v>0</v>
      </c>
      <c r="V115" s="199">
        <f t="shared" si="110"/>
        <v>0</v>
      </c>
      <c r="W115" s="158"/>
      <c r="X115" s="159"/>
      <c r="Y115" s="199">
        <f t="shared" si="111"/>
        <v>0</v>
      </c>
      <c r="Z115" s="36"/>
      <c r="AA115" s="15"/>
      <c r="AB115" s="15"/>
      <c r="AC115" s="15"/>
      <c r="AD115" s="15"/>
      <c r="AE115" s="15"/>
      <c r="AF115" s="15"/>
      <c r="AG115" s="184"/>
      <c r="AH115" s="15"/>
      <c r="AI115" s="15"/>
      <c r="AJ115" s="15"/>
      <c r="AK115" s="15"/>
      <c r="AL115" s="15"/>
      <c r="AM115" s="15"/>
      <c r="AN115" s="184"/>
      <c r="AO115" s="15"/>
      <c r="AP115" s="15"/>
      <c r="AQ115" s="15"/>
      <c r="AR115" s="15"/>
      <c r="AS115" s="15"/>
      <c r="AT115" s="15"/>
      <c r="AU115" s="184"/>
      <c r="AV115" s="15"/>
      <c r="AW115" s="15"/>
      <c r="AX115" s="15"/>
      <c r="AY115" s="15"/>
      <c r="AZ115" s="15"/>
      <c r="BA115" s="15"/>
      <c r="BB115" s="184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84"/>
      <c r="CE115" s="15"/>
      <c r="CF115" s="15"/>
      <c r="CG115" s="15"/>
      <c r="CH115" s="15"/>
      <c r="CI115" s="15"/>
      <c r="CJ115" s="15"/>
      <c r="CK115" s="184"/>
      <c r="CL115" s="15"/>
      <c r="CM115" s="15"/>
      <c r="CN115" s="15"/>
      <c r="CO115" s="15"/>
      <c r="CP115" s="15"/>
      <c r="CQ115" s="15"/>
      <c r="CR115" s="184"/>
      <c r="CS115" s="15"/>
      <c r="CT115" s="15"/>
      <c r="CU115" s="15"/>
      <c r="CV115" s="15"/>
      <c r="CW115" s="15"/>
      <c r="CX115" s="15"/>
      <c r="CY115" s="184"/>
      <c r="CZ115" s="15"/>
      <c r="DA115" s="15"/>
      <c r="DB115" s="15"/>
      <c r="DC115" s="15"/>
      <c r="DD115" s="15"/>
      <c r="DE115" s="15"/>
      <c r="DF115" s="184"/>
      <c r="DG115" s="15"/>
      <c r="DH115" s="15"/>
      <c r="DI115" s="15"/>
      <c r="DJ115" s="15"/>
      <c r="DK115" s="15"/>
      <c r="DL115" s="15"/>
      <c r="DM115" s="184"/>
      <c r="DN115" s="15"/>
      <c r="DO115" s="15"/>
      <c r="DP115" s="15"/>
      <c r="DQ115" s="15"/>
      <c r="DR115" s="15"/>
      <c r="DS115" s="15"/>
      <c r="DT115" s="184"/>
      <c r="DU115" s="15"/>
      <c r="DV115" s="15"/>
      <c r="DW115" s="15"/>
      <c r="DX115" s="15"/>
      <c r="DY115" s="15"/>
      <c r="DZ115" s="15"/>
      <c r="EA115" s="184"/>
      <c r="EB115" s="15"/>
      <c r="EC115" s="15"/>
      <c r="ED115" s="15"/>
      <c r="EE115" s="15"/>
      <c r="EF115" s="15"/>
      <c r="EG115" s="15"/>
      <c r="EH115" s="184"/>
      <c r="EI115" s="15"/>
      <c r="EJ115" s="15"/>
      <c r="EK115" s="15"/>
      <c r="EL115" s="15"/>
      <c r="EM115" s="15"/>
      <c r="EN115" s="15"/>
      <c r="EO115" s="184"/>
      <c r="EP115" s="15"/>
      <c r="EQ115" s="15"/>
      <c r="ER115" s="15"/>
      <c r="ES115" s="15"/>
      <c r="ET115" s="15"/>
      <c r="EU115" s="15"/>
      <c r="EV115" s="184"/>
      <c r="EW115" s="15"/>
      <c r="EX115" s="15"/>
      <c r="EY115" s="15"/>
      <c r="EZ115" s="15"/>
      <c r="FA115" s="15"/>
      <c r="FB115" s="15"/>
      <c r="FC115" s="184"/>
      <c r="FD115" s="15"/>
      <c r="FE115" s="15"/>
      <c r="FF115" s="15"/>
      <c r="FG115" s="15"/>
      <c r="FH115" s="15"/>
      <c r="FI115" s="15"/>
      <c r="FJ115" s="184"/>
      <c r="FK115" s="15"/>
      <c r="FL115" s="15"/>
      <c r="FM115" s="15"/>
      <c r="FN115" s="15"/>
      <c r="FO115" s="15"/>
      <c r="FP115" s="15"/>
      <c r="FQ115" s="184"/>
      <c r="FR115" s="15"/>
      <c r="FS115" s="15"/>
      <c r="FT115" s="15"/>
      <c r="FU115" s="15"/>
      <c r="FV115" s="15"/>
      <c r="FW115" s="178"/>
      <c r="FX115" s="184"/>
      <c r="FY115" s="181"/>
      <c r="FZ115" s="15"/>
      <c r="GA115" s="15"/>
      <c r="GB115" s="15"/>
      <c r="GC115" s="15"/>
      <c r="GD115" s="15"/>
      <c r="GE115" s="184"/>
      <c r="GF115" s="15"/>
      <c r="GG115" s="15"/>
      <c r="GH115" s="15"/>
      <c r="GI115" s="15"/>
      <c r="GJ115" s="15"/>
      <c r="GK115" s="15"/>
      <c r="GL115" s="184"/>
      <c r="GM115" s="15"/>
      <c r="GN115" s="15"/>
      <c r="GO115" s="15"/>
      <c r="GP115" s="15"/>
      <c r="GQ115" s="15"/>
      <c r="GR115" s="15"/>
      <c r="GS115" s="184"/>
      <c r="GT115" s="15"/>
      <c r="GU115" s="15"/>
      <c r="GV115" s="15"/>
      <c r="GW115" s="15"/>
      <c r="GX115" s="15"/>
      <c r="GY115" s="15"/>
      <c r="GZ115" s="184"/>
      <c r="HA115" s="15"/>
      <c r="HB115" s="15"/>
      <c r="HC115" s="15"/>
      <c r="HD115" s="15"/>
      <c r="HE115" s="15"/>
      <c r="HF115" s="15"/>
      <c r="HG115" s="184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  <c r="MH115" s="15"/>
      <c r="MI115" s="15"/>
      <c r="MJ115" s="15"/>
      <c r="MK115" s="15"/>
      <c r="ML115" s="15"/>
      <c r="MM115" s="15"/>
      <c r="MN115" s="15"/>
      <c r="MO115" s="15"/>
      <c r="MP115" s="15"/>
      <c r="MQ115" s="15"/>
      <c r="MR115" s="15"/>
      <c r="MS115" s="15"/>
      <c r="MT115" s="15"/>
      <c r="MU115" s="15"/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5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</row>
    <row r="116" spans="2:390" ht="19.5" customHeight="1" x14ac:dyDescent="0.45">
      <c r="B116" s="1">
        <f t="shared" si="121"/>
        <v>3</v>
      </c>
      <c r="C116" s="1">
        <f t="shared" si="121"/>
        <v>5</v>
      </c>
      <c r="D116" s="1">
        <f t="shared" si="122"/>
        <v>4</v>
      </c>
      <c r="E116" s="59" t="str">
        <f t="shared" si="112"/>
        <v>3.5.4</v>
      </c>
      <c r="F116" s="86" t="s">
        <v>99</v>
      </c>
      <c r="G116" s="191" t="s">
        <v>153</v>
      </c>
      <c r="H116" s="52" t="s">
        <v>117</v>
      </c>
      <c r="I116" s="52" t="s">
        <v>157</v>
      </c>
      <c r="J116" s="61">
        <v>1</v>
      </c>
      <c r="K116" s="52">
        <v>0</v>
      </c>
      <c r="L116" s="52">
        <f t="shared" si="123"/>
        <v>1</v>
      </c>
      <c r="M116" s="20">
        <v>4</v>
      </c>
      <c r="N116" s="20">
        <v>12</v>
      </c>
      <c r="O116" s="51">
        <f>+N116*M116</f>
        <v>48</v>
      </c>
      <c r="P116" s="51">
        <f>+SUM(AA116:NZ116)</f>
        <v>48</v>
      </c>
      <c r="Q116" s="51">
        <f>+O116-P116</f>
        <v>0</v>
      </c>
      <c r="R116" s="79">
        <v>46111</v>
      </c>
      <c r="S116" s="80">
        <v>10</v>
      </c>
      <c r="T116" s="21">
        <f t="shared" si="109"/>
        <v>46122</v>
      </c>
      <c r="U116" s="22">
        <f t="shared" si="124"/>
        <v>0</v>
      </c>
      <c r="V116" s="199">
        <f t="shared" si="110"/>
        <v>0</v>
      </c>
      <c r="W116" s="158">
        <f>SUMIFS($AA116:$NZ116, $AA$8:$NZ$8, $W$13)/$O116</f>
        <v>0</v>
      </c>
      <c r="X116" s="159">
        <f>SUMIF($AA$9:$NZ$9, "&lt;=" &amp; $W$11,$AA116:$NZ116)/$O116</f>
        <v>0</v>
      </c>
      <c r="Y116" s="199">
        <f t="shared" si="111"/>
        <v>0</v>
      </c>
      <c r="Z116" s="36"/>
      <c r="AA116" s="15"/>
      <c r="AB116" s="15"/>
      <c r="AC116" s="15"/>
      <c r="AD116" s="15"/>
      <c r="AE116" s="15"/>
      <c r="AF116" s="15"/>
      <c r="AG116" s="184"/>
      <c r="AH116" s="15"/>
      <c r="AI116" s="15"/>
      <c r="AJ116" s="15"/>
      <c r="AK116" s="15"/>
      <c r="AL116" s="15"/>
      <c r="AM116" s="15"/>
      <c r="AN116" s="184"/>
      <c r="AO116" s="15"/>
      <c r="AP116" s="15"/>
      <c r="AQ116" s="15"/>
      <c r="AR116" s="15"/>
      <c r="AS116" s="15"/>
      <c r="AT116" s="15"/>
      <c r="AU116" s="184"/>
      <c r="AV116" s="15"/>
      <c r="AW116" s="15"/>
      <c r="AX116" s="15"/>
      <c r="AY116" s="15"/>
      <c r="AZ116" s="15"/>
      <c r="BA116" s="15"/>
      <c r="BB116" s="184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84"/>
      <c r="CE116" s="15"/>
      <c r="CF116" s="15"/>
      <c r="CG116" s="15"/>
      <c r="CH116" s="15"/>
      <c r="CI116" s="15"/>
      <c r="CJ116" s="15"/>
      <c r="CK116" s="184"/>
      <c r="CL116" s="15"/>
      <c r="CM116" s="15"/>
      <c r="CN116" s="15"/>
      <c r="CO116" s="15"/>
      <c r="CP116" s="15"/>
      <c r="CQ116" s="15"/>
      <c r="CR116" s="184"/>
      <c r="CS116" s="15"/>
      <c r="CT116" s="15"/>
      <c r="CU116" s="15"/>
      <c r="CV116" s="15"/>
      <c r="CW116" s="15"/>
      <c r="CX116" s="15"/>
      <c r="CY116" s="184"/>
      <c r="CZ116" s="15"/>
      <c r="DA116" s="15"/>
      <c r="DB116" s="15"/>
      <c r="DC116" s="15"/>
      <c r="DD116" s="15"/>
      <c r="DE116" s="15"/>
      <c r="DF116" s="184"/>
      <c r="DG116" s="15"/>
      <c r="DH116" s="15"/>
      <c r="DI116" s="15"/>
      <c r="DJ116" s="15"/>
      <c r="DK116" s="15"/>
      <c r="DL116" s="15"/>
      <c r="DM116" s="184"/>
      <c r="DN116" s="15"/>
      <c r="DO116" s="15"/>
      <c r="DP116" s="15"/>
      <c r="DQ116" s="15"/>
      <c r="DR116" s="15"/>
      <c r="DS116" s="15"/>
      <c r="DT116" s="184"/>
      <c r="DU116" s="15"/>
      <c r="DV116" s="15"/>
      <c r="DW116" s="15"/>
      <c r="DX116" s="15"/>
      <c r="DY116" s="15"/>
      <c r="DZ116" s="15"/>
      <c r="EA116" s="184"/>
      <c r="EB116" s="15"/>
      <c r="EC116" s="15"/>
      <c r="ED116" s="15"/>
      <c r="EE116" s="15"/>
      <c r="EF116" s="15"/>
      <c r="EG116" s="15"/>
      <c r="EH116" s="184"/>
      <c r="EI116" s="15"/>
      <c r="EJ116" s="15"/>
      <c r="EK116" s="15"/>
      <c r="EL116" s="15"/>
      <c r="EM116" s="15"/>
      <c r="EN116" s="15"/>
      <c r="EO116" s="184"/>
      <c r="EP116" s="15"/>
      <c r="EQ116" s="15"/>
      <c r="ER116" s="15"/>
      <c r="ES116" s="15"/>
      <c r="ET116" s="15"/>
      <c r="EU116" s="15"/>
      <c r="EV116" s="184"/>
      <c r="EW116" s="15">
        <v>4</v>
      </c>
      <c r="EX116" s="15">
        <v>4</v>
      </c>
      <c r="EY116" s="15">
        <v>4</v>
      </c>
      <c r="EZ116" s="15">
        <v>4</v>
      </c>
      <c r="FA116" s="15">
        <v>4</v>
      </c>
      <c r="FB116" s="15">
        <v>4</v>
      </c>
      <c r="FC116" s="184"/>
      <c r="FD116" s="15">
        <v>4</v>
      </c>
      <c r="FE116" s="15">
        <v>4</v>
      </c>
      <c r="FF116" s="15">
        <v>4</v>
      </c>
      <c r="FG116" s="15">
        <v>4</v>
      </c>
      <c r="FH116" s="15">
        <v>4</v>
      </c>
      <c r="FI116" s="15">
        <v>4</v>
      </c>
      <c r="FJ116" s="184"/>
      <c r="FK116" s="15"/>
      <c r="FL116" s="15"/>
      <c r="FM116" s="15"/>
      <c r="FN116" s="15"/>
      <c r="FO116" s="15"/>
      <c r="FP116" s="15"/>
      <c r="FQ116" s="184"/>
      <c r="FR116" s="15"/>
      <c r="FS116" s="15"/>
      <c r="FT116" s="15"/>
      <c r="FU116" s="15"/>
      <c r="FV116" s="15"/>
      <c r="FW116" s="178"/>
      <c r="FX116" s="184"/>
      <c r="FY116" s="181"/>
      <c r="FZ116" s="15"/>
      <c r="GA116" s="15"/>
      <c r="GB116" s="15"/>
      <c r="GC116" s="15"/>
      <c r="GD116" s="15"/>
      <c r="GE116" s="184"/>
      <c r="GF116" s="15"/>
      <c r="GG116" s="15"/>
      <c r="GH116" s="15"/>
      <c r="GI116" s="15"/>
      <c r="GJ116" s="15"/>
      <c r="GK116" s="15"/>
      <c r="GL116" s="184"/>
      <c r="GM116" s="15"/>
      <c r="GN116" s="15"/>
      <c r="GO116" s="15"/>
      <c r="GP116" s="15"/>
      <c r="GQ116" s="15"/>
      <c r="GR116" s="15"/>
      <c r="GS116" s="184"/>
      <c r="GT116" s="15"/>
      <c r="GU116" s="15"/>
      <c r="GV116" s="15"/>
      <c r="GW116" s="15"/>
      <c r="GX116" s="15"/>
      <c r="GY116" s="15"/>
      <c r="GZ116" s="184"/>
      <c r="HA116" s="15"/>
      <c r="HB116" s="15"/>
      <c r="HC116" s="15"/>
      <c r="HD116" s="15"/>
      <c r="HE116" s="15"/>
      <c r="HF116" s="15"/>
      <c r="HG116" s="184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  <c r="MH116" s="15"/>
      <c r="MI116" s="15"/>
      <c r="MJ116" s="15"/>
      <c r="MK116" s="15"/>
      <c r="ML116" s="15"/>
      <c r="MM116" s="15"/>
      <c r="MN116" s="15"/>
      <c r="MO116" s="15"/>
      <c r="MP116" s="15"/>
      <c r="MQ116" s="15"/>
      <c r="MR116" s="15"/>
      <c r="MS116" s="15"/>
      <c r="MT116" s="15"/>
      <c r="MU116" s="15"/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5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</row>
    <row r="117" spans="2:390" ht="19.5" customHeight="1" x14ac:dyDescent="0.45">
      <c r="B117" s="1">
        <f t="shared" si="121"/>
        <v>3</v>
      </c>
      <c r="C117" s="1">
        <f t="shared" si="121"/>
        <v>5</v>
      </c>
      <c r="D117" s="1">
        <f t="shared" si="122"/>
        <v>5</v>
      </c>
      <c r="E117" s="59" t="str">
        <f t="shared" si="112"/>
        <v>3.5.5</v>
      </c>
      <c r="F117" s="23" t="s">
        <v>66</v>
      </c>
      <c r="G117" s="191" t="s">
        <v>153</v>
      </c>
      <c r="H117" s="52" t="s">
        <v>117</v>
      </c>
      <c r="I117" s="52" t="s">
        <v>158</v>
      </c>
      <c r="J117" s="52">
        <v>162</v>
      </c>
      <c r="K117" s="52">
        <v>0</v>
      </c>
      <c r="L117" s="52">
        <f t="shared" si="123"/>
        <v>162</v>
      </c>
      <c r="M117" s="20">
        <v>4</v>
      </c>
      <c r="N117" s="20">
        <v>12</v>
      </c>
      <c r="O117" s="51">
        <f>+N117*M117</f>
        <v>48</v>
      </c>
      <c r="P117" s="51">
        <f>+SUM(AA117:NZ117)</f>
        <v>48</v>
      </c>
      <c r="Q117" s="51">
        <f>+O117-P117</f>
        <v>0</v>
      </c>
      <c r="R117" s="79">
        <v>46111</v>
      </c>
      <c r="S117" s="80">
        <v>10</v>
      </c>
      <c r="T117" s="21">
        <f t="shared" si="109"/>
        <v>46122</v>
      </c>
      <c r="U117" s="22">
        <f t="shared" si="124"/>
        <v>0</v>
      </c>
      <c r="V117" s="199">
        <f t="shared" si="110"/>
        <v>0</v>
      </c>
      <c r="W117" s="158">
        <f>SUMIFS($AA117:$NZ117, $AA$8:$NZ$8, $W$13)/$O117</f>
        <v>0</v>
      </c>
      <c r="X117" s="159">
        <f>SUMIF($AA$9:$NZ$9, "&lt;=" &amp; $W$11,$AA117:$NZ117)/$O117</f>
        <v>0</v>
      </c>
      <c r="Y117" s="199">
        <f t="shared" si="111"/>
        <v>0</v>
      </c>
      <c r="Z117" s="36"/>
      <c r="AA117" s="15"/>
      <c r="AB117" s="15"/>
      <c r="AC117" s="15"/>
      <c r="AD117" s="15"/>
      <c r="AE117" s="15"/>
      <c r="AF117" s="15"/>
      <c r="AG117" s="184"/>
      <c r="AH117" s="15"/>
      <c r="AI117" s="15"/>
      <c r="AJ117" s="15"/>
      <c r="AK117" s="15"/>
      <c r="AL117" s="15"/>
      <c r="AM117" s="15"/>
      <c r="AN117" s="184"/>
      <c r="AO117" s="15"/>
      <c r="AP117" s="15"/>
      <c r="AQ117" s="15"/>
      <c r="AR117" s="15"/>
      <c r="AS117" s="15"/>
      <c r="AT117" s="15"/>
      <c r="AU117" s="184"/>
      <c r="AV117" s="15"/>
      <c r="AW117" s="15"/>
      <c r="AX117" s="15"/>
      <c r="AY117" s="15"/>
      <c r="AZ117" s="15"/>
      <c r="BA117" s="15"/>
      <c r="BB117" s="184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84"/>
      <c r="CE117" s="15"/>
      <c r="CF117" s="15"/>
      <c r="CG117" s="15"/>
      <c r="CH117" s="15"/>
      <c r="CI117" s="15"/>
      <c r="CJ117" s="15"/>
      <c r="CK117" s="184"/>
      <c r="CL117" s="15"/>
      <c r="CM117" s="15"/>
      <c r="CN117" s="15"/>
      <c r="CO117" s="15"/>
      <c r="CP117" s="15"/>
      <c r="CQ117" s="15"/>
      <c r="CR117" s="184"/>
      <c r="CS117" s="15"/>
      <c r="CT117" s="15"/>
      <c r="CU117" s="15"/>
      <c r="CV117" s="15"/>
      <c r="CW117" s="15"/>
      <c r="CX117" s="15"/>
      <c r="CY117" s="184"/>
      <c r="CZ117" s="15"/>
      <c r="DA117" s="15"/>
      <c r="DB117" s="15"/>
      <c r="DC117" s="15"/>
      <c r="DD117" s="15"/>
      <c r="DE117" s="15"/>
      <c r="DF117" s="184"/>
      <c r="DG117" s="15"/>
      <c r="DH117" s="15"/>
      <c r="DI117" s="15"/>
      <c r="DJ117" s="15"/>
      <c r="DK117" s="15"/>
      <c r="DL117" s="15"/>
      <c r="DM117" s="184"/>
      <c r="DN117" s="15"/>
      <c r="DO117" s="15"/>
      <c r="DP117" s="15"/>
      <c r="DQ117" s="15"/>
      <c r="DR117" s="15"/>
      <c r="DS117" s="15"/>
      <c r="DT117" s="184"/>
      <c r="DU117" s="15"/>
      <c r="DV117" s="15"/>
      <c r="DW117" s="15"/>
      <c r="DX117" s="15"/>
      <c r="DY117" s="15"/>
      <c r="DZ117" s="15"/>
      <c r="EA117" s="184"/>
      <c r="EB117" s="15"/>
      <c r="EC117" s="15"/>
      <c r="ED117" s="15"/>
      <c r="EE117" s="15"/>
      <c r="EF117" s="15"/>
      <c r="EG117" s="15"/>
      <c r="EH117" s="184"/>
      <c r="EI117" s="15"/>
      <c r="EJ117" s="15"/>
      <c r="EK117" s="15"/>
      <c r="EL117" s="15"/>
      <c r="EM117" s="15"/>
      <c r="EN117" s="15"/>
      <c r="EO117" s="184"/>
      <c r="EP117" s="15"/>
      <c r="EQ117" s="15"/>
      <c r="ER117" s="15"/>
      <c r="ES117" s="15"/>
      <c r="ET117" s="15"/>
      <c r="EU117" s="15"/>
      <c r="EV117" s="184"/>
      <c r="EW117" s="15">
        <v>4</v>
      </c>
      <c r="EX117" s="15">
        <v>4</v>
      </c>
      <c r="EY117" s="15">
        <v>4</v>
      </c>
      <c r="EZ117" s="15">
        <v>4</v>
      </c>
      <c r="FA117" s="15">
        <v>4</v>
      </c>
      <c r="FB117" s="15">
        <v>4</v>
      </c>
      <c r="FC117" s="184"/>
      <c r="FD117" s="15">
        <v>4</v>
      </c>
      <c r="FE117" s="15">
        <v>4</v>
      </c>
      <c r="FF117" s="15">
        <v>4</v>
      </c>
      <c r="FG117" s="15">
        <v>4</v>
      </c>
      <c r="FH117" s="15">
        <v>4</v>
      </c>
      <c r="FI117" s="15">
        <v>4</v>
      </c>
      <c r="FJ117" s="184"/>
      <c r="FK117" s="15"/>
      <c r="FL117" s="15"/>
      <c r="FM117" s="15"/>
      <c r="FN117" s="15"/>
      <c r="FO117" s="15"/>
      <c r="FP117" s="15"/>
      <c r="FQ117" s="184"/>
      <c r="FR117" s="15"/>
      <c r="FS117" s="15"/>
      <c r="FT117" s="15"/>
      <c r="FU117" s="15"/>
      <c r="FV117" s="15"/>
      <c r="FW117" s="178"/>
      <c r="FX117" s="184"/>
      <c r="FY117" s="181"/>
      <c r="FZ117" s="15"/>
      <c r="GA117" s="15"/>
      <c r="GB117" s="15"/>
      <c r="GC117" s="15"/>
      <c r="GD117" s="15"/>
      <c r="GE117" s="184"/>
      <c r="GF117" s="15"/>
      <c r="GG117" s="15"/>
      <c r="GH117" s="15"/>
      <c r="GI117" s="15"/>
      <c r="GJ117" s="15"/>
      <c r="GK117" s="15"/>
      <c r="GL117" s="184"/>
      <c r="GM117" s="15"/>
      <c r="GN117" s="15"/>
      <c r="GO117" s="15"/>
      <c r="GP117" s="15"/>
      <c r="GQ117" s="15"/>
      <c r="GR117" s="15"/>
      <c r="GS117" s="184"/>
      <c r="GT117" s="15"/>
      <c r="GU117" s="15"/>
      <c r="GV117" s="15"/>
      <c r="GW117" s="15"/>
      <c r="GX117" s="15"/>
      <c r="GY117" s="15"/>
      <c r="GZ117" s="184"/>
      <c r="HA117" s="15"/>
      <c r="HB117" s="15"/>
      <c r="HC117" s="15"/>
      <c r="HD117" s="15"/>
      <c r="HE117" s="15"/>
      <c r="HF117" s="15"/>
      <c r="HG117" s="184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  <c r="MG117" s="15"/>
      <c r="MH117" s="15"/>
      <c r="MI117" s="15"/>
      <c r="MJ117" s="15"/>
      <c r="MK117" s="15"/>
      <c r="ML117" s="15"/>
      <c r="MM117" s="15"/>
      <c r="MN117" s="15"/>
      <c r="MO117" s="15"/>
      <c r="MP117" s="15"/>
      <c r="MQ117" s="15"/>
      <c r="MR117" s="15"/>
      <c r="MS117" s="15"/>
      <c r="MT117" s="15"/>
      <c r="MU117" s="15"/>
      <c r="MV117" s="15"/>
      <c r="MW117" s="15"/>
      <c r="MX117" s="15"/>
      <c r="MY117" s="15"/>
      <c r="MZ117" s="15"/>
      <c r="NA117" s="15"/>
      <c r="NB117" s="15"/>
      <c r="NC117" s="15"/>
      <c r="ND117" s="15"/>
      <c r="NE117" s="15"/>
      <c r="NF117" s="15"/>
      <c r="NG117" s="15"/>
      <c r="NH117" s="15"/>
      <c r="NI117" s="15"/>
      <c r="NJ117" s="15"/>
      <c r="NK117" s="15"/>
      <c r="NL117" s="15"/>
      <c r="NM117" s="15"/>
      <c r="NN117" s="15"/>
      <c r="NO117" s="15"/>
      <c r="NP117" s="15"/>
      <c r="NQ117" s="15"/>
      <c r="NR117" s="15"/>
      <c r="NS117" s="15"/>
      <c r="NT117" s="15"/>
      <c r="NU117" s="15"/>
      <c r="NV117" s="15"/>
      <c r="NW117" s="15"/>
      <c r="NX117" s="15"/>
      <c r="NY117" s="15"/>
      <c r="NZ117" s="15"/>
    </row>
    <row r="118" spans="2:390" ht="19.5" customHeight="1" x14ac:dyDescent="0.45">
      <c r="B118" s="1">
        <f t="shared" si="121"/>
        <v>3</v>
      </c>
      <c r="C118" s="1">
        <f t="shared" si="121"/>
        <v>5</v>
      </c>
      <c r="D118" s="1">
        <f t="shared" si="122"/>
        <v>6</v>
      </c>
      <c r="E118" s="59" t="str">
        <f t="shared" si="112"/>
        <v>3.5.6</v>
      </c>
      <c r="F118" s="23" t="s">
        <v>62</v>
      </c>
      <c r="G118" s="191" t="s">
        <v>153</v>
      </c>
      <c r="H118" s="52" t="s">
        <v>117</v>
      </c>
      <c r="I118" s="52" t="s">
        <v>158</v>
      </c>
      <c r="J118" s="52">
        <v>95</v>
      </c>
      <c r="K118" s="52">
        <v>0</v>
      </c>
      <c r="L118" s="52">
        <f t="shared" si="123"/>
        <v>95</v>
      </c>
      <c r="M118" s="20">
        <v>4</v>
      </c>
      <c r="N118" s="20">
        <v>6</v>
      </c>
      <c r="O118" s="51">
        <f>+N118*M118</f>
        <v>24</v>
      </c>
      <c r="P118" s="51">
        <f>+SUM(AA118:NZ118)</f>
        <v>24</v>
      </c>
      <c r="Q118" s="51">
        <f>+O118-P118</f>
        <v>0</v>
      </c>
      <c r="R118" s="79">
        <v>46118</v>
      </c>
      <c r="S118" s="80">
        <v>5</v>
      </c>
      <c r="T118" s="21">
        <f t="shared" si="109"/>
        <v>46122</v>
      </c>
      <c r="U118" s="22">
        <f t="shared" si="124"/>
        <v>0</v>
      </c>
      <c r="V118" s="199">
        <f t="shared" si="110"/>
        <v>0</v>
      </c>
      <c r="W118" s="158">
        <f>SUMIFS($AA118:$NZ118, $AA$8:$NZ$8, $W$13)/$O118</f>
        <v>0</v>
      </c>
      <c r="X118" s="159">
        <f>SUMIF($AA$9:$NZ$9, "&lt;=" &amp; $W$11,$AA118:$NZ118)/$O118</f>
        <v>0</v>
      </c>
      <c r="Y118" s="199">
        <f t="shared" si="111"/>
        <v>0</v>
      </c>
      <c r="Z118" s="36"/>
      <c r="AA118" s="15"/>
      <c r="AB118" s="15"/>
      <c r="AC118" s="15"/>
      <c r="AD118" s="15"/>
      <c r="AE118" s="15"/>
      <c r="AF118" s="15"/>
      <c r="AG118" s="184"/>
      <c r="AH118" s="15"/>
      <c r="AI118" s="15"/>
      <c r="AJ118" s="15"/>
      <c r="AK118" s="15"/>
      <c r="AL118" s="15"/>
      <c r="AM118" s="15"/>
      <c r="AN118" s="184"/>
      <c r="AO118" s="15"/>
      <c r="AP118" s="15"/>
      <c r="AQ118" s="15"/>
      <c r="AR118" s="15"/>
      <c r="AS118" s="15"/>
      <c r="AT118" s="15"/>
      <c r="AU118" s="184"/>
      <c r="AV118" s="15"/>
      <c r="AW118" s="15"/>
      <c r="AX118" s="15"/>
      <c r="AY118" s="15"/>
      <c r="AZ118" s="15"/>
      <c r="BA118" s="15"/>
      <c r="BB118" s="184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84"/>
      <c r="CE118" s="15"/>
      <c r="CF118" s="15"/>
      <c r="CG118" s="15"/>
      <c r="CH118" s="15"/>
      <c r="CI118" s="15"/>
      <c r="CJ118" s="15"/>
      <c r="CK118" s="184"/>
      <c r="CL118" s="15"/>
      <c r="CM118" s="15"/>
      <c r="CN118" s="15"/>
      <c r="CO118" s="15"/>
      <c r="CP118" s="15"/>
      <c r="CQ118" s="15"/>
      <c r="CR118" s="184"/>
      <c r="CS118" s="15"/>
      <c r="CT118" s="15"/>
      <c r="CU118" s="15"/>
      <c r="CV118" s="15"/>
      <c r="CW118" s="15"/>
      <c r="CX118" s="15"/>
      <c r="CY118" s="184"/>
      <c r="CZ118" s="15"/>
      <c r="DA118" s="15"/>
      <c r="DB118" s="15"/>
      <c r="DC118" s="15"/>
      <c r="DD118" s="15"/>
      <c r="DE118" s="15"/>
      <c r="DF118" s="184"/>
      <c r="DG118" s="15"/>
      <c r="DH118" s="15"/>
      <c r="DI118" s="15"/>
      <c r="DJ118" s="15"/>
      <c r="DK118" s="15"/>
      <c r="DL118" s="15"/>
      <c r="DM118" s="184"/>
      <c r="DN118" s="15"/>
      <c r="DO118" s="15"/>
      <c r="DP118" s="15"/>
      <c r="DQ118" s="15"/>
      <c r="DR118" s="15"/>
      <c r="DS118" s="15"/>
      <c r="DT118" s="184"/>
      <c r="DU118" s="15"/>
      <c r="DV118" s="15"/>
      <c r="DW118" s="15"/>
      <c r="DX118" s="15"/>
      <c r="DY118" s="15"/>
      <c r="DZ118" s="15"/>
      <c r="EA118" s="184"/>
      <c r="EB118" s="15"/>
      <c r="EC118" s="15"/>
      <c r="ED118" s="15"/>
      <c r="EE118" s="15"/>
      <c r="EF118" s="15"/>
      <c r="EG118" s="15"/>
      <c r="EH118" s="184"/>
      <c r="EI118" s="15"/>
      <c r="EJ118" s="15"/>
      <c r="EK118" s="15"/>
      <c r="EL118" s="15"/>
      <c r="EM118" s="15"/>
      <c r="EN118" s="15"/>
      <c r="EO118" s="184"/>
      <c r="EP118" s="15"/>
      <c r="EQ118" s="15"/>
      <c r="ER118" s="15"/>
      <c r="ES118" s="15"/>
      <c r="ET118" s="15"/>
      <c r="EU118" s="15"/>
      <c r="EV118" s="184"/>
      <c r="EW118" s="15"/>
      <c r="EX118" s="15"/>
      <c r="EY118" s="15"/>
      <c r="EZ118" s="15"/>
      <c r="FA118" s="15"/>
      <c r="FB118" s="15"/>
      <c r="FC118" s="184"/>
      <c r="FD118" s="15">
        <v>4</v>
      </c>
      <c r="FE118" s="15">
        <v>4</v>
      </c>
      <c r="FF118" s="15">
        <v>4</v>
      </c>
      <c r="FG118" s="15">
        <v>4</v>
      </c>
      <c r="FH118" s="15">
        <v>4</v>
      </c>
      <c r="FI118" s="15">
        <v>4</v>
      </c>
      <c r="FJ118" s="184"/>
      <c r="FK118" s="15"/>
      <c r="FL118" s="15"/>
      <c r="FM118" s="15"/>
      <c r="FN118" s="15"/>
      <c r="FO118" s="15"/>
      <c r="FP118" s="15"/>
      <c r="FQ118" s="184"/>
      <c r="FR118" s="15"/>
      <c r="FS118" s="15"/>
      <c r="FT118" s="15"/>
      <c r="FU118" s="15"/>
      <c r="FV118" s="15"/>
      <c r="FW118" s="178"/>
      <c r="FX118" s="184"/>
      <c r="FY118" s="181"/>
      <c r="FZ118" s="15"/>
      <c r="GA118" s="15"/>
      <c r="GB118" s="15"/>
      <c r="GC118" s="15"/>
      <c r="GD118" s="15"/>
      <c r="GE118" s="184"/>
      <c r="GF118" s="15"/>
      <c r="GG118" s="15"/>
      <c r="GH118" s="15"/>
      <c r="GI118" s="15"/>
      <c r="GJ118" s="15"/>
      <c r="GK118" s="15"/>
      <c r="GL118" s="184"/>
      <c r="GM118" s="15"/>
      <c r="GN118" s="15"/>
      <c r="GO118" s="15"/>
      <c r="GP118" s="15"/>
      <c r="GQ118" s="15"/>
      <c r="GR118" s="15"/>
      <c r="GS118" s="184"/>
      <c r="GT118" s="15"/>
      <c r="GU118" s="15"/>
      <c r="GV118" s="15"/>
      <c r="GW118" s="15"/>
      <c r="GX118" s="15"/>
      <c r="GY118" s="15"/>
      <c r="GZ118" s="184"/>
      <c r="HA118" s="15"/>
      <c r="HB118" s="15"/>
      <c r="HC118" s="15"/>
      <c r="HD118" s="15"/>
      <c r="HE118" s="15"/>
      <c r="HF118" s="15"/>
      <c r="HG118" s="184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  <c r="MG118" s="15"/>
      <c r="MH118" s="15"/>
      <c r="MI118" s="15"/>
      <c r="MJ118" s="15"/>
      <c r="MK118" s="15"/>
      <c r="ML118" s="15"/>
      <c r="MM118" s="15"/>
      <c r="MN118" s="15"/>
      <c r="MO118" s="15"/>
      <c r="MP118" s="15"/>
      <c r="MQ118" s="15"/>
      <c r="MR118" s="15"/>
      <c r="MS118" s="15"/>
      <c r="MT118" s="15"/>
      <c r="MU118" s="15"/>
      <c r="MV118" s="15"/>
      <c r="MW118" s="15"/>
      <c r="MX118" s="15"/>
      <c r="MY118" s="15"/>
      <c r="MZ118" s="15"/>
      <c r="NA118" s="15"/>
      <c r="NB118" s="15"/>
      <c r="NC118" s="15"/>
      <c r="ND118" s="15"/>
      <c r="NE118" s="15"/>
      <c r="NF118" s="15"/>
      <c r="NG118" s="15"/>
      <c r="NH118" s="15"/>
      <c r="NI118" s="15"/>
      <c r="NJ118" s="15"/>
      <c r="NK118" s="15"/>
      <c r="NL118" s="15"/>
      <c r="NM118" s="15"/>
      <c r="NN118" s="15"/>
      <c r="NO118" s="15"/>
      <c r="NP118" s="15"/>
      <c r="NQ118" s="15"/>
      <c r="NR118" s="15"/>
      <c r="NS118" s="15"/>
      <c r="NT118" s="15"/>
      <c r="NU118" s="15"/>
      <c r="NV118" s="15"/>
      <c r="NW118" s="15"/>
      <c r="NX118" s="15"/>
      <c r="NY118" s="15"/>
      <c r="NZ118" s="15"/>
    </row>
    <row r="119" spans="2:390" ht="19.5" customHeight="1" x14ac:dyDescent="0.45">
      <c r="B119" s="1">
        <f t="shared" si="121"/>
        <v>3</v>
      </c>
      <c r="C119" s="1">
        <f t="shared" si="121"/>
        <v>5</v>
      </c>
      <c r="D119" s="1">
        <f t="shared" si="122"/>
        <v>7</v>
      </c>
      <c r="E119" s="59" t="str">
        <f t="shared" si="112"/>
        <v>3.5.7</v>
      </c>
      <c r="F119" s="23" t="s">
        <v>63</v>
      </c>
      <c r="G119" s="191" t="s">
        <v>153</v>
      </c>
      <c r="H119" s="52" t="s">
        <v>117</v>
      </c>
      <c r="I119" s="52" t="s">
        <v>158</v>
      </c>
      <c r="J119" s="52">
        <v>121</v>
      </c>
      <c r="K119" s="52">
        <v>0</v>
      </c>
      <c r="L119" s="52">
        <f t="shared" si="123"/>
        <v>121</v>
      </c>
      <c r="M119" s="20">
        <v>4</v>
      </c>
      <c r="N119" s="20">
        <v>12</v>
      </c>
      <c r="O119" s="51">
        <f>+N119*M119</f>
        <v>48</v>
      </c>
      <c r="P119" s="51">
        <f>+SUM(AA119:NZ119)</f>
        <v>48</v>
      </c>
      <c r="Q119" s="51">
        <f>+O119-P119</f>
        <v>0</v>
      </c>
      <c r="R119" s="79">
        <v>46125</v>
      </c>
      <c r="S119" s="80">
        <v>10</v>
      </c>
      <c r="T119" s="21">
        <f t="shared" si="109"/>
        <v>46136</v>
      </c>
      <c r="U119" s="22">
        <f t="shared" si="124"/>
        <v>0</v>
      </c>
      <c r="V119" s="199">
        <f t="shared" si="110"/>
        <v>0</v>
      </c>
      <c r="W119" s="158">
        <f>SUMIFS($AA119:$NZ119, $AA$8:$NZ$8, $W$13)/$O119</f>
        <v>0</v>
      </c>
      <c r="X119" s="159">
        <f>SUMIF($AA$9:$NZ$9, "&lt;=" &amp; $W$11,$AA119:$NZ119)/$O119</f>
        <v>0</v>
      </c>
      <c r="Y119" s="199">
        <f t="shared" si="111"/>
        <v>0</v>
      </c>
      <c r="Z119" s="36"/>
      <c r="AA119" s="15"/>
      <c r="AB119" s="15"/>
      <c r="AC119" s="15"/>
      <c r="AD119" s="15"/>
      <c r="AE119" s="15"/>
      <c r="AF119" s="15"/>
      <c r="AG119" s="184"/>
      <c r="AH119" s="15"/>
      <c r="AI119" s="15"/>
      <c r="AJ119" s="15"/>
      <c r="AK119" s="15"/>
      <c r="AL119" s="15"/>
      <c r="AM119" s="15"/>
      <c r="AN119" s="184"/>
      <c r="AO119" s="15"/>
      <c r="AP119" s="15"/>
      <c r="AQ119" s="15"/>
      <c r="AR119" s="15"/>
      <c r="AS119" s="15"/>
      <c r="AT119" s="15"/>
      <c r="AU119" s="184"/>
      <c r="AV119" s="15"/>
      <c r="AW119" s="15"/>
      <c r="AX119" s="15"/>
      <c r="AY119" s="15"/>
      <c r="AZ119" s="15"/>
      <c r="BA119" s="15"/>
      <c r="BB119" s="184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84"/>
      <c r="CE119" s="15"/>
      <c r="CF119" s="15"/>
      <c r="CG119" s="15"/>
      <c r="CH119" s="15"/>
      <c r="CI119" s="15"/>
      <c r="CJ119" s="15"/>
      <c r="CK119" s="184"/>
      <c r="CL119" s="15"/>
      <c r="CM119" s="15"/>
      <c r="CN119" s="15"/>
      <c r="CO119" s="15"/>
      <c r="CP119" s="15"/>
      <c r="CQ119" s="15"/>
      <c r="CR119" s="184"/>
      <c r="CS119" s="15"/>
      <c r="CT119" s="15"/>
      <c r="CU119" s="15"/>
      <c r="CV119" s="15"/>
      <c r="CW119" s="15"/>
      <c r="CX119" s="15"/>
      <c r="CY119" s="184"/>
      <c r="CZ119" s="15"/>
      <c r="DA119" s="15"/>
      <c r="DB119" s="15"/>
      <c r="DC119" s="15"/>
      <c r="DD119" s="15"/>
      <c r="DE119" s="15"/>
      <c r="DF119" s="184"/>
      <c r="DG119" s="15"/>
      <c r="DH119" s="15"/>
      <c r="DI119" s="15"/>
      <c r="DJ119" s="15"/>
      <c r="DK119" s="15"/>
      <c r="DL119" s="15"/>
      <c r="DM119" s="184"/>
      <c r="DN119" s="15"/>
      <c r="DO119" s="15"/>
      <c r="DP119" s="15"/>
      <c r="DQ119" s="15"/>
      <c r="DR119" s="15"/>
      <c r="DS119" s="15"/>
      <c r="DT119" s="184"/>
      <c r="DU119" s="15"/>
      <c r="DV119" s="15"/>
      <c r="DW119" s="15"/>
      <c r="DX119" s="15"/>
      <c r="DY119" s="15"/>
      <c r="DZ119" s="15"/>
      <c r="EA119" s="184"/>
      <c r="EB119" s="15"/>
      <c r="EC119" s="15"/>
      <c r="ED119" s="15"/>
      <c r="EE119" s="15"/>
      <c r="EF119" s="15"/>
      <c r="EG119" s="15"/>
      <c r="EH119" s="184"/>
      <c r="EI119" s="15"/>
      <c r="EJ119" s="15"/>
      <c r="EK119" s="15"/>
      <c r="EL119" s="15"/>
      <c r="EM119" s="15"/>
      <c r="EN119" s="15"/>
      <c r="EO119" s="184"/>
      <c r="EP119" s="15"/>
      <c r="EQ119" s="15"/>
      <c r="ER119" s="15"/>
      <c r="ES119" s="15"/>
      <c r="ET119" s="15"/>
      <c r="EU119" s="15"/>
      <c r="EV119" s="184"/>
      <c r="EW119" s="15"/>
      <c r="EX119" s="15"/>
      <c r="EY119" s="15"/>
      <c r="EZ119" s="15"/>
      <c r="FA119" s="15"/>
      <c r="FB119" s="15"/>
      <c r="FC119" s="184"/>
      <c r="FD119" s="15"/>
      <c r="FE119" s="15"/>
      <c r="FF119" s="15"/>
      <c r="FG119" s="15"/>
      <c r="FH119" s="15"/>
      <c r="FI119" s="15"/>
      <c r="FJ119" s="184"/>
      <c r="FK119" s="15">
        <v>4</v>
      </c>
      <c r="FL119" s="15">
        <v>4</v>
      </c>
      <c r="FM119" s="15">
        <v>4</v>
      </c>
      <c r="FN119" s="15">
        <v>4</v>
      </c>
      <c r="FO119" s="15">
        <v>4</v>
      </c>
      <c r="FP119" s="15">
        <v>4</v>
      </c>
      <c r="FQ119" s="184"/>
      <c r="FR119" s="15">
        <v>4</v>
      </c>
      <c r="FS119" s="15">
        <v>4</v>
      </c>
      <c r="FT119" s="15">
        <v>4</v>
      </c>
      <c r="FU119" s="15">
        <v>4</v>
      </c>
      <c r="FV119" s="15">
        <v>4</v>
      </c>
      <c r="FW119" s="178">
        <v>4</v>
      </c>
      <c r="FX119" s="184"/>
      <c r="FY119" s="181"/>
      <c r="FZ119" s="15"/>
      <c r="GA119" s="15"/>
      <c r="GB119" s="15"/>
      <c r="GC119" s="15"/>
      <c r="GD119" s="15"/>
      <c r="GE119" s="184"/>
      <c r="GF119" s="15"/>
      <c r="GG119" s="15"/>
      <c r="GH119" s="15"/>
      <c r="GI119" s="15"/>
      <c r="GJ119" s="15"/>
      <c r="GK119" s="15"/>
      <c r="GL119" s="184"/>
      <c r="GM119" s="15"/>
      <c r="GN119" s="15"/>
      <c r="GO119" s="15"/>
      <c r="GP119" s="15"/>
      <c r="GQ119" s="15"/>
      <c r="GR119" s="15"/>
      <c r="GS119" s="184"/>
      <c r="GT119" s="15"/>
      <c r="GU119" s="15"/>
      <c r="GV119" s="15"/>
      <c r="GW119" s="15"/>
      <c r="GX119" s="15"/>
      <c r="GY119" s="15"/>
      <c r="GZ119" s="184"/>
      <c r="HA119" s="15"/>
      <c r="HB119" s="15"/>
      <c r="HC119" s="15"/>
      <c r="HD119" s="15"/>
      <c r="HE119" s="15"/>
      <c r="HF119" s="15"/>
      <c r="HG119" s="184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/>
      <c r="LI119" s="15"/>
      <c r="LJ119" s="15"/>
      <c r="LK119" s="15"/>
      <c r="LL119" s="15"/>
      <c r="LM119" s="15"/>
      <c r="LN119" s="15"/>
      <c r="LO119" s="15"/>
      <c r="LP119" s="15"/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  <c r="MG119" s="15"/>
      <c r="MH119" s="15"/>
      <c r="MI119" s="15"/>
      <c r="MJ119" s="15"/>
      <c r="MK119" s="15"/>
      <c r="ML119" s="15"/>
      <c r="MM119" s="15"/>
      <c r="MN119" s="15"/>
      <c r="MO119" s="15"/>
      <c r="MP119" s="15"/>
      <c r="MQ119" s="15"/>
      <c r="MR119" s="15"/>
      <c r="MS119" s="15"/>
      <c r="MT119" s="15"/>
      <c r="MU119" s="15"/>
      <c r="MV119" s="15"/>
      <c r="MW119" s="15"/>
      <c r="MX119" s="15"/>
      <c r="MY119" s="15"/>
      <c r="MZ119" s="15"/>
      <c r="NA119" s="15"/>
      <c r="NB119" s="15"/>
      <c r="NC119" s="15"/>
      <c r="ND119" s="15"/>
      <c r="NE119" s="15"/>
      <c r="NF119" s="15"/>
      <c r="NG119" s="15"/>
      <c r="NH119" s="15"/>
      <c r="NI119" s="15"/>
      <c r="NJ119" s="15"/>
      <c r="NK119" s="15"/>
      <c r="NL119" s="15"/>
      <c r="NM119" s="15"/>
      <c r="NN119" s="15"/>
      <c r="NO119" s="15"/>
      <c r="NP119" s="15"/>
      <c r="NQ119" s="15"/>
      <c r="NR119" s="15"/>
      <c r="NS119" s="15"/>
      <c r="NT119" s="15"/>
      <c r="NU119" s="15"/>
      <c r="NV119" s="15"/>
      <c r="NW119" s="15"/>
      <c r="NX119" s="15"/>
      <c r="NY119" s="15"/>
      <c r="NZ119" s="15"/>
    </row>
    <row r="120" spans="2:390" ht="19.5" customHeight="1" x14ac:dyDescent="0.45">
      <c r="B120" s="1">
        <f>+B119</f>
        <v>3</v>
      </c>
      <c r="C120" s="1">
        <f>+C119+1</f>
        <v>6</v>
      </c>
      <c r="D120" s="1">
        <v>0</v>
      </c>
      <c r="E120" s="93" t="str">
        <f t="shared" si="112"/>
        <v>3.6.0</v>
      </c>
      <c r="F120" s="94" t="s">
        <v>65</v>
      </c>
      <c r="G120" s="108"/>
      <c r="H120" s="109"/>
      <c r="I120" s="109"/>
      <c r="J120" s="110"/>
      <c r="K120" s="110"/>
      <c r="L120" s="110"/>
      <c r="M120" s="108"/>
      <c r="N120" s="108"/>
      <c r="O120" s="95">
        <f>SUM(O121:O124)</f>
        <v>312</v>
      </c>
      <c r="P120" s="95"/>
      <c r="Q120" s="95"/>
      <c r="R120" s="166"/>
      <c r="S120" s="167"/>
      <c r="T120" s="163" t="str">
        <f t="shared" si="109"/>
        <v/>
      </c>
      <c r="U120" s="164">
        <f>+SUMPRODUCT(U121:U124,O121:O124)/O120</f>
        <v>0</v>
      </c>
      <c r="V120" s="200">
        <f t="shared" si="110"/>
        <v>0</v>
      </c>
      <c r="W120" s="158">
        <f>SUMIFS($AA120:$NZ120, $AA$8:$NZ$8, $W$13)/$O120</f>
        <v>0</v>
      </c>
      <c r="X120" s="159">
        <f>SUMIF($AA$9:$NZ$9, "&lt;=" &amp; $W$11,$AA120:$NZ120)/$O120</f>
        <v>0</v>
      </c>
      <c r="Y120" s="199">
        <f t="shared" si="111"/>
        <v>0</v>
      </c>
      <c r="Z120" s="36"/>
      <c r="AA120" s="15"/>
      <c r="AB120" s="15"/>
      <c r="AC120" s="15"/>
      <c r="AD120" s="15"/>
      <c r="AE120" s="15"/>
      <c r="AF120" s="15"/>
      <c r="AG120" s="184"/>
      <c r="AH120" s="15"/>
      <c r="AI120" s="15"/>
      <c r="AJ120" s="15"/>
      <c r="AK120" s="15"/>
      <c r="AL120" s="15"/>
      <c r="AM120" s="15"/>
      <c r="AN120" s="184"/>
      <c r="AO120" s="15"/>
      <c r="AP120" s="15"/>
      <c r="AQ120" s="15"/>
      <c r="AR120" s="15"/>
      <c r="AS120" s="15"/>
      <c r="AT120" s="15"/>
      <c r="AU120" s="184"/>
      <c r="AV120" s="15"/>
      <c r="AW120" s="15"/>
      <c r="AX120" s="15"/>
      <c r="AY120" s="15"/>
      <c r="AZ120" s="15"/>
      <c r="BA120" s="15"/>
      <c r="BB120" s="184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84"/>
      <c r="CE120" s="15"/>
      <c r="CF120" s="15"/>
      <c r="CG120" s="15"/>
      <c r="CH120" s="15"/>
      <c r="CI120" s="15"/>
      <c r="CJ120" s="15"/>
      <c r="CK120" s="184"/>
      <c r="CL120" s="15"/>
      <c r="CM120" s="15"/>
      <c r="CN120" s="15"/>
      <c r="CO120" s="15"/>
      <c r="CP120" s="15"/>
      <c r="CQ120" s="15"/>
      <c r="CR120" s="184"/>
      <c r="CS120" s="15"/>
      <c r="CT120" s="15"/>
      <c r="CU120" s="15"/>
      <c r="CV120" s="15"/>
      <c r="CW120" s="15"/>
      <c r="CX120" s="15"/>
      <c r="CY120" s="184"/>
      <c r="CZ120" s="15"/>
      <c r="DA120" s="15"/>
      <c r="DB120" s="15"/>
      <c r="DC120" s="15"/>
      <c r="DD120" s="15"/>
      <c r="DE120" s="15"/>
      <c r="DF120" s="184"/>
      <c r="DG120" s="15"/>
      <c r="DH120" s="15"/>
      <c r="DI120" s="15"/>
      <c r="DJ120" s="15"/>
      <c r="DK120" s="15"/>
      <c r="DL120" s="15"/>
      <c r="DM120" s="184"/>
      <c r="DN120" s="15"/>
      <c r="DO120" s="15"/>
      <c r="DP120" s="15"/>
      <c r="DQ120" s="15"/>
      <c r="DR120" s="15"/>
      <c r="DS120" s="15"/>
      <c r="DT120" s="184"/>
      <c r="DU120" s="15"/>
      <c r="DV120" s="15"/>
      <c r="DW120" s="15"/>
      <c r="DX120" s="15"/>
      <c r="DY120" s="15"/>
      <c r="DZ120" s="15"/>
      <c r="EA120" s="184"/>
      <c r="EB120" s="15"/>
      <c r="EC120" s="15"/>
      <c r="ED120" s="15"/>
      <c r="EE120" s="15"/>
      <c r="EF120" s="15"/>
      <c r="EG120" s="15"/>
      <c r="EH120" s="184"/>
      <c r="EI120" s="15"/>
      <c r="EJ120" s="15"/>
      <c r="EK120" s="15"/>
      <c r="EL120" s="15"/>
      <c r="EM120" s="15"/>
      <c r="EN120" s="15"/>
      <c r="EO120" s="184"/>
      <c r="EP120" s="15"/>
      <c r="EQ120" s="15"/>
      <c r="ER120" s="15"/>
      <c r="ES120" s="15"/>
      <c r="ET120" s="15"/>
      <c r="EU120" s="15"/>
      <c r="EV120" s="184"/>
      <c r="EW120" s="15"/>
      <c r="EX120" s="15"/>
      <c r="EY120" s="15"/>
      <c r="EZ120" s="15"/>
      <c r="FA120" s="15"/>
      <c r="FB120" s="15"/>
      <c r="FC120" s="184"/>
      <c r="FD120" s="15"/>
      <c r="FE120" s="15"/>
      <c r="FF120" s="15"/>
      <c r="FG120" s="15"/>
      <c r="FH120" s="15"/>
      <c r="FI120" s="15"/>
      <c r="FJ120" s="184"/>
      <c r="FK120" s="15"/>
      <c r="FL120" s="15"/>
      <c r="FM120" s="15"/>
      <c r="FN120" s="15"/>
      <c r="FO120" s="15"/>
      <c r="FP120" s="15"/>
      <c r="FQ120" s="184"/>
      <c r="FR120" s="15"/>
      <c r="FS120" s="15"/>
      <c r="FT120" s="15"/>
      <c r="FU120" s="15"/>
      <c r="FV120" s="15"/>
      <c r="FW120" s="178"/>
      <c r="FX120" s="184"/>
      <c r="FY120" s="181"/>
      <c r="FZ120" s="15"/>
      <c r="GA120" s="15"/>
      <c r="GB120" s="15"/>
      <c r="GC120" s="15"/>
      <c r="GD120" s="15"/>
      <c r="GE120" s="184"/>
      <c r="GF120" s="15"/>
      <c r="GG120" s="15"/>
      <c r="GH120" s="15"/>
      <c r="GI120" s="15"/>
      <c r="GJ120" s="15"/>
      <c r="GK120" s="15"/>
      <c r="GL120" s="184"/>
      <c r="GM120" s="15"/>
      <c r="GN120" s="15"/>
      <c r="GO120" s="15"/>
      <c r="GP120" s="15"/>
      <c r="GQ120" s="15"/>
      <c r="GR120" s="15"/>
      <c r="GS120" s="184"/>
      <c r="GT120" s="15"/>
      <c r="GU120" s="15"/>
      <c r="GV120" s="15"/>
      <c r="GW120" s="15"/>
      <c r="GX120" s="15"/>
      <c r="GY120" s="15"/>
      <c r="GZ120" s="184"/>
      <c r="HA120" s="15"/>
      <c r="HB120" s="15"/>
      <c r="HC120" s="15"/>
      <c r="HD120" s="15"/>
      <c r="HE120" s="15"/>
      <c r="HF120" s="15"/>
      <c r="HG120" s="184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/>
      <c r="LI120" s="15"/>
      <c r="LJ120" s="15"/>
      <c r="LK120" s="15"/>
      <c r="LL120" s="15"/>
      <c r="LM120" s="15"/>
      <c r="LN120" s="15"/>
      <c r="LO120" s="15"/>
      <c r="LP120" s="15"/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  <c r="MG120" s="15"/>
      <c r="MH120" s="15"/>
      <c r="MI120" s="15"/>
      <c r="MJ120" s="15"/>
      <c r="MK120" s="15"/>
      <c r="ML120" s="15"/>
      <c r="MM120" s="15"/>
      <c r="MN120" s="15"/>
      <c r="MO120" s="15"/>
      <c r="MP120" s="15"/>
      <c r="MQ120" s="15"/>
      <c r="MR120" s="15"/>
      <c r="MS120" s="15"/>
      <c r="MT120" s="15"/>
      <c r="MU120" s="15"/>
      <c r="MV120" s="15"/>
      <c r="MW120" s="15"/>
      <c r="MX120" s="15"/>
      <c r="MY120" s="15"/>
      <c r="MZ120" s="15"/>
      <c r="NA120" s="15"/>
      <c r="NB120" s="15"/>
      <c r="NC120" s="15"/>
      <c r="ND120" s="15"/>
      <c r="NE120" s="15"/>
      <c r="NF120" s="15"/>
      <c r="NG120" s="15"/>
      <c r="NH120" s="15"/>
      <c r="NI120" s="15"/>
      <c r="NJ120" s="15"/>
      <c r="NK120" s="15"/>
      <c r="NL120" s="15"/>
      <c r="NM120" s="15"/>
      <c r="NN120" s="15"/>
      <c r="NO120" s="15"/>
      <c r="NP120" s="15"/>
      <c r="NQ120" s="15"/>
      <c r="NR120" s="15"/>
      <c r="NS120" s="15"/>
      <c r="NT120" s="15"/>
      <c r="NU120" s="15"/>
      <c r="NV120" s="15"/>
      <c r="NW120" s="15"/>
      <c r="NX120" s="15"/>
      <c r="NY120" s="15"/>
      <c r="NZ120" s="15"/>
    </row>
    <row r="121" spans="2:390" ht="19.5" customHeight="1" x14ac:dyDescent="0.45">
      <c r="B121" s="1">
        <f>+B120</f>
        <v>3</v>
      </c>
      <c r="C121" s="1">
        <f>+C120</f>
        <v>6</v>
      </c>
      <c r="D121" s="1">
        <f>+D120+1</f>
        <v>1</v>
      </c>
      <c r="E121" s="59" t="str">
        <f t="shared" si="112"/>
        <v>3.6.1</v>
      </c>
      <c r="F121" s="23" t="s">
        <v>100</v>
      </c>
      <c r="G121" s="82"/>
      <c r="H121" s="73" t="s">
        <v>120</v>
      </c>
      <c r="I121" s="73"/>
      <c r="J121" s="74"/>
      <c r="K121" s="74"/>
      <c r="L121" s="74"/>
      <c r="M121" s="82"/>
      <c r="N121" s="82"/>
      <c r="O121" s="82"/>
      <c r="P121" s="82"/>
      <c r="Q121" s="82"/>
      <c r="R121" s="79"/>
      <c r="S121" s="80"/>
      <c r="T121" s="21" t="str">
        <f t="shared" si="109"/>
        <v/>
      </c>
      <c r="U121" s="22"/>
      <c r="V121" s="199">
        <f t="shared" si="110"/>
        <v>0</v>
      </c>
      <c r="W121" s="158"/>
      <c r="X121" s="159"/>
      <c r="Y121" s="199">
        <f t="shared" si="111"/>
        <v>0</v>
      </c>
      <c r="Z121" s="36"/>
      <c r="AA121" s="15"/>
      <c r="AB121" s="15"/>
      <c r="AC121" s="15"/>
      <c r="AD121" s="15"/>
      <c r="AE121" s="15"/>
      <c r="AF121" s="15"/>
      <c r="AG121" s="184"/>
      <c r="AH121" s="15"/>
      <c r="AI121" s="15"/>
      <c r="AJ121" s="15"/>
      <c r="AK121" s="15"/>
      <c r="AL121" s="15"/>
      <c r="AM121" s="15"/>
      <c r="AN121" s="184"/>
      <c r="AO121" s="15"/>
      <c r="AP121" s="15"/>
      <c r="AQ121" s="15"/>
      <c r="AR121" s="15"/>
      <c r="AS121" s="15"/>
      <c r="AT121" s="15"/>
      <c r="AU121" s="184"/>
      <c r="AV121" s="15"/>
      <c r="AW121" s="15"/>
      <c r="AX121" s="15"/>
      <c r="AY121" s="15"/>
      <c r="AZ121" s="15"/>
      <c r="BA121" s="15"/>
      <c r="BB121" s="184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84"/>
      <c r="CE121" s="15"/>
      <c r="CF121" s="15"/>
      <c r="CG121" s="15"/>
      <c r="CH121" s="15"/>
      <c r="CI121" s="15"/>
      <c r="CJ121" s="15"/>
      <c r="CK121" s="184"/>
      <c r="CL121" s="15"/>
      <c r="CM121" s="15"/>
      <c r="CN121" s="15"/>
      <c r="CO121" s="15"/>
      <c r="CP121" s="15"/>
      <c r="CQ121" s="15"/>
      <c r="CR121" s="184"/>
      <c r="CS121" s="15"/>
      <c r="CT121" s="15"/>
      <c r="CU121" s="15"/>
      <c r="CV121" s="15"/>
      <c r="CW121" s="15"/>
      <c r="CX121" s="15"/>
      <c r="CY121" s="184"/>
      <c r="CZ121" s="15"/>
      <c r="DA121" s="15"/>
      <c r="DB121" s="15"/>
      <c r="DC121" s="15"/>
      <c r="DD121" s="15"/>
      <c r="DE121" s="15"/>
      <c r="DF121" s="184"/>
      <c r="DG121" s="15"/>
      <c r="DH121" s="15"/>
      <c r="DI121" s="15"/>
      <c r="DJ121" s="15"/>
      <c r="DK121" s="15"/>
      <c r="DL121" s="15"/>
      <c r="DM121" s="184"/>
      <c r="DN121" s="15"/>
      <c r="DO121" s="15"/>
      <c r="DP121" s="15"/>
      <c r="DQ121" s="15"/>
      <c r="DR121" s="15"/>
      <c r="DS121" s="15"/>
      <c r="DT121" s="184"/>
      <c r="DU121" s="15"/>
      <c r="DV121" s="15"/>
      <c r="DW121" s="15"/>
      <c r="DX121" s="15"/>
      <c r="DY121" s="15"/>
      <c r="DZ121" s="15"/>
      <c r="EA121" s="184"/>
      <c r="EB121" s="15"/>
      <c r="EC121" s="15"/>
      <c r="ED121" s="15"/>
      <c r="EE121" s="15"/>
      <c r="EF121" s="15"/>
      <c r="EG121" s="15"/>
      <c r="EH121" s="184"/>
      <c r="EI121" s="15"/>
      <c r="EJ121" s="15"/>
      <c r="EK121" s="15"/>
      <c r="EL121" s="15"/>
      <c r="EM121" s="15"/>
      <c r="EN121" s="15"/>
      <c r="EO121" s="184"/>
      <c r="EP121" s="15"/>
      <c r="EQ121" s="15"/>
      <c r="ER121" s="15"/>
      <c r="ES121" s="15"/>
      <c r="ET121" s="15"/>
      <c r="EU121" s="15"/>
      <c r="EV121" s="184"/>
      <c r="EW121" s="15"/>
      <c r="EX121" s="15"/>
      <c r="EY121" s="15"/>
      <c r="EZ121" s="15"/>
      <c r="FA121" s="15"/>
      <c r="FB121" s="15"/>
      <c r="FC121" s="184"/>
      <c r="FD121" s="15"/>
      <c r="FE121" s="15"/>
      <c r="FF121" s="15"/>
      <c r="FG121" s="15"/>
      <c r="FH121" s="15"/>
      <c r="FI121" s="15"/>
      <c r="FJ121" s="184"/>
      <c r="FK121" s="15"/>
      <c r="FL121" s="15"/>
      <c r="FM121" s="15"/>
      <c r="FN121" s="15"/>
      <c r="FO121" s="15"/>
      <c r="FP121" s="15"/>
      <c r="FQ121" s="184"/>
      <c r="FR121" s="15"/>
      <c r="FS121" s="15"/>
      <c r="FT121" s="15"/>
      <c r="FU121" s="15"/>
      <c r="FV121" s="15"/>
      <c r="FW121" s="178"/>
      <c r="FX121" s="184"/>
      <c r="FY121" s="181"/>
      <c r="FZ121" s="15"/>
      <c r="GA121" s="15"/>
      <c r="GB121" s="15"/>
      <c r="GC121" s="15"/>
      <c r="GD121" s="15"/>
      <c r="GE121" s="184"/>
      <c r="GF121" s="15"/>
      <c r="GG121" s="15"/>
      <c r="GH121" s="15"/>
      <c r="GI121" s="15"/>
      <c r="GJ121" s="15"/>
      <c r="GK121" s="15"/>
      <c r="GL121" s="184"/>
      <c r="GM121" s="15"/>
      <c r="GN121" s="15"/>
      <c r="GO121" s="15"/>
      <c r="GP121" s="15"/>
      <c r="GQ121" s="15"/>
      <c r="GR121" s="15"/>
      <c r="GS121" s="184"/>
      <c r="GT121" s="15"/>
      <c r="GU121" s="15"/>
      <c r="GV121" s="15"/>
      <c r="GW121" s="15"/>
      <c r="GX121" s="15"/>
      <c r="GY121" s="15"/>
      <c r="GZ121" s="184"/>
      <c r="HA121" s="15"/>
      <c r="HB121" s="15"/>
      <c r="HC121" s="15"/>
      <c r="HD121" s="15"/>
      <c r="HE121" s="15"/>
      <c r="HF121" s="15"/>
      <c r="HG121" s="184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/>
      <c r="KE121" s="15"/>
      <c r="KF121" s="15"/>
      <c r="KG121" s="15"/>
      <c r="KH121" s="15"/>
      <c r="KI121" s="15"/>
      <c r="KJ121" s="15"/>
      <c r="KK121" s="15"/>
      <c r="KL121" s="15"/>
      <c r="KM121" s="15"/>
      <c r="KN121" s="15"/>
      <c r="KO121" s="15"/>
      <c r="KP121" s="15"/>
      <c r="KQ121" s="15"/>
      <c r="KR121" s="15"/>
      <c r="KS121" s="15"/>
      <c r="KT121" s="15"/>
      <c r="KU121" s="15"/>
      <c r="KV121" s="15"/>
      <c r="KW121" s="15"/>
      <c r="KX121" s="15"/>
      <c r="KY121" s="15"/>
      <c r="KZ121" s="15"/>
      <c r="LA121" s="15"/>
      <c r="LB121" s="15"/>
      <c r="LC121" s="15"/>
      <c r="LD121" s="15"/>
      <c r="LE121" s="15"/>
      <c r="LF121" s="15"/>
      <c r="LG121" s="15"/>
      <c r="LH121" s="15"/>
      <c r="LI121" s="15"/>
      <c r="LJ121" s="15"/>
      <c r="LK121" s="15"/>
      <c r="LL121" s="15"/>
      <c r="LM121" s="15"/>
      <c r="LN121" s="15"/>
      <c r="LO121" s="15"/>
      <c r="LP121" s="15"/>
      <c r="LQ121" s="15"/>
      <c r="LR121" s="15"/>
      <c r="LS121" s="15"/>
      <c r="LT121" s="15"/>
      <c r="LU121" s="15"/>
      <c r="LV121" s="15"/>
      <c r="LW121" s="15"/>
      <c r="LX121" s="15"/>
      <c r="LY121" s="15"/>
      <c r="LZ121" s="15"/>
      <c r="MA121" s="15"/>
      <c r="MB121" s="15"/>
      <c r="MC121" s="15"/>
      <c r="MD121" s="15"/>
      <c r="ME121" s="15"/>
      <c r="MF121" s="15"/>
      <c r="MG121" s="15"/>
      <c r="MH121" s="15"/>
      <c r="MI121" s="15"/>
      <c r="MJ121" s="15"/>
      <c r="MK121" s="15"/>
      <c r="ML121" s="15"/>
      <c r="MM121" s="15"/>
      <c r="MN121" s="15"/>
      <c r="MO121" s="15"/>
      <c r="MP121" s="15"/>
      <c r="MQ121" s="15"/>
      <c r="MR121" s="15"/>
      <c r="MS121" s="15"/>
      <c r="MT121" s="15"/>
      <c r="MU121" s="15"/>
      <c r="MV121" s="15"/>
      <c r="MW121" s="15"/>
      <c r="MX121" s="15"/>
      <c r="MY121" s="15"/>
      <c r="MZ121" s="15"/>
      <c r="NA121" s="15"/>
      <c r="NB121" s="15"/>
      <c r="NC121" s="15"/>
      <c r="ND121" s="15"/>
      <c r="NE121" s="15"/>
      <c r="NF121" s="15"/>
      <c r="NG121" s="15"/>
      <c r="NH121" s="15"/>
      <c r="NI121" s="15"/>
      <c r="NJ121" s="15"/>
      <c r="NK121" s="15"/>
      <c r="NL121" s="15"/>
      <c r="NM121" s="15"/>
      <c r="NN121" s="15"/>
      <c r="NO121" s="15"/>
      <c r="NP121" s="15"/>
      <c r="NQ121" s="15"/>
      <c r="NR121" s="15"/>
      <c r="NS121" s="15"/>
      <c r="NT121" s="15"/>
      <c r="NU121" s="15"/>
      <c r="NV121" s="15"/>
      <c r="NW121" s="15"/>
      <c r="NX121" s="15"/>
      <c r="NY121" s="15"/>
      <c r="NZ121" s="15"/>
    </row>
    <row r="122" spans="2:390" ht="19.5" customHeight="1" x14ac:dyDescent="0.45">
      <c r="B122" s="1">
        <f>+B121</f>
        <v>3</v>
      </c>
      <c r="C122" s="1">
        <f>+C121</f>
        <v>6</v>
      </c>
      <c r="D122" s="1">
        <f>+D121+1</f>
        <v>2</v>
      </c>
      <c r="E122" s="59" t="str">
        <f t="shared" si="112"/>
        <v>3.6.2</v>
      </c>
      <c r="F122" s="23" t="s">
        <v>66</v>
      </c>
      <c r="G122" s="191" t="s">
        <v>153</v>
      </c>
      <c r="H122" s="52" t="s">
        <v>117</v>
      </c>
      <c r="I122" s="52" t="s">
        <v>158</v>
      </c>
      <c r="J122" s="87">
        <v>1673</v>
      </c>
      <c r="K122" s="87">
        <v>0</v>
      </c>
      <c r="L122" s="87">
        <f>+J122-K122</f>
        <v>1673</v>
      </c>
      <c r="M122" s="20">
        <v>4</v>
      </c>
      <c r="N122" s="20">
        <v>30</v>
      </c>
      <c r="O122" s="51">
        <f>+N122*M122</f>
        <v>120</v>
      </c>
      <c r="P122" s="51">
        <f>+SUM(AA122:NZ122)</f>
        <v>120</v>
      </c>
      <c r="Q122" s="51">
        <f>+O122-P122</f>
        <v>0</v>
      </c>
      <c r="R122" s="79">
        <v>46139</v>
      </c>
      <c r="S122" s="80">
        <v>15</v>
      </c>
      <c r="T122" s="21">
        <f t="shared" si="109"/>
        <v>46157</v>
      </c>
      <c r="U122" s="22">
        <f>+K122/J122</f>
        <v>0</v>
      </c>
      <c r="V122" s="199">
        <f t="shared" si="110"/>
        <v>0</v>
      </c>
      <c r="W122" s="158">
        <f>SUMIFS($AA122:$NZ122, $AA$8:$NZ$8, $W$13)/$O122</f>
        <v>0</v>
      </c>
      <c r="X122" s="159">
        <f>SUMIF($AA$9:$NZ$9, "&lt;=" &amp; $W$11,$AA122:$NZ122)/$O122</f>
        <v>0</v>
      </c>
      <c r="Y122" s="199">
        <f t="shared" si="111"/>
        <v>0</v>
      </c>
      <c r="Z122" s="36"/>
      <c r="AA122" s="15"/>
      <c r="AB122" s="15"/>
      <c r="AC122" s="15"/>
      <c r="AD122" s="15"/>
      <c r="AE122" s="15"/>
      <c r="AF122" s="15"/>
      <c r="AG122" s="184"/>
      <c r="AH122" s="15"/>
      <c r="AI122" s="15"/>
      <c r="AJ122" s="15"/>
      <c r="AK122" s="15"/>
      <c r="AL122" s="15"/>
      <c r="AM122" s="15"/>
      <c r="AN122" s="184"/>
      <c r="AO122" s="15"/>
      <c r="AP122" s="15"/>
      <c r="AQ122" s="15"/>
      <c r="AR122" s="15"/>
      <c r="AS122" s="15"/>
      <c r="AT122" s="15"/>
      <c r="AU122" s="184"/>
      <c r="AV122" s="15"/>
      <c r="AW122" s="15"/>
      <c r="AX122" s="15"/>
      <c r="AY122" s="15"/>
      <c r="AZ122" s="15"/>
      <c r="BA122" s="15"/>
      <c r="BB122" s="184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84"/>
      <c r="CE122" s="15"/>
      <c r="CF122" s="15"/>
      <c r="CG122" s="15"/>
      <c r="CH122" s="15"/>
      <c r="CI122" s="15"/>
      <c r="CJ122" s="15"/>
      <c r="CK122" s="184"/>
      <c r="CL122" s="15"/>
      <c r="CM122" s="15"/>
      <c r="CN122" s="15"/>
      <c r="CO122" s="15"/>
      <c r="CP122" s="15"/>
      <c r="CQ122" s="15"/>
      <c r="CR122" s="184"/>
      <c r="CS122" s="15"/>
      <c r="CT122" s="15"/>
      <c r="CU122" s="15"/>
      <c r="CV122" s="15"/>
      <c r="CW122" s="15"/>
      <c r="CX122" s="15"/>
      <c r="CY122" s="184"/>
      <c r="CZ122" s="15"/>
      <c r="DA122" s="15"/>
      <c r="DB122" s="15"/>
      <c r="DC122" s="15"/>
      <c r="DD122" s="15"/>
      <c r="DE122" s="15"/>
      <c r="DF122" s="184"/>
      <c r="DG122" s="15"/>
      <c r="DH122" s="15"/>
      <c r="DI122" s="15"/>
      <c r="DJ122" s="15"/>
      <c r="DK122" s="15"/>
      <c r="DL122" s="15"/>
      <c r="DM122" s="184"/>
      <c r="DN122" s="15"/>
      <c r="DO122" s="15"/>
      <c r="DP122" s="15"/>
      <c r="DQ122" s="15"/>
      <c r="DR122" s="15"/>
      <c r="DS122" s="15"/>
      <c r="DT122" s="184"/>
      <c r="DU122" s="15"/>
      <c r="DV122" s="15"/>
      <c r="DW122" s="15"/>
      <c r="DX122" s="15"/>
      <c r="DY122" s="15"/>
      <c r="DZ122" s="15"/>
      <c r="EA122" s="184"/>
      <c r="EB122" s="15"/>
      <c r="EC122" s="15"/>
      <c r="ED122" s="15"/>
      <c r="EE122" s="15"/>
      <c r="EF122" s="15"/>
      <c r="EG122" s="15"/>
      <c r="EH122" s="184"/>
      <c r="EI122" s="15"/>
      <c r="EJ122" s="15"/>
      <c r="EK122" s="15"/>
      <c r="EL122" s="15"/>
      <c r="EM122" s="15"/>
      <c r="EN122" s="15"/>
      <c r="EO122" s="184"/>
      <c r="EP122" s="15"/>
      <c r="EQ122" s="15"/>
      <c r="ER122" s="15"/>
      <c r="ES122" s="15"/>
      <c r="ET122" s="15"/>
      <c r="EU122" s="15"/>
      <c r="EV122" s="184"/>
      <c r="EW122" s="15"/>
      <c r="EX122" s="15"/>
      <c r="EY122" s="15"/>
      <c r="EZ122" s="15"/>
      <c r="FA122" s="15"/>
      <c r="FB122" s="15"/>
      <c r="FC122" s="184"/>
      <c r="FD122" s="15"/>
      <c r="FE122" s="15"/>
      <c r="FF122" s="15"/>
      <c r="FG122" s="15"/>
      <c r="FH122" s="15"/>
      <c r="FI122" s="15"/>
      <c r="FJ122" s="184"/>
      <c r="FK122" s="15"/>
      <c r="FL122" s="15"/>
      <c r="FM122" s="15"/>
      <c r="FN122" s="15"/>
      <c r="FO122" s="15"/>
      <c r="FP122" s="15"/>
      <c r="FQ122" s="184"/>
      <c r="FR122" s="15"/>
      <c r="FS122" s="15"/>
      <c r="FT122" s="15"/>
      <c r="FU122" s="15"/>
      <c r="FV122" s="15"/>
      <c r="FW122" s="178"/>
      <c r="FX122" s="184"/>
      <c r="FY122" s="181">
        <v>8</v>
      </c>
      <c r="FZ122" s="15">
        <v>8</v>
      </c>
      <c r="GA122" s="15">
        <v>8</v>
      </c>
      <c r="GB122" s="15">
        <v>8</v>
      </c>
      <c r="GC122" s="15">
        <v>8</v>
      </c>
      <c r="GD122" s="15">
        <v>8</v>
      </c>
      <c r="GE122" s="184"/>
      <c r="GF122" s="15">
        <v>8</v>
      </c>
      <c r="GG122" s="15">
        <v>8</v>
      </c>
      <c r="GH122" s="15">
        <v>8</v>
      </c>
      <c r="GI122" s="15">
        <v>8</v>
      </c>
      <c r="GJ122" s="15">
        <v>8</v>
      </c>
      <c r="GK122" s="15">
        <v>8</v>
      </c>
      <c r="GL122" s="184"/>
      <c r="GM122" s="15">
        <v>4</v>
      </c>
      <c r="GN122" s="15">
        <v>4</v>
      </c>
      <c r="GO122" s="15">
        <v>4</v>
      </c>
      <c r="GP122" s="15">
        <v>4</v>
      </c>
      <c r="GQ122" s="15">
        <v>4</v>
      </c>
      <c r="GR122" s="15">
        <v>4</v>
      </c>
      <c r="GS122" s="184"/>
      <c r="GT122" s="15"/>
      <c r="GU122" s="15"/>
      <c r="GV122" s="15"/>
      <c r="GW122" s="15"/>
      <c r="GX122" s="15"/>
      <c r="GY122" s="15"/>
      <c r="GZ122" s="184"/>
      <c r="HA122" s="15"/>
      <c r="HB122" s="15"/>
      <c r="HC122" s="15"/>
      <c r="HD122" s="15"/>
      <c r="HE122" s="15"/>
      <c r="HF122" s="15"/>
      <c r="HG122" s="184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/>
      <c r="KE122" s="15"/>
      <c r="KF122" s="15"/>
      <c r="KG122" s="15"/>
      <c r="KH122" s="15"/>
      <c r="KI122" s="15"/>
      <c r="KJ122" s="15"/>
      <c r="KK122" s="15"/>
      <c r="KL122" s="15"/>
      <c r="KM122" s="15"/>
      <c r="KN122" s="15"/>
      <c r="KO122" s="15"/>
      <c r="KP122" s="15"/>
      <c r="KQ122" s="15"/>
      <c r="KR122" s="15"/>
      <c r="KS122" s="15"/>
      <c r="KT122" s="15"/>
      <c r="KU122" s="15"/>
      <c r="KV122" s="15"/>
      <c r="KW122" s="15"/>
      <c r="KX122" s="15"/>
      <c r="KY122" s="15"/>
      <c r="KZ122" s="15"/>
      <c r="LA122" s="15"/>
      <c r="LB122" s="15"/>
      <c r="LC122" s="15"/>
      <c r="LD122" s="15"/>
      <c r="LE122" s="15"/>
      <c r="LF122" s="15"/>
      <c r="LG122" s="15"/>
      <c r="LH122" s="15"/>
      <c r="LI122" s="15"/>
      <c r="LJ122" s="15"/>
      <c r="LK122" s="15"/>
      <c r="LL122" s="15"/>
      <c r="LM122" s="15"/>
      <c r="LN122" s="15"/>
      <c r="LO122" s="15"/>
      <c r="LP122" s="15"/>
      <c r="LQ122" s="15"/>
      <c r="LR122" s="15"/>
      <c r="LS122" s="15"/>
      <c r="LT122" s="15"/>
      <c r="LU122" s="15"/>
      <c r="LV122" s="15"/>
      <c r="LW122" s="15"/>
      <c r="LX122" s="15"/>
      <c r="LY122" s="15"/>
      <c r="LZ122" s="15"/>
      <c r="MA122" s="15"/>
      <c r="MB122" s="15"/>
      <c r="MC122" s="15"/>
      <c r="MD122" s="15"/>
      <c r="ME122" s="15"/>
      <c r="MF122" s="15"/>
      <c r="MG122" s="15"/>
      <c r="MH122" s="15"/>
      <c r="MI122" s="15"/>
      <c r="MJ122" s="15"/>
      <c r="MK122" s="15"/>
      <c r="ML122" s="15"/>
      <c r="MM122" s="15"/>
      <c r="MN122" s="15"/>
      <c r="MO122" s="15"/>
      <c r="MP122" s="15"/>
      <c r="MQ122" s="15"/>
      <c r="MR122" s="15"/>
      <c r="MS122" s="15"/>
      <c r="MT122" s="15"/>
      <c r="MU122" s="15"/>
      <c r="MV122" s="15"/>
      <c r="MW122" s="15"/>
      <c r="MX122" s="15"/>
      <c r="MY122" s="15"/>
      <c r="MZ122" s="15"/>
      <c r="NA122" s="15"/>
      <c r="NB122" s="15"/>
      <c r="NC122" s="15"/>
      <c r="ND122" s="15"/>
      <c r="NE122" s="15"/>
      <c r="NF122" s="15"/>
      <c r="NG122" s="15"/>
      <c r="NH122" s="15"/>
      <c r="NI122" s="15"/>
      <c r="NJ122" s="15"/>
      <c r="NK122" s="15"/>
      <c r="NL122" s="15"/>
      <c r="NM122" s="15"/>
      <c r="NN122" s="15"/>
      <c r="NO122" s="15"/>
      <c r="NP122" s="15"/>
      <c r="NQ122" s="15"/>
      <c r="NR122" s="15"/>
      <c r="NS122" s="15"/>
      <c r="NT122" s="15"/>
      <c r="NU122" s="15"/>
      <c r="NV122" s="15"/>
      <c r="NW122" s="15"/>
      <c r="NX122" s="15"/>
      <c r="NY122" s="15"/>
      <c r="NZ122" s="15"/>
    </row>
    <row r="123" spans="2:390" ht="19.5" customHeight="1" x14ac:dyDescent="0.45">
      <c r="B123" s="1">
        <f>+B122</f>
        <v>3</v>
      </c>
      <c r="C123" s="1">
        <f>+C122</f>
        <v>6</v>
      </c>
      <c r="D123" s="1">
        <f>+D122+1</f>
        <v>3</v>
      </c>
      <c r="E123" s="59" t="str">
        <f t="shared" si="112"/>
        <v>3.6.3</v>
      </c>
      <c r="F123" s="23" t="s">
        <v>62</v>
      </c>
      <c r="G123" s="191" t="s">
        <v>153</v>
      </c>
      <c r="H123" s="52" t="s">
        <v>117</v>
      </c>
      <c r="I123" s="52" t="s">
        <v>158</v>
      </c>
      <c r="J123" s="87">
        <v>1245</v>
      </c>
      <c r="K123" s="87">
        <v>0</v>
      </c>
      <c r="L123" s="87">
        <f>+J123-K123</f>
        <v>1245</v>
      </c>
      <c r="M123" s="20">
        <v>4</v>
      </c>
      <c r="N123" s="20">
        <v>12</v>
      </c>
      <c r="O123" s="51">
        <f>+N123*M123</f>
        <v>48</v>
      </c>
      <c r="P123" s="51">
        <f>+SUM(AA123:NZ123)</f>
        <v>48</v>
      </c>
      <c r="Q123" s="51">
        <f>+O123-P123</f>
        <v>0</v>
      </c>
      <c r="R123" s="79">
        <v>46146</v>
      </c>
      <c r="S123" s="80">
        <v>10</v>
      </c>
      <c r="T123" s="21">
        <f t="shared" si="109"/>
        <v>46157</v>
      </c>
      <c r="U123" s="22">
        <f>+K123/J123</f>
        <v>0</v>
      </c>
      <c r="V123" s="199">
        <f t="shared" si="110"/>
        <v>0</v>
      </c>
      <c r="W123" s="158">
        <f>SUMIFS($AA123:$NZ123, $AA$8:$NZ$8, $W$13)/$O123</f>
        <v>0</v>
      </c>
      <c r="X123" s="159">
        <f>SUMIF($AA$9:$NZ$9, "&lt;=" &amp; $W$11,$AA123:$NZ123)/$O123</f>
        <v>0</v>
      </c>
      <c r="Y123" s="199">
        <f t="shared" si="111"/>
        <v>0</v>
      </c>
      <c r="Z123" s="36"/>
      <c r="AA123" s="15"/>
      <c r="AB123" s="15"/>
      <c r="AC123" s="15"/>
      <c r="AD123" s="15"/>
      <c r="AE123" s="15"/>
      <c r="AF123" s="15"/>
      <c r="AG123" s="184"/>
      <c r="AH123" s="15"/>
      <c r="AI123" s="15"/>
      <c r="AJ123" s="15"/>
      <c r="AK123" s="15"/>
      <c r="AL123" s="15"/>
      <c r="AM123" s="15"/>
      <c r="AN123" s="184"/>
      <c r="AO123" s="15"/>
      <c r="AP123" s="15"/>
      <c r="AQ123" s="15"/>
      <c r="AR123" s="15"/>
      <c r="AS123" s="15"/>
      <c r="AT123" s="15"/>
      <c r="AU123" s="184"/>
      <c r="AV123" s="15"/>
      <c r="AW123" s="15"/>
      <c r="AX123" s="15"/>
      <c r="AY123" s="15"/>
      <c r="AZ123" s="15"/>
      <c r="BA123" s="15"/>
      <c r="BB123" s="184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84"/>
      <c r="CE123" s="15"/>
      <c r="CF123" s="15"/>
      <c r="CG123" s="15"/>
      <c r="CH123" s="15"/>
      <c r="CI123" s="15"/>
      <c r="CJ123" s="15"/>
      <c r="CK123" s="184"/>
      <c r="CL123" s="15"/>
      <c r="CM123" s="15"/>
      <c r="CN123" s="15"/>
      <c r="CO123" s="15"/>
      <c r="CP123" s="15"/>
      <c r="CQ123" s="15"/>
      <c r="CR123" s="184"/>
      <c r="CS123" s="15"/>
      <c r="CT123" s="15"/>
      <c r="CU123" s="15"/>
      <c r="CV123" s="15"/>
      <c r="CW123" s="15"/>
      <c r="CX123" s="15"/>
      <c r="CY123" s="184"/>
      <c r="CZ123" s="15"/>
      <c r="DA123" s="15"/>
      <c r="DB123" s="15"/>
      <c r="DC123" s="15"/>
      <c r="DD123" s="15"/>
      <c r="DE123" s="15"/>
      <c r="DF123" s="184"/>
      <c r="DG123" s="15"/>
      <c r="DH123" s="15"/>
      <c r="DI123" s="15"/>
      <c r="DJ123" s="15"/>
      <c r="DK123" s="15"/>
      <c r="DL123" s="15"/>
      <c r="DM123" s="184"/>
      <c r="DN123" s="15"/>
      <c r="DO123" s="15"/>
      <c r="DP123" s="15"/>
      <c r="DQ123" s="15"/>
      <c r="DR123" s="15"/>
      <c r="DS123" s="15"/>
      <c r="DT123" s="184"/>
      <c r="DU123" s="15"/>
      <c r="DV123" s="15"/>
      <c r="DW123" s="15"/>
      <c r="DX123" s="15"/>
      <c r="DY123" s="15"/>
      <c r="DZ123" s="15"/>
      <c r="EA123" s="184"/>
      <c r="EB123" s="15"/>
      <c r="EC123" s="15"/>
      <c r="ED123" s="15"/>
      <c r="EE123" s="15"/>
      <c r="EF123" s="15"/>
      <c r="EG123" s="15"/>
      <c r="EH123" s="184"/>
      <c r="EI123" s="15"/>
      <c r="EJ123" s="15"/>
      <c r="EK123" s="15"/>
      <c r="EL123" s="15"/>
      <c r="EM123" s="15"/>
      <c r="EN123" s="15"/>
      <c r="EO123" s="184"/>
      <c r="EP123" s="15"/>
      <c r="EQ123" s="15"/>
      <c r="ER123" s="15"/>
      <c r="ES123" s="15"/>
      <c r="ET123" s="15"/>
      <c r="EU123" s="15"/>
      <c r="EV123" s="184"/>
      <c r="EW123" s="15"/>
      <c r="EX123" s="15"/>
      <c r="EY123" s="15"/>
      <c r="EZ123" s="15"/>
      <c r="FA123" s="15"/>
      <c r="FB123" s="15"/>
      <c r="FC123" s="184"/>
      <c r="FD123" s="15"/>
      <c r="FE123" s="15"/>
      <c r="FF123" s="15"/>
      <c r="FG123" s="15"/>
      <c r="FH123" s="15"/>
      <c r="FI123" s="15"/>
      <c r="FJ123" s="184"/>
      <c r="FK123" s="15"/>
      <c r="FL123" s="15"/>
      <c r="FM123" s="15"/>
      <c r="FN123" s="15"/>
      <c r="FO123" s="15"/>
      <c r="FP123" s="15"/>
      <c r="FQ123" s="184"/>
      <c r="FR123" s="15"/>
      <c r="FS123" s="15"/>
      <c r="FT123" s="15"/>
      <c r="FU123" s="15"/>
      <c r="FV123" s="15"/>
      <c r="FW123" s="178"/>
      <c r="FX123" s="184"/>
      <c r="FY123" s="181"/>
      <c r="FZ123" s="15"/>
      <c r="GA123" s="15"/>
      <c r="GB123" s="15"/>
      <c r="GC123" s="15"/>
      <c r="GD123" s="15"/>
      <c r="GE123" s="184"/>
      <c r="GF123" s="15">
        <v>4</v>
      </c>
      <c r="GG123" s="15">
        <v>4</v>
      </c>
      <c r="GH123" s="15">
        <v>4</v>
      </c>
      <c r="GI123" s="15">
        <v>4</v>
      </c>
      <c r="GJ123" s="15">
        <v>4</v>
      </c>
      <c r="GK123" s="15">
        <v>4</v>
      </c>
      <c r="GL123" s="184"/>
      <c r="GM123" s="15">
        <v>4</v>
      </c>
      <c r="GN123" s="15">
        <v>4</v>
      </c>
      <c r="GO123" s="15">
        <v>4</v>
      </c>
      <c r="GP123" s="15">
        <v>4</v>
      </c>
      <c r="GQ123" s="15">
        <v>4</v>
      </c>
      <c r="GR123" s="15">
        <v>4</v>
      </c>
      <c r="GS123" s="184"/>
      <c r="GT123" s="15"/>
      <c r="GU123" s="15"/>
      <c r="GV123" s="15"/>
      <c r="GW123" s="15"/>
      <c r="GX123" s="15"/>
      <c r="GY123" s="15"/>
      <c r="GZ123" s="184"/>
      <c r="HA123" s="15"/>
      <c r="HB123" s="15"/>
      <c r="HC123" s="15"/>
      <c r="HD123" s="15"/>
      <c r="HE123" s="15"/>
      <c r="HF123" s="15"/>
      <c r="HG123" s="184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  <c r="IX123" s="15"/>
      <c r="IY123" s="15"/>
      <c r="IZ123" s="15"/>
      <c r="JA123" s="15"/>
      <c r="JB123" s="15"/>
      <c r="JC123" s="15"/>
      <c r="JD123" s="15"/>
      <c r="JE123" s="15"/>
      <c r="JF123" s="15"/>
      <c r="JG123" s="15"/>
      <c r="JH123" s="15"/>
      <c r="JI123" s="15"/>
      <c r="JJ123" s="15"/>
      <c r="JK123" s="15"/>
      <c r="JL123" s="15"/>
      <c r="JM123" s="15"/>
      <c r="JN123" s="15"/>
      <c r="JO123" s="15"/>
      <c r="JP123" s="15"/>
      <c r="JQ123" s="15"/>
      <c r="JR123" s="15"/>
      <c r="JS123" s="15"/>
      <c r="JT123" s="15"/>
      <c r="JU123" s="15"/>
      <c r="JV123" s="15"/>
      <c r="JW123" s="15"/>
      <c r="JX123" s="15"/>
      <c r="JY123" s="15"/>
      <c r="JZ123" s="15"/>
      <c r="KA123" s="15"/>
      <c r="KB123" s="15"/>
      <c r="KC123" s="15"/>
      <c r="KD123" s="15"/>
      <c r="KE123" s="15"/>
      <c r="KF123" s="15"/>
      <c r="KG123" s="15"/>
      <c r="KH123" s="15"/>
      <c r="KI123" s="15"/>
      <c r="KJ123" s="15"/>
      <c r="KK123" s="15"/>
      <c r="KL123" s="15"/>
      <c r="KM123" s="15"/>
      <c r="KN123" s="15"/>
      <c r="KO123" s="15"/>
      <c r="KP123" s="15"/>
      <c r="KQ123" s="15"/>
      <c r="KR123" s="15"/>
      <c r="KS123" s="15"/>
      <c r="KT123" s="15"/>
      <c r="KU123" s="15"/>
      <c r="KV123" s="15"/>
      <c r="KW123" s="15"/>
      <c r="KX123" s="15"/>
      <c r="KY123" s="15"/>
      <c r="KZ123" s="15"/>
      <c r="LA123" s="15"/>
      <c r="LB123" s="15"/>
      <c r="LC123" s="15"/>
      <c r="LD123" s="15"/>
      <c r="LE123" s="15"/>
      <c r="LF123" s="15"/>
      <c r="LG123" s="15"/>
      <c r="LH123" s="15"/>
      <c r="LI123" s="15"/>
      <c r="LJ123" s="15"/>
      <c r="LK123" s="15"/>
      <c r="LL123" s="15"/>
      <c r="LM123" s="15"/>
      <c r="LN123" s="15"/>
      <c r="LO123" s="15"/>
      <c r="LP123" s="15"/>
      <c r="LQ123" s="15"/>
      <c r="LR123" s="15"/>
      <c r="LS123" s="15"/>
      <c r="LT123" s="15"/>
      <c r="LU123" s="15"/>
      <c r="LV123" s="15"/>
      <c r="LW123" s="15"/>
      <c r="LX123" s="15"/>
      <c r="LY123" s="15"/>
      <c r="LZ123" s="15"/>
      <c r="MA123" s="15"/>
      <c r="MB123" s="15"/>
      <c r="MC123" s="15"/>
      <c r="MD123" s="15"/>
      <c r="ME123" s="15"/>
      <c r="MF123" s="15"/>
      <c r="MG123" s="15"/>
      <c r="MH123" s="15"/>
      <c r="MI123" s="15"/>
      <c r="MJ123" s="15"/>
      <c r="MK123" s="15"/>
      <c r="ML123" s="15"/>
      <c r="MM123" s="15"/>
      <c r="MN123" s="15"/>
      <c r="MO123" s="15"/>
      <c r="MP123" s="15"/>
      <c r="MQ123" s="15"/>
      <c r="MR123" s="15"/>
      <c r="MS123" s="15"/>
      <c r="MT123" s="15"/>
      <c r="MU123" s="15"/>
      <c r="MV123" s="15"/>
      <c r="MW123" s="15"/>
      <c r="MX123" s="15"/>
      <c r="MY123" s="15"/>
      <c r="MZ123" s="15"/>
      <c r="NA123" s="15"/>
      <c r="NB123" s="15"/>
      <c r="NC123" s="15"/>
      <c r="ND123" s="15"/>
      <c r="NE123" s="15"/>
      <c r="NF123" s="15"/>
      <c r="NG123" s="15"/>
      <c r="NH123" s="15"/>
      <c r="NI123" s="15"/>
      <c r="NJ123" s="15"/>
      <c r="NK123" s="15"/>
      <c r="NL123" s="15"/>
      <c r="NM123" s="15"/>
      <c r="NN123" s="15"/>
      <c r="NO123" s="15"/>
      <c r="NP123" s="15"/>
      <c r="NQ123" s="15"/>
      <c r="NR123" s="15"/>
      <c r="NS123" s="15"/>
      <c r="NT123" s="15"/>
      <c r="NU123" s="15"/>
      <c r="NV123" s="15"/>
      <c r="NW123" s="15"/>
      <c r="NX123" s="15"/>
      <c r="NY123" s="15"/>
      <c r="NZ123" s="15"/>
    </row>
    <row r="124" spans="2:390" ht="19.5" customHeight="1" x14ac:dyDescent="0.45">
      <c r="B124" s="1">
        <f>+B123</f>
        <v>3</v>
      </c>
      <c r="C124" s="1">
        <f>+C123</f>
        <v>6</v>
      </c>
      <c r="D124" s="1">
        <f>+D123+1</f>
        <v>4</v>
      </c>
      <c r="E124" s="59" t="str">
        <f t="shared" si="112"/>
        <v>3.6.4</v>
      </c>
      <c r="F124" s="23" t="s">
        <v>63</v>
      </c>
      <c r="G124" s="191" t="s">
        <v>153</v>
      </c>
      <c r="H124" s="52" t="s">
        <v>117</v>
      </c>
      <c r="I124" s="52" t="s">
        <v>158</v>
      </c>
      <c r="J124" s="87">
        <v>493</v>
      </c>
      <c r="K124" s="87">
        <v>0</v>
      </c>
      <c r="L124" s="87">
        <f>+J124-K124</f>
        <v>493</v>
      </c>
      <c r="M124" s="20">
        <v>4</v>
      </c>
      <c r="N124" s="20">
        <v>36</v>
      </c>
      <c r="O124" s="51">
        <f>+N124*M124</f>
        <v>144</v>
      </c>
      <c r="P124" s="51">
        <f>+SUM(AA124:NZ124)</f>
        <v>144</v>
      </c>
      <c r="Q124" s="51">
        <f>+O124-P124</f>
        <v>0</v>
      </c>
      <c r="R124" s="79">
        <v>46153</v>
      </c>
      <c r="S124" s="80">
        <v>15</v>
      </c>
      <c r="T124" s="21">
        <f t="shared" si="109"/>
        <v>46171</v>
      </c>
      <c r="U124" s="22">
        <f>+K124/J124</f>
        <v>0</v>
      </c>
      <c r="V124" s="199">
        <f t="shared" si="110"/>
        <v>0</v>
      </c>
      <c r="W124" s="158">
        <f>SUMIFS($AA124:$NZ124, $AA$8:$NZ$8, $W$13)/$O124</f>
        <v>0</v>
      </c>
      <c r="X124" s="159">
        <f>SUMIF($AA$9:$NZ$9, "&lt;=" &amp; $W$11,$AA124:$NZ124)/$O124</f>
        <v>0</v>
      </c>
      <c r="Y124" s="199">
        <f t="shared" si="111"/>
        <v>0</v>
      </c>
      <c r="Z124" s="36"/>
      <c r="AA124" s="15"/>
      <c r="AB124" s="15"/>
      <c r="AC124" s="15"/>
      <c r="AD124" s="15"/>
      <c r="AE124" s="15"/>
      <c r="AF124" s="15"/>
      <c r="AG124" s="184"/>
      <c r="AH124" s="15"/>
      <c r="AI124" s="15"/>
      <c r="AJ124" s="15"/>
      <c r="AK124" s="15"/>
      <c r="AL124" s="15"/>
      <c r="AM124" s="15"/>
      <c r="AN124" s="184"/>
      <c r="AO124" s="15"/>
      <c r="AP124" s="15"/>
      <c r="AQ124" s="15"/>
      <c r="AR124" s="15"/>
      <c r="AS124" s="15"/>
      <c r="AT124" s="15"/>
      <c r="AU124" s="184"/>
      <c r="AV124" s="15"/>
      <c r="AW124" s="15"/>
      <c r="AX124" s="15"/>
      <c r="AY124" s="15"/>
      <c r="AZ124" s="15"/>
      <c r="BA124" s="15"/>
      <c r="BB124" s="184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84"/>
      <c r="CE124" s="15"/>
      <c r="CF124" s="15"/>
      <c r="CG124" s="15"/>
      <c r="CH124" s="15"/>
      <c r="CI124" s="15"/>
      <c r="CJ124" s="15"/>
      <c r="CK124" s="184"/>
      <c r="CL124" s="15"/>
      <c r="CM124" s="15"/>
      <c r="CN124" s="15"/>
      <c r="CO124" s="15"/>
      <c r="CP124" s="15"/>
      <c r="CQ124" s="15"/>
      <c r="CR124" s="184"/>
      <c r="CS124" s="15"/>
      <c r="CT124" s="15"/>
      <c r="CU124" s="15"/>
      <c r="CV124" s="15"/>
      <c r="CW124" s="15"/>
      <c r="CX124" s="15"/>
      <c r="CY124" s="184"/>
      <c r="CZ124" s="15"/>
      <c r="DA124" s="15"/>
      <c r="DB124" s="15"/>
      <c r="DC124" s="15"/>
      <c r="DD124" s="15"/>
      <c r="DE124" s="15"/>
      <c r="DF124" s="184"/>
      <c r="DG124" s="15"/>
      <c r="DH124" s="15"/>
      <c r="DI124" s="15"/>
      <c r="DJ124" s="15"/>
      <c r="DK124" s="15"/>
      <c r="DL124" s="15"/>
      <c r="DM124" s="184"/>
      <c r="DN124" s="15"/>
      <c r="DO124" s="15"/>
      <c r="DP124" s="15"/>
      <c r="DQ124" s="15"/>
      <c r="DR124" s="15"/>
      <c r="DS124" s="15"/>
      <c r="DT124" s="184"/>
      <c r="DU124" s="15"/>
      <c r="DV124" s="15"/>
      <c r="DW124" s="15"/>
      <c r="DX124" s="15"/>
      <c r="DY124" s="15"/>
      <c r="DZ124" s="15"/>
      <c r="EA124" s="184"/>
      <c r="EB124" s="15"/>
      <c r="EC124" s="15"/>
      <c r="ED124" s="15"/>
      <c r="EE124" s="15"/>
      <c r="EF124" s="15"/>
      <c r="EG124" s="15"/>
      <c r="EH124" s="184"/>
      <c r="EI124" s="15"/>
      <c r="EJ124" s="15"/>
      <c r="EK124" s="15"/>
      <c r="EL124" s="15"/>
      <c r="EM124" s="15"/>
      <c r="EN124" s="15"/>
      <c r="EO124" s="184"/>
      <c r="EP124" s="15"/>
      <c r="EQ124" s="15"/>
      <c r="ER124" s="15"/>
      <c r="ES124" s="15"/>
      <c r="ET124" s="15"/>
      <c r="EU124" s="15"/>
      <c r="EV124" s="184"/>
      <c r="EW124" s="15"/>
      <c r="EX124" s="15"/>
      <c r="EY124" s="15"/>
      <c r="EZ124" s="15"/>
      <c r="FA124" s="15"/>
      <c r="FB124" s="15"/>
      <c r="FC124" s="184"/>
      <c r="FD124" s="15"/>
      <c r="FE124" s="15"/>
      <c r="FF124" s="15"/>
      <c r="FG124" s="15"/>
      <c r="FH124" s="15"/>
      <c r="FI124" s="15"/>
      <c r="FJ124" s="184"/>
      <c r="FK124" s="15"/>
      <c r="FL124" s="15"/>
      <c r="FM124" s="15"/>
      <c r="FN124" s="15"/>
      <c r="FO124" s="15"/>
      <c r="FP124" s="15"/>
      <c r="FQ124" s="184"/>
      <c r="FR124" s="15"/>
      <c r="FS124" s="15"/>
      <c r="FT124" s="15"/>
      <c r="FU124" s="15"/>
      <c r="FV124" s="15"/>
      <c r="FW124" s="178"/>
      <c r="FX124" s="184"/>
      <c r="FY124" s="181"/>
      <c r="FZ124" s="15"/>
      <c r="GA124" s="15"/>
      <c r="GB124" s="15"/>
      <c r="GC124" s="15"/>
      <c r="GD124" s="15"/>
      <c r="GE124" s="184"/>
      <c r="GF124" s="15"/>
      <c r="GG124" s="15"/>
      <c r="GH124" s="15"/>
      <c r="GI124" s="15"/>
      <c r="GJ124" s="15"/>
      <c r="GK124" s="15"/>
      <c r="GL124" s="184"/>
      <c r="GM124" s="15">
        <v>4</v>
      </c>
      <c r="GN124" s="15">
        <v>4</v>
      </c>
      <c r="GO124" s="15">
        <v>4</v>
      </c>
      <c r="GP124" s="15">
        <v>4</v>
      </c>
      <c r="GQ124" s="15">
        <v>4</v>
      </c>
      <c r="GR124" s="15">
        <v>4</v>
      </c>
      <c r="GS124" s="184"/>
      <c r="GT124" s="15">
        <v>10</v>
      </c>
      <c r="GU124" s="15">
        <v>10</v>
      </c>
      <c r="GV124" s="15">
        <v>10</v>
      </c>
      <c r="GW124" s="15">
        <v>10</v>
      </c>
      <c r="GX124" s="15">
        <v>10</v>
      </c>
      <c r="GY124" s="15">
        <v>10</v>
      </c>
      <c r="GZ124" s="184"/>
      <c r="HA124" s="15">
        <v>10</v>
      </c>
      <c r="HB124" s="15">
        <v>10</v>
      </c>
      <c r="HC124" s="15">
        <v>10</v>
      </c>
      <c r="HD124" s="15">
        <v>10</v>
      </c>
      <c r="HE124" s="15">
        <v>10</v>
      </c>
      <c r="HF124" s="15">
        <v>10</v>
      </c>
      <c r="HG124" s="184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/>
      <c r="KE124" s="15"/>
      <c r="KF124" s="15"/>
      <c r="KG124" s="15"/>
      <c r="KH124" s="15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5"/>
      <c r="KT124" s="15"/>
      <c r="KU124" s="15"/>
      <c r="KV124" s="15"/>
      <c r="KW124" s="15"/>
      <c r="KX124" s="15"/>
      <c r="KY124" s="15"/>
      <c r="KZ124" s="15"/>
      <c r="LA124" s="15"/>
      <c r="LB124" s="15"/>
      <c r="LC124" s="15"/>
      <c r="LD124" s="15"/>
      <c r="LE124" s="15"/>
      <c r="LF124" s="15"/>
      <c r="LG124" s="15"/>
      <c r="LH124" s="15"/>
      <c r="LI124" s="15"/>
      <c r="LJ124" s="15"/>
      <c r="LK124" s="15"/>
      <c r="LL124" s="15"/>
      <c r="LM124" s="15"/>
      <c r="LN124" s="15"/>
      <c r="LO124" s="15"/>
      <c r="LP124" s="15"/>
      <c r="LQ124" s="15"/>
      <c r="LR124" s="15"/>
      <c r="LS124" s="15"/>
      <c r="LT124" s="15"/>
      <c r="LU124" s="15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5"/>
      <c r="MG124" s="15"/>
      <c r="MH124" s="15"/>
      <c r="MI124" s="15"/>
      <c r="MJ124" s="15"/>
      <c r="MK124" s="15"/>
      <c r="ML124" s="15"/>
      <c r="MM124" s="15"/>
      <c r="MN124" s="15"/>
      <c r="MO124" s="15"/>
      <c r="MP124" s="15"/>
      <c r="MQ124" s="15"/>
      <c r="MR124" s="15"/>
      <c r="MS124" s="15"/>
      <c r="MT124" s="15"/>
      <c r="MU124" s="15"/>
      <c r="MV124" s="15"/>
      <c r="MW124" s="15"/>
      <c r="MX124" s="15"/>
      <c r="MY124" s="15"/>
      <c r="MZ124" s="15"/>
      <c r="NA124" s="15"/>
      <c r="NB124" s="15"/>
      <c r="NC124" s="15"/>
      <c r="ND124" s="15"/>
      <c r="NE124" s="15"/>
      <c r="NF124" s="15"/>
      <c r="NG124" s="15"/>
      <c r="NH124" s="15"/>
      <c r="NI124" s="15"/>
      <c r="NJ124" s="15"/>
      <c r="NK124" s="15"/>
      <c r="NL124" s="15"/>
      <c r="NM124" s="15"/>
      <c r="NN124" s="15"/>
      <c r="NO124" s="15"/>
      <c r="NP124" s="15"/>
      <c r="NQ124" s="15"/>
      <c r="NR124" s="15"/>
      <c r="NS124" s="15"/>
      <c r="NT124" s="15"/>
      <c r="NU124" s="15"/>
      <c r="NV124" s="15"/>
      <c r="NW124" s="15"/>
      <c r="NX124" s="15"/>
      <c r="NY124" s="15"/>
      <c r="NZ124" s="15"/>
    </row>
    <row r="125" spans="2:390" ht="30" customHeight="1" thickBot="1" x14ac:dyDescent="0.5">
      <c r="E125" s="29"/>
      <c r="F125" s="31"/>
      <c r="G125" s="31"/>
      <c r="H125" s="72"/>
      <c r="I125" s="72"/>
      <c r="J125" s="55"/>
      <c r="K125" s="55"/>
      <c r="L125" s="55"/>
      <c r="M125" s="31"/>
      <c r="N125" s="31"/>
      <c r="O125" s="31"/>
      <c r="P125" s="31"/>
      <c r="Q125" s="31"/>
      <c r="R125" s="19"/>
      <c r="S125" s="20"/>
      <c r="T125" s="21" t="str">
        <f t="shared" si="109"/>
        <v/>
      </c>
      <c r="U125" s="22"/>
      <c r="V125" s="199">
        <f t="shared" si="110"/>
        <v>0</v>
      </c>
      <c r="W125" s="22"/>
      <c r="X125" s="22"/>
      <c r="Y125" s="199">
        <f t="shared" si="111"/>
        <v>0</v>
      </c>
      <c r="Z125" s="36"/>
      <c r="AA125" s="15"/>
      <c r="AB125" s="15"/>
      <c r="AC125" s="15"/>
      <c r="AD125" s="15"/>
      <c r="AE125" s="15"/>
      <c r="AF125" s="15"/>
      <c r="AG125" s="184"/>
      <c r="AH125" s="15"/>
      <c r="AI125" s="15"/>
      <c r="AJ125" s="15"/>
      <c r="AK125" s="15"/>
      <c r="AL125" s="15"/>
      <c r="AM125" s="15"/>
      <c r="AN125" s="184"/>
      <c r="AO125" s="15"/>
      <c r="AP125" s="15"/>
      <c r="AQ125" s="15"/>
      <c r="AR125" s="15"/>
      <c r="AS125" s="15"/>
      <c r="AT125" s="15"/>
      <c r="AU125" s="184"/>
      <c r="AV125" s="15"/>
      <c r="AW125" s="15"/>
      <c r="AX125" s="15"/>
      <c r="AY125" s="15"/>
      <c r="AZ125" s="15"/>
      <c r="BA125" s="15"/>
      <c r="BB125" s="184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84"/>
      <c r="CE125" s="15"/>
      <c r="CF125" s="15"/>
      <c r="CG125" s="15"/>
      <c r="CH125" s="15"/>
      <c r="CI125" s="15"/>
      <c r="CJ125" s="15"/>
      <c r="CK125" s="184"/>
      <c r="CL125" s="15"/>
      <c r="CM125" s="15"/>
      <c r="CN125" s="15"/>
      <c r="CO125" s="15"/>
      <c r="CP125" s="15"/>
      <c r="CQ125" s="15"/>
      <c r="CR125" s="184"/>
      <c r="CS125" s="15"/>
      <c r="CT125" s="15"/>
      <c r="CU125" s="15"/>
      <c r="CV125" s="15"/>
      <c r="CW125" s="15"/>
      <c r="CX125" s="15"/>
      <c r="CY125" s="184"/>
      <c r="CZ125" s="15"/>
      <c r="DA125" s="15"/>
      <c r="DB125" s="15"/>
      <c r="DC125" s="15"/>
      <c r="DD125" s="15"/>
      <c r="DE125" s="15"/>
      <c r="DF125" s="184"/>
      <c r="DG125" s="15"/>
      <c r="DH125" s="15"/>
      <c r="DI125" s="15"/>
      <c r="DJ125" s="15"/>
      <c r="DK125" s="15"/>
      <c r="DL125" s="15"/>
      <c r="DM125" s="184"/>
      <c r="DN125" s="15"/>
      <c r="DO125" s="15"/>
      <c r="DP125" s="15"/>
      <c r="DQ125" s="15"/>
      <c r="DR125" s="15"/>
      <c r="DS125" s="15"/>
      <c r="DT125" s="184"/>
      <c r="DU125" s="15"/>
      <c r="DV125" s="15"/>
      <c r="DW125" s="15"/>
      <c r="DX125" s="15"/>
      <c r="DY125" s="15"/>
      <c r="DZ125" s="15"/>
      <c r="EA125" s="184"/>
      <c r="EB125" s="15"/>
      <c r="EC125" s="15"/>
      <c r="ED125" s="15"/>
      <c r="EE125" s="15"/>
      <c r="EF125" s="15"/>
      <c r="EG125" s="15"/>
      <c r="EH125" s="184"/>
      <c r="EI125" s="15"/>
      <c r="EJ125" s="15"/>
      <c r="EK125" s="15"/>
      <c r="EL125" s="15"/>
      <c r="EM125" s="15"/>
      <c r="EN125" s="15"/>
      <c r="EO125" s="184"/>
      <c r="EP125" s="15"/>
      <c r="EQ125" s="15"/>
      <c r="ER125" s="15"/>
      <c r="ES125" s="15"/>
      <c r="ET125" s="15"/>
      <c r="EU125" s="15"/>
      <c r="EV125" s="184"/>
      <c r="EW125" s="15"/>
      <c r="EX125" s="15"/>
      <c r="EY125" s="15"/>
      <c r="EZ125" s="15"/>
      <c r="FA125" s="15"/>
      <c r="FB125" s="15"/>
      <c r="FC125" s="184"/>
      <c r="FD125" s="15"/>
      <c r="FE125" s="15"/>
      <c r="FF125" s="15"/>
      <c r="FG125" s="15"/>
      <c r="FH125" s="15"/>
      <c r="FI125" s="15"/>
      <c r="FJ125" s="184"/>
      <c r="FK125" s="15"/>
      <c r="FL125" s="15"/>
      <c r="FM125" s="15"/>
      <c r="FN125" s="15"/>
      <c r="FO125" s="15"/>
      <c r="FP125" s="15"/>
      <c r="FQ125" s="184"/>
      <c r="FR125" s="15"/>
      <c r="FS125" s="15"/>
      <c r="FT125" s="15"/>
      <c r="FU125" s="15"/>
      <c r="FV125" s="15"/>
      <c r="FW125" s="178"/>
      <c r="FX125" s="184"/>
      <c r="FY125" s="181"/>
      <c r="FZ125" s="15"/>
      <c r="GA125" s="15"/>
      <c r="GB125" s="15"/>
      <c r="GC125" s="15"/>
      <c r="GD125" s="15"/>
      <c r="GE125" s="184"/>
      <c r="GF125" s="15"/>
      <c r="GG125" s="15"/>
      <c r="GH125" s="15"/>
      <c r="GI125" s="15"/>
      <c r="GJ125" s="15"/>
      <c r="GK125" s="15"/>
      <c r="GL125" s="184"/>
      <c r="GM125" s="15"/>
      <c r="GN125" s="15"/>
      <c r="GO125" s="15"/>
      <c r="GP125" s="15"/>
      <c r="GQ125" s="15"/>
      <c r="GR125" s="15"/>
      <c r="GS125" s="184"/>
      <c r="GT125" s="15"/>
      <c r="GU125" s="15"/>
      <c r="GV125" s="15"/>
      <c r="GW125" s="15"/>
      <c r="GX125" s="15"/>
      <c r="GY125" s="15"/>
      <c r="GZ125" s="184"/>
      <c r="HA125" s="15"/>
      <c r="HB125" s="15"/>
      <c r="HC125" s="15"/>
      <c r="HD125" s="15"/>
      <c r="HE125" s="15"/>
      <c r="HF125" s="15"/>
      <c r="HG125" s="184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  <c r="MG125" s="15"/>
      <c r="MH125" s="15"/>
      <c r="MI125" s="15"/>
      <c r="MJ125" s="15"/>
      <c r="MK125" s="15"/>
      <c r="ML125" s="15"/>
      <c r="MM125" s="15"/>
      <c r="MN125" s="15"/>
      <c r="MO125" s="15"/>
      <c r="MP125" s="15"/>
      <c r="MQ125" s="15"/>
      <c r="MR125" s="15"/>
      <c r="MS125" s="15"/>
      <c r="MT125" s="15"/>
      <c r="MU125" s="15"/>
      <c r="MV125" s="15"/>
      <c r="MW125" s="15"/>
      <c r="MX125" s="15"/>
      <c r="MY125" s="15"/>
      <c r="MZ125" s="15"/>
      <c r="NA125" s="15"/>
      <c r="NB125" s="15"/>
      <c r="NC125" s="15"/>
      <c r="ND125" s="15"/>
      <c r="NE125" s="15"/>
      <c r="NF125" s="15"/>
      <c r="NG125" s="15"/>
      <c r="NH125" s="15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5"/>
      <c r="NT125" s="15"/>
      <c r="NU125" s="15"/>
      <c r="NV125" s="15"/>
      <c r="NW125" s="15"/>
      <c r="NX125" s="15"/>
      <c r="NY125" s="15"/>
      <c r="NZ125" s="15"/>
    </row>
    <row r="126" spans="2:390" ht="19.5" customHeight="1" x14ac:dyDescent="0.45">
      <c r="B126" s="1">
        <f>+B94+1</f>
        <v>4</v>
      </c>
      <c r="C126" s="1">
        <v>0</v>
      </c>
      <c r="D126" s="1">
        <v>0</v>
      </c>
      <c r="E126" s="102" t="str">
        <f t="shared" ref="E126:E174" si="125">B126&amp;"."&amp;C126&amp;"."&amp;D126</f>
        <v>4.0.0</v>
      </c>
      <c r="F126" s="103" t="s">
        <v>46</v>
      </c>
      <c r="G126" s="103"/>
      <c r="H126" s="104"/>
      <c r="I126" s="104"/>
      <c r="J126" s="105"/>
      <c r="K126" s="105"/>
      <c r="L126" s="105"/>
      <c r="M126" s="103"/>
      <c r="N126" s="103"/>
      <c r="O126" s="106">
        <f>+SUM(O127,O132,O136,O140,O144,O147,O149,O153,O155,O160,)</f>
        <v>522</v>
      </c>
      <c r="P126" s="106"/>
      <c r="Q126" s="106"/>
      <c r="R126" s="107"/>
      <c r="S126" s="107"/>
      <c r="T126" s="194">
        <f>+MAX(T127:T160)</f>
        <v>46136</v>
      </c>
      <c r="U126" s="160">
        <f>+SUM(O127*U127,O132*U132,O136*U136,O140*U140,O144*U144,O147*U147,O149*U149,O155*U155,O160*U160)/O126</f>
        <v>1.532567049808429E-2</v>
      </c>
      <c r="V126" s="202">
        <f t="shared" si="110"/>
        <v>8</v>
      </c>
      <c r="W126" s="32"/>
      <c r="X126" s="32"/>
      <c r="Y126" s="205">
        <f t="shared" si="111"/>
        <v>0</v>
      </c>
      <c r="Z126" s="38"/>
      <c r="AA126" s="15"/>
      <c r="AB126" s="15"/>
      <c r="AC126" s="15"/>
      <c r="AD126" s="15"/>
      <c r="AE126" s="15"/>
      <c r="AF126" s="15"/>
      <c r="AG126" s="184"/>
      <c r="AH126" s="15"/>
      <c r="AI126" s="15"/>
      <c r="AJ126" s="15"/>
      <c r="AK126" s="15"/>
      <c r="AL126" s="15"/>
      <c r="AM126" s="15"/>
      <c r="AN126" s="184"/>
      <c r="AO126" s="15"/>
      <c r="AP126" s="15"/>
      <c r="AQ126" s="15"/>
      <c r="AR126" s="15"/>
      <c r="AS126" s="15"/>
      <c r="AT126" s="15"/>
      <c r="AU126" s="184"/>
      <c r="AV126" s="15"/>
      <c r="AW126" s="15"/>
      <c r="AX126" s="15"/>
      <c r="AY126" s="15"/>
      <c r="AZ126" s="15"/>
      <c r="BA126" s="15"/>
      <c r="BB126" s="184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84"/>
      <c r="CE126" s="15"/>
      <c r="CF126" s="15"/>
      <c r="CG126" s="15"/>
      <c r="CH126" s="15"/>
      <c r="CI126" s="15"/>
      <c r="CJ126" s="15"/>
      <c r="CK126" s="184"/>
      <c r="CL126" s="15"/>
      <c r="CM126" s="15"/>
      <c r="CN126" s="15"/>
      <c r="CO126" s="15"/>
      <c r="CP126" s="15"/>
      <c r="CQ126" s="15"/>
      <c r="CR126" s="184"/>
      <c r="CS126" s="15"/>
      <c r="CT126" s="15"/>
      <c r="CU126" s="15"/>
      <c r="CV126" s="15"/>
      <c r="CW126" s="15"/>
      <c r="CX126" s="15"/>
      <c r="CY126" s="184"/>
      <c r="CZ126" s="15"/>
      <c r="DA126" s="15"/>
      <c r="DB126" s="15"/>
      <c r="DC126" s="15"/>
      <c r="DD126" s="15"/>
      <c r="DE126" s="15"/>
      <c r="DF126" s="184"/>
      <c r="DG126" s="15"/>
      <c r="DH126" s="15"/>
      <c r="DI126" s="15"/>
      <c r="DJ126" s="15"/>
      <c r="DK126" s="15"/>
      <c r="DL126" s="15"/>
      <c r="DM126" s="184"/>
      <c r="DN126" s="15"/>
      <c r="DO126" s="15"/>
      <c r="DP126" s="15"/>
      <c r="DQ126" s="15"/>
      <c r="DR126" s="15"/>
      <c r="DS126" s="15"/>
      <c r="DT126" s="184"/>
      <c r="DU126" s="15"/>
      <c r="DV126" s="15"/>
      <c r="DW126" s="15"/>
      <c r="DX126" s="15"/>
      <c r="DY126" s="15"/>
      <c r="DZ126" s="15"/>
      <c r="EA126" s="184"/>
      <c r="EB126" s="15"/>
      <c r="EC126" s="15"/>
      <c r="ED126" s="15"/>
      <c r="EE126" s="15"/>
      <c r="EF126" s="15"/>
      <c r="EG126" s="15"/>
      <c r="EH126" s="184"/>
      <c r="EI126" s="15"/>
      <c r="EJ126" s="15"/>
      <c r="EK126" s="15"/>
      <c r="EL126" s="15"/>
      <c r="EM126" s="15"/>
      <c r="EN126" s="15"/>
      <c r="EO126" s="184"/>
      <c r="EP126" s="15"/>
      <c r="EQ126" s="15"/>
      <c r="ER126" s="15"/>
      <c r="ES126" s="15"/>
      <c r="ET126" s="15"/>
      <c r="EU126" s="15"/>
      <c r="EV126" s="184"/>
      <c r="EW126" s="15"/>
      <c r="EX126" s="15"/>
      <c r="EY126" s="15"/>
      <c r="EZ126" s="15"/>
      <c r="FA126" s="15"/>
      <c r="FB126" s="15"/>
      <c r="FC126" s="184"/>
      <c r="FD126" s="15"/>
      <c r="FE126" s="15"/>
      <c r="FF126" s="15"/>
      <c r="FG126" s="15"/>
      <c r="FH126" s="15"/>
      <c r="FI126" s="15"/>
      <c r="FJ126" s="184"/>
      <c r="FK126" s="15"/>
      <c r="FL126" s="15"/>
      <c r="FM126" s="15"/>
      <c r="FN126" s="15"/>
      <c r="FO126" s="15"/>
      <c r="FP126" s="15"/>
      <c r="FQ126" s="184"/>
      <c r="FR126" s="15"/>
      <c r="FS126" s="15"/>
      <c r="FT126" s="15"/>
      <c r="FU126" s="15"/>
      <c r="FV126" s="15"/>
      <c r="FW126" s="178"/>
      <c r="FX126" s="184"/>
      <c r="FY126" s="181"/>
      <c r="FZ126" s="15"/>
      <c r="GA126" s="15"/>
      <c r="GB126" s="15"/>
      <c r="GC126" s="15"/>
      <c r="GD126" s="15"/>
      <c r="GE126" s="184"/>
      <c r="GF126" s="15"/>
      <c r="GG126" s="15"/>
      <c r="GH126" s="15"/>
      <c r="GI126" s="15"/>
      <c r="GJ126" s="15"/>
      <c r="GK126" s="15"/>
      <c r="GL126" s="184"/>
      <c r="GM126" s="15"/>
      <c r="GN126" s="15"/>
      <c r="GO126" s="15"/>
      <c r="GP126" s="15"/>
      <c r="GQ126" s="15"/>
      <c r="GR126" s="15"/>
      <c r="GS126" s="184"/>
      <c r="GT126" s="15"/>
      <c r="GU126" s="15"/>
      <c r="GV126" s="15"/>
      <c r="GW126" s="15"/>
      <c r="GX126" s="15"/>
      <c r="GY126" s="15"/>
      <c r="GZ126" s="184"/>
      <c r="HA126" s="15"/>
      <c r="HB126" s="15"/>
      <c r="HC126" s="15"/>
      <c r="HD126" s="15"/>
      <c r="HE126" s="15"/>
      <c r="HF126" s="15"/>
      <c r="HG126" s="184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/>
      <c r="KE126" s="15"/>
      <c r="KF126" s="15"/>
      <c r="KG126" s="15"/>
      <c r="KH126" s="15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5"/>
      <c r="KT126" s="15"/>
      <c r="KU126" s="15"/>
      <c r="KV126" s="15"/>
      <c r="KW126" s="15"/>
      <c r="KX126" s="15"/>
      <c r="KY126" s="15"/>
      <c r="KZ126" s="15"/>
      <c r="LA126" s="15"/>
      <c r="LB126" s="15"/>
      <c r="LC126" s="15"/>
      <c r="LD126" s="15"/>
      <c r="LE126" s="15"/>
      <c r="LF126" s="15"/>
      <c r="LG126" s="15"/>
      <c r="LH126" s="15"/>
      <c r="LI126" s="15"/>
      <c r="LJ126" s="15"/>
      <c r="LK126" s="15"/>
      <c r="LL126" s="15"/>
      <c r="LM126" s="15"/>
      <c r="LN126" s="15"/>
      <c r="LO126" s="15"/>
      <c r="LP126" s="15"/>
      <c r="LQ126" s="15"/>
      <c r="LR126" s="15"/>
      <c r="LS126" s="15"/>
      <c r="LT126" s="15"/>
      <c r="LU126" s="15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5"/>
      <c r="MG126" s="15"/>
      <c r="MH126" s="15"/>
      <c r="MI126" s="15"/>
      <c r="MJ126" s="15"/>
      <c r="MK126" s="15"/>
      <c r="ML126" s="15"/>
      <c r="MM126" s="15"/>
      <c r="MN126" s="15"/>
      <c r="MO126" s="15"/>
      <c r="MP126" s="15"/>
      <c r="MQ126" s="15"/>
      <c r="MR126" s="15"/>
      <c r="MS126" s="15"/>
      <c r="MT126" s="15"/>
      <c r="MU126" s="15"/>
      <c r="MV126" s="15"/>
      <c r="MW126" s="15"/>
      <c r="MX126" s="15"/>
      <c r="MY126" s="15"/>
      <c r="MZ126" s="15"/>
      <c r="NA126" s="15"/>
      <c r="NB126" s="15"/>
      <c r="NC126" s="15"/>
      <c r="ND126" s="15"/>
      <c r="NE126" s="15"/>
      <c r="NF126" s="15"/>
      <c r="NG126" s="15"/>
      <c r="NH126" s="15"/>
      <c r="NI126" s="15"/>
      <c r="NJ126" s="15"/>
      <c r="NK126" s="15"/>
      <c r="NL126" s="15"/>
      <c r="NM126" s="15"/>
      <c r="NN126" s="15"/>
      <c r="NO126" s="15"/>
      <c r="NP126" s="15"/>
      <c r="NQ126" s="15"/>
      <c r="NR126" s="15"/>
      <c r="NS126" s="15"/>
      <c r="NT126" s="15"/>
      <c r="NU126" s="15"/>
      <c r="NV126" s="15"/>
      <c r="NW126" s="15"/>
      <c r="NX126" s="15"/>
      <c r="NY126" s="15"/>
      <c r="NZ126" s="15"/>
    </row>
    <row r="127" spans="2:390" ht="19.5" customHeight="1" x14ac:dyDescent="0.45">
      <c r="B127" s="1">
        <f t="shared" ref="B127:C167" si="126">+B126</f>
        <v>4</v>
      </c>
      <c r="C127" s="1">
        <f>+C126+1</f>
        <v>1</v>
      </c>
      <c r="D127" s="1">
        <v>0</v>
      </c>
      <c r="E127" s="93" t="str">
        <f t="shared" si="125"/>
        <v>4.1.0</v>
      </c>
      <c r="F127" s="99" t="s">
        <v>137</v>
      </c>
      <c r="G127" s="99"/>
      <c r="H127" s="100"/>
      <c r="I127" s="100"/>
      <c r="J127" s="101"/>
      <c r="K127" s="101"/>
      <c r="L127" s="101"/>
      <c r="M127" s="99"/>
      <c r="N127" s="99"/>
      <c r="O127" s="95">
        <f>SUM(O128:O131)</f>
        <v>24</v>
      </c>
      <c r="P127" s="95"/>
      <c r="Q127" s="95"/>
      <c r="R127" s="168"/>
      <c r="S127" s="98"/>
      <c r="T127" s="163" t="str">
        <f t="shared" si="109"/>
        <v/>
      </c>
      <c r="U127" s="164">
        <f>+SUMPRODUCT(U128:U131,O128:O131)/O127</f>
        <v>0</v>
      </c>
      <c r="V127" s="200">
        <f t="shared" si="110"/>
        <v>0</v>
      </c>
      <c r="W127" s="158">
        <f>SUMIFS($AA127:$NZ127, $AA$8:$NZ$8, $W$13)/$O127</f>
        <v>0</v>
      </c>
      <c r="X127" s="159">
        <f>SUMIF($AA$9:$NZ$9, "&lt;=" &amp; $W$11,$AA127:$NZ127)/$O127</f>
        <v>0</v>
      </c>
      <c r="Y127" s="199">
        <f t="shared" si="111"/>
        <v>0</v>
      </c>
      <c r="Z127" s="36"/>
      <c r="AA127" s="15"/>
      <c r="AB127" s="15"/>
      <c r="AC127" s="15"/>
      <c r="AD127" s="15"/>
      <c r="AE127" s="15"/>
      <c r="AF127" s="15"/>
      <c r="AG127" s="184"/>
      <c r="AH127" s="15"/>
      <c r="AI127" s="15"/>
      <c r="AJ127" s="15"/>
      <c r="AK127" s="15"/>
      <c r="AL127" s="15"/>
      <c r="AM127" s="15"/>
      <c r="AN127" s="184"/>
      <c r="AO127" s="15"/>
      <c r="AP127" s="15"/>
      <c r="AQ127" s="15"/>
      <c r="AR127" s="15"/>
      <c r="AS127" s="15"/>
      <c r="AT127" s="15"/>
      <c r="AU127" s="184"/>
      <c r="AV127" s="15"/>
      <c r="AW127" s="15"/>
      <c r="AX127" s="15"/>
      <c r="AY127" s="15"/>
      <c r="AZ127" s="15"/>
      <c r="BA127" s="15"/>
      <c r="BB127" s="184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84"/>
      <c r="CE127" s="15"/>
      <c r="CF127" s="15"/>
      <c r="CG127" s="15"/>
      <c r="CH127" s="15"/>
      <c r="CI127" s="15"/>
      <c r="CJ127" s="15"/>
      <c r="CK127" s="184"/>
      <c r="CL127" s="15"/>
      <c r="CM127" s="15"/>
      <c r="CN127" s="15"/>
      <c r="CO127" s="15"/>
      <c r="CP127" s="15"/>
      <c r="CQ127" s="15"/>
      <c r="CR127" s="184"/>
      <c r="CS127" s="15"/>
      <c r="CT127" s="15"/>
      <c r="CU127" s="15"/>
      <c r="CV127" s="15"/>
      <c r="CW127" s="15"/>
      <c r="CX127" s="15"/>
      <c r="CY127" s="184"/>
      <c r="CZ127" s="15"/>
      <c r="DA127" s="15"/>
      <c r="DB127" s="15"/>
      <c r="DC127" s="15"/>
      <c r="DD127" s="15"/>
      <c r="DE127" s="15"/>
      <c r="DF127" s="184"/>
      <c r="DG127" s="15"/>
      <c r="DH127" s="15"/>
      <c r="DI127" s="15"/>
      <c r="DJ127" s="15"/>
      <c r="DK127" s="15"/>
      <c r="DL127" s="15"/>
      <c r="DM127" s="184"/>
      <c r="DN127" s="15"/>
      <c r="DO127" s="15"/>
      <c r="DP127" s="15"/>
      <c r="DQ127" s="15"/>
      <c r="DR127" s="15"/>
      <c r="DS127" s="15"/>
      <c r="DT127" s="184"/>
      <c r="DU127" s="15"/>
      <c r="DV127" s="15"/>
      <c r="DW127" s="15"/>
      <c r="DX127" s="15"/>
      <c r="DY127" s="15"/>
      <c r="DZ127" s="15"/>
      <c r="EA127" s="184"/>
      <c r="EB127" s="15"/>
      <c r="EC127" s="15"/>
      <c r="ED127" s="15"/>
      <c r="EE127" s="15"/>
      <c r="EF127" s="15"/>
      <c r="EG127" s="15"/>
      <c r="EH127" s="184"/>
      <c r="EI127" s="15"/>
      <c r="EJ127" s="15"/>
      <c r="EK127" s="15"/>
      <c r="EL127" s="15"/>
      <c r="EM127" s="15"/>
      <c r="EN127" s="15"/>
      <c r="EO127" s="184"/>
      <c r="EP127" s="15"/>
      <c r="EQ127" s="15"/>
      <c r="ER127" s="15"/>
      <c r="ES127" s="15"/>
      <c r="ET127" s="15"/>
      <c r="EU127" s="15"/>
      <c r="EV127" s="184"/>
      <c r="EW127" s="15"/>
      <c r="EX127" s="15"/>
      <c r="EY127" s="15"/>
      <c r="EZ127" s="15"/>
      <c r="FA127" s="15"/>
      <c r="FB127" s="15"/>
      <c r="FC127" s="184"/>
      <c r="FD127" s="15"/>
      <c r="FE127" s="15"/>
      <c r="FF127" s="15"/>
      <c r="FG127" s="15"/>
      <c r="FH127" s="15"/>
      <c r="FI127" s="15"/>
      <c r="FJ127" s="184"/>
      <c r="FK127" s="15"/>
      <c r="FL127" s="15"/>
      <c r="FM127" s="15"/>
      <c r="FN127" s="15"/>
      <c r="FO127" s="15"/>
      <c r="FP127" s="15"/>
      <c r="FQ127" s="184"/>
      <c r="FR127" s="15"/>
      <c r="FS127" s="15"/>
      <c r="FT127" s="15"/>
      <c r="FU127" s="15"/>
      <c r="FV127" s="15"/>
      <c r="FW127" s="178"/>
      <c r="FX127" s="184"/>
      <c r="FY127" s="181"/>
      <c r="FZ127" s="15"/>
      <c r="GA127" s="15"/>
      <c r="GB127" s="15"/>
      <c r="GC127" s="15"/>
      <c r="GD127" s="15"/>
      <c r="GE127" s="184"/>
      <c r="GF127" s="15"/>
      <c r="GG127" s="15"/>
      <c r="GH127" s="15"/>
      <c r="GI127" s="15"/>
      <c r="GJ127" s="15"/>
      <c r="GK127" s="15"/>
      <c r="GL127" s="184"/>
      <c r="GM127" s="15"/>
      <c r="GN127" s="15"/>
      <c r="GO127" s="15"/>
      <c r="GP127" s="15"/>
      <c r="GQ127" s="15"/>
      <c r="GR127" s="15"/>
      <c r="GS127" s="184"/>
      <c r="GT127" s="15"/>
      <c r="GU127" s="15"/>
      <c r="GV127" s="15"/>
      <c r="GW127" s="15"/>
      <c r="GX127" s="15"/>
      <c r="GY127" s="15"/>
      <c r="GZ127" s="184"/>
      <c r="HA127" s="15"/>
      <c r="HB127" s="15"/>
      <c r="HC127" s="15"/>
      <c r="HD127" s="15"/>
      <c r="HE127" s="15"/>
      <c r="HF127" s="15"/>
      <c r="HG127" s="184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  <c r="MH127" s="15"/>
      <c r="MI127" s="15"/>
      <c r="MJ127" s="15"/>
      <c r="MK127" s="15"/>
      <c r="ML127" s="15"/>
      <c r="MM127" s="15"/>
      <c r="MN127" s="15"/>
      <c r="MO127" s="15"/>
      <c r="MP127" s="15"/>
      <c r="MQ127" s="15"/>
      <c r="MR127" s="15"/>
      <c r="MS127" s="15"/>
      <c r="MT127" s="15"/>
      <c r="MU127" s="15"/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</row>
    <row r="128" spans="2:390" ht="19.5" customHeight="1" x14ac:dyDescent="0.45">
      <c r="B128" s="1">
        <f t="shared" si="126"/>
        <v>4</v>
      </c>
      <c r="C128" s="1">
        <f>+C127</f>
        <v>1</v>
      </c>
      <c r="D128" s="1">
        <f>+D127+1</f>
        <v>1</v>
      </c>
      <c r="E128" s="59" t="str">
        <f t="shared" si="125"/>
        <v>4.1.1</v>
      </c>
      <c r="F128" s="23" t="s">
        <v>88</v>
      </c>
      <c r="G128" s="23"/>
      <c r="H128" s="52" t="s">
        <v>117</v>
      </c>
      <c r="I128" s="118"/>
      <c r="J128" s="118"/>
      <c r="K128" s="119"/>
      <c r="L128" s="119"/>
      <c r="M128" s="120"/>
      <c r="N128" s="120"/>
      <c r="O128" s="121"/>
      <c r="P128" s="121"/>
      <c r="Q128" s="121"/>
      <c r="R128" s="187"/>
      <c r="S128" s="64"/>
      <c r="T128" s="155" t="str">
        <f t="shared" si="109"/>
        <v/>
      </c>
      <c r="U128" s="22"/>
      <c r="V128" s="199">
        <f t="shared" si="110"/>
        <v>0</v>
      </c>
      <c r="W128" s="158"/>
      <c r="X128" s="159"/>
      <c r="Y128" s="199">
        <f t="shared" si="111"/>
        <v>0</v>
      </c>
      <c r="Z128" s="36"/>
      <c r="AA128" s="15"/>
      <c r="AB128" s="15"/>
      <c r="AC128" s="15"/>
      <c r="AD128" s="15"/>
      <c r="AE128" s="15"/>
      <c r="AF128" s="15"/>
      <c r="AG128" s="184"/>
      <c r="AH128" s="15"/>
      <c r="AI128" s="15"/>
      <c r="AJ128" s="15"/>
      <c r="AK128" s="15"/>
      <c r="AL128" s="15"/>
      <c r="AM128" s="15"/>
      <c r="AN128" s="184"/>
      <c r="AO128" s="15"/>
      <c r="AP128" s="15"/>
      <c r="AQ128" s="15"/>
      <c r="AR128" s="15"/>
      <c r="AS128" s="15"/>
      <c r="AT128" s="15"/>
      <c r="AU128" s="184"/>
      <c r="AV128" s="15"/>
      <c r="AW128" s="15"/>
      <c r="AX128" s="15"/>
      <c r="AY128" s="15"/>
      <c r="AZ128" s="15"/>
      <c r="BA128" s="15"/>
      <c r="BB128" s="184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84"/>
      <c r="CE128" s="15"/>
      <c r="CF128" s="15"/>
      <c r="CG128" s="15"/>
      <c r="CH128" s="15"/>
      <c r="CI128" s="15"/>
      <c r="CJ128" s="15"/>
      <c r="CK128" s="184"/>
      <c r="CL128" s="15"/>
      <c r="CM128" s="15"/>
      <c r="CN128" s="15"/>
      <c r="CO128" s="15"/>
      <c r="CP128" s="15"/>
      <c r="CQ128" s="15"/>
      <c r="CR128" s="184"/>
      <c r="CS128" s="15"/>
      <c r="CT128" s="15"/>
      <c r="CU128" s="15"/>
      <c r="CV128" s="15"/>
      <c r="CW128" s="15"/>
      <c r="CX128" s="15"/>
      <c r="CY128" s="184"/>
      <c r="CZ128" s="15"/>
      <c r="DA128" s="15"/>
      <c r="DB128" s="15"/>
      <c r="DC128" s="15"/>
      <c r="DD128" s="15"/>
      <c r="DE128" s="15"/>
      <c r="DF128" s="184"/>
      <c r="DG128" s="15"/>
      <c r="DH128" s="15"/>
      <c r="DI128" s="15"/>
      <c r="DJ128" s="15"/>
      <c r="DK128" s="15"/>
      <c r="DL128" s="15"/>
      <c r="DM128" s="184"/>
      <c r="DN128" s="15"/>
      <c r="DO128" s="15"/>
      <c r="DP128" s="15"/>
      <c r="DQ128" s="15"/>
      <c r="DR128" s="15"/>
      <c r="DS128" s="15"/>
      <c r="DT128" s="184"/>
      <c r="DU128" s="15"/>
      <c r="DV128" s="15"/>
      <c r="DW128" s="15"/>
      <c r="DX128" s="15"/>
      <c r="DY128" s="15"/>
      <c r="DZ128" s="15"/>
      <c r="EA128" s="184"/>
      <c r="EB128" s="15"/>
      <c r="EC128" s="15"/>
      <c r="ED128" s="15"/>
      <c r="EE128" s="15"/>
      <c r="EF128" s="15"/>
      <c r="EG128" s="15"/>
      <c r="EH128" s="184"/>
      <c r="EI128" s="15"/>
      <c r="EJ128" s="15"/>
      <c r="EK128" s="15"/>
      <c r="EL128" s="15"/>
      <c r="EM128" s="15"/>
      <c r="EN128" s="15"/>
      <c r="EO128" s="184"/>
      <c r="EP128" s="15"/>
      <c r="EQ128" s="15"/>
      <c r="ER128" s="15"/>
      <c r="ES128" s="15"/>
      <c r="ET128" s="15"/>
      <c r="EU128" s="15"/>
      <c r="EV128" s="184"/>
      <c r="EW128" s="15"/>
      <c r="EX128" s="15"/>
      <c r="EY128" s="15"/>
      <c r="EZ128" s="15"/>
      <c r="FA128" s="15"/>
      <c r="FB128" s="15"/>
      <c r="FC128" s="184"/>
      <c r="FD128" s="15"/>
      <c r="FE128" s="15"/>
      <c r="FF128" s="15"/>
      <c r="FG128" s="15"/>
      <c r="FH128" s="15"/>
      <c r="FI128" s="15"/>
      <c r="FJ128" s="184"/>
      <c r="FK128" s="15"/>
      <c r="FL128" s="15"/>
      <c r="FM128" s="15"/>
      <c r="FN128" s="15"/>
      <c r="FO128" s="15"/>
      <c r="FP128" s="15"/>
      <c r="FQ128" s="184"/>
      <c r="FR128" s="15"/>
      <c r="FS128" s="15"/>
      <c r="FT128" s="15"/>
      <c r="FU128" s="15"/>
      <c r="FV128" s="15"/>
      <c r="FW128" s="178"/>
      <c r="FX128" s="184"/>
      <c r="FY128" s="181"/>
      <c r="FZ128" s="15"/>
      <c r="GA128" s="15"/>
      <c r="GB128" s="15"/>
      <c r="GC128" s="15"/>
      <c r="GD128" s="15"/>
      <c r="GE128" s="184"/>
      <c r="GF128" s="15"/>
      <c r="GG128" s="15"/>
      <c r="GH128" s="15"/>
      <c r="GI128" s="15"/>
      <c r="GJ128" s="15"/>
      <c r="GK128" s="15"/>
      <c r="GL128" s="184"/>
      <c r="GM128" s="15"/>
      <c r="GN128" s="15"/>
      <c r="GO128" s="15"/>
      <c r="GP128" s="15"/>
      <c r="GQ128" s="15"/>
      <c r="GR128" s="15"/>
      <c r="GS128" s="184"/>
      <c r="GT128" s="15"/>
      <c r="GU128" s="15"/>
      <c r="GV128" s="15"/>
      <c r="GW128" s="15"/>
      <c r="GX128" s="15"/>
      <c r="GY128" s="15"/>
      <c r="GZ128" s="184"/>
      <c r="HA128" s="15"/>
      <c r="HB128" s="15"/>
      <c r="HC128" s="15"/>
      <c r="HD128" s="15"/>
      <c r="HE128" s="15"/>
      <c r="HF128" s="15"/>
      <c r="HG128" s="184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/>
      <c r="LI128" s="15"/>
      <c r="LJ128" s="15"/>
      <c r="LK128" s="15"/>
      <c r="LL128" s="15"/>
      <c r="LM128" s="15"/>
      <c r="LN128" s="15"/>
      <c r="LO128" s="15"/>
      <c r="LP128" s="15"/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  <c r="MG128" s="15"/>
      <c r="MH128" s="15"/>
      <c r="MI128" s="15"/>
      <c r="MJ128" s="15"/>
      <c r="MK128" s="15"/>
      <c r="ML128" s="15"/>
      <c r="MM128" s="15"/>
      <c r="MN128" s="15"/>
      <c r="MO128" s="15"/>
      <c r="MP128" s="15"/>
      <c r="MQ128" s="15"/>
      <c r="MR128" s="15"/>
      <c r="MS128" s="15"/>
      <c r="MT128" s="15"/>
      <c r="MU128" s="15"/>
      <c r="MV128" s="15"/>
      <c r="MW128" s="15"/>
      <c r="MX128" s="15"/>
      <c r="MY128" s="15"/>
      <c r="MZ128" s="15"/>
      <c r="NA128" s="15"/>
      <c r="NB128" s="15"/>
      <c r="NC128" s="15"/>
      <c r="ND128" s="15"/>
      <c r="NE128" s="15"/>
      <c r="NF128" s="15"/>
      <c r="NG128" s="15"/>
      <c r="NH128" s="15"/>
      <c r="NI128" s="15"/>
      <c r="NJ128" s="15"/>
      <c r="NK128" s="15"/>
      <c r="NL128" s="15"/>
      <c r="NM128" s="15"/>
      <c r="NN128" s="15"/>
      <c r="NO128" s="15"/>
      <c r="NP128" s="15"/>
      <c r="NQ128" s="15"/>
      <c r="NR128" s="15"/>
      <c r="NS128" s="15"/>
      <c r="NT128" s="15"/>
      <c r="NU128" s="15"/>
      <c r="NV128" s="15"/>
      <c r="NW128" s="15"/>
      <c r="NX128" s="15"/>
      <c r="NY128" s="15"/>
      <c r="NZ128" s="15"/>
    </row>
    <row r="129" spans="2:390" ht="19.5" customHeight="1" x14ac:dyDescent="0.45">
      <c r="B129" s="1">
        <f t="shared" si="126"/>
        <v>4</v>
      </c>
      <c r="C129" s="1">
        <f>+C128</f>
        <v>1</v>
      </c>
      <c r="D129" s="1">
        <f>+D128+1</f>
        <v>2</v>
      </c>
      <c r="E129" s="59" t="str">
        <f t="shared" si="125"/>
        <v>4.1.2</v>
      </c>
      <c r="F129" s="23" t="s">
        <v>89</v>
      </c>
      <c r="G129" s="23"/>
      <c r="H129" s="73" t="s">
        <v>120</v>
      </c>
      <c r="I129" s="195"/>
      <c r="J129" s="122"/>
      <c r="K129" s="123"/>
      <c r="L129" s="123"/>
      <c r="M129" s="124"/>
      <c r="N129" s="124"/>
      <c r="O129" s="140"/>
      <c r="P129" s="140"/>
      <c r="Q129" s="140"/>
      <c r="R129" s="187"/>
      <c r="S129" s="64"/>
      <c r="T129" s="155" t="str">
        <f t="shared" si="109"/>
        <v/>
      </c>
      <c r="U129" s="22"/>
      <c r="V129" s="199">
        <f t="shared" si="110"/>
        <v>0</v>
      </c>
      <c r="W129" s="158"/>
      <c r="X129" s="159"/>
      <c r="Y129" s="199">
        <f t="shared" si="111"/>
        <v>0</v>
      </c>
      <c r="Z129" s="36"/>
      <c r="AA129" s="15"/>
      <c r="AB129" s="15"/>
      <c r="AC129" s="15"/>
      <c r="AD129" s="15"/>
      <c r="AE129" s="15"/>
      <c r="AF129" s="15"/>
      <c r="AG129" s="184"/>
      <c r="AH129" s="15"/>
      <c r="AI129" s="15"/>
      <c r="AJ129" s="15"/>
      <c r="AK129" s="15"/>
      <c r="AL129" s="15"/>
      <c r="AM129" s="15"/>
      <c r="AN129" s="184"/>
      <c r="AO129" s="15"/>
      <c r="AP129" s="15"/>
      <c r="AQ129" s="15"/>
      <c r="AR129" s="15"/>
      <c r="AS129" s="15"/>
      <c r="AT129" s="15"/>
      <c r="AU129" s="184"/>
      <c r="AV129" s="15"/>
      <c r="AW129" s="15"/>
      <c r="AX129" s="15"/>
      <c r="AY129" s="15"/>
      <c r="AZ129" s="15"/>
      <c r="BA129" s="15"/>
      <c r="BB129" s="184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84"/>
      <c r="CE129" s="15"/>
      <c r="CF129" s="15"/>
      <c r="CG129" s="15"/>
      <c r="CH129" s="15"/>
      <c r="CI129" s="15"/>
      <c r="CJ129" s="15"/>
      <c r="CK129" s="184"/>
      <c r="CL129" s="15"/>
      <c r="CM129" s="15"/>
      <c r="CN129" s="15"/>
      <c r="CO129" s="15"/>
      <c r="CP129" s="15"/>
      <c r="CQ129" s="15"/>
      <c r="CR129" s="184"/>
      <c r="CS129" s="15"/>
      <c r="CT129" s="15"/>
      <c r="CU129" s="15"/>
      <c r="CV129" s="15"/>
      <c r="CW129" s="15"/>
      <c r="CX129" s="15"/>
      <c r="CY129" s="184"/>
      <c r="CZ129" s="15"/>
      <c r="DA129" s="15"/>
      <c r="DB129" s="15"/>
      <c r="DC129" s="15"/>
      <c r="DD129" s="15"/>
      <c r="DE129" s="15"/>
      <c r="DF129" s="184"/>
      <c r="DG129" s="15"/>
      <c r="DH129" s="15"/>
      <c r="DI129" s="15"/>
      <c r="DJ129" s="15"/>
      <c r="DK129" s="15"/>
      <c r="DL129" s="15"/>
      <c r="DM129" s="184"/>
      <c r="DN129" s="15"/>
      <c r="DO129" s="15"/>
      <c r="DP129" s="15"/>
      <c r="DQ129" s="15"/>
      <c r="DR129" s="15"/>
      <c r="DS129" s="15"/>
      <c r="DT129" s="184"/>
      <c r="DU129" s="15"/>
      <c r="DV129" s="15"/>
      <c r="DW129" s="15"/>
      <c r="DX129" s="15"/>
      <c r="DY129" s="15"/>
      <c r="DZ129" s="15"/>
      <c r="EA129" s="184"/>
      <c r="EB129" s="15"/>
      <c r="EC129" s="15"/>
      <c r="ED129" s="15"/>
      <c r="EE129" s="15"/>
      <c r="EF129" s="15"/>
      <c r="EG129" s="15"/>
      <c r="EH129" s="184"/>
      <c r="EI129" s="15"/>
      <c r="EJ129" s="15"/>
      <c r="EK129" s="15"/>
      <c r="EL129" s="15"/>
      <c r="EM129" s="15"/>
      <c r="EN129" s="15"/>
      <c r="EO129" s="184"/>
      <c r="EP129" s="15"/>
      <c r="EQ129" s="15"/>
      <c r="ER129" s="15"/>
      <c r="ES129" s="15"/>
      <c r="ET129" s="15"/>
      <c r="EU129" s="15"/>
      <c r="EV129" s="184"/>
      <c r="EW129" s="15"/>
      <c r="EX129" s="15"/>
      <c r="EY129" s="15"/>
      <c r="EZ129" s="15"/>
      <c r="FA129" s="15"/>
      <c r="FB129" s="15"/>
      <c r="FC129" s="184"/>
      <c r="FD129" s="15"/>
      <c r="FE129" s="15"/>
      <c r="FF129" s="15"/>
      <c r="FG129" s="15"/>
      <c r="FH129" s="15"/>
      <c r="FI129" s="15"/>
      <c r="FJ129" s="184"/>
      <c r="FK129" s="15"/>
      <c r="FL129" s="15"/>
      <c r="FM129" s="15"/>
      <c r="FN129" s="15"/>
      <c r="FO129" s="15"/>
      <c r="FP129" s="15"/>
      <c r="FQ129" s="184"/>
      <c r="FR129" s="15"/>
      <c r="FS129" s="15"/>
      <c r="FT129" s="15"/>
      <c r="FU129" s="15"/>
      <c r="FV129" s="15"/>
      <c r="FW129" s="178"/>
      <c r="FX129" s="184"/>
      <c r="FY129" s="181"/>
      <c r="FZ129" s="15"/>
      <c r="GA129" s="15"/>
      <c r="GB129" s="15"/>
      <c r="GC129" s="15"/>
      <c r="GD129" s="15"/>
      <c r="GE129" s="184"/>
      <c r="GF129" s="15"/>
      <c r="GG129" s="15"/>
      <c r="GH129" s="15"/>
      <c r="GI129" s="15"/>
      <c r="GJ129" s="15"/>
      <c r="GK129" s="15"/>
      <c r="GL129" s="184"/>
      <c r="GM129" s="15"/>
      <c r="GN129" s="15"/>
      <c r="GO129" s="15"/>
      <c r="GP129" s="15"/>
      <c r="GQ129" s="15"/>
      <c r="GR129" s="15"/>
      <c r="GS129" s="184"/>
      <c r="GT129" s="15"/>
      <c r="GU129" s="15"/>
      <c r="GV129" s="15"/>
      <c r="GW129" s="15"/>
      <c r="GX129" s="15"/>
      <c r="GY129" s="15"/>
      <c r="GZ129" s="184"/>
      <c r="HA129" s="15"/>
      <c r="HB129" s="15"/>
      <c r="HC129" s="15"/>
      <c r="HD129" s="15"/>
      <c r="HE129" s="15"/>
      <c r="HF129" s="15"/>
      <c r="HG129" s="184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/>
      <c r="KE129" s="15"/>
      <c r="KF129" s="15"/>
      <c r="KG129" s="15"/>
      <c r="KH129" s="15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5"/>
      <c r="KT129" s="15"/>
      <c r="KU129" s="15"/>
      <c r="KV129" s="15"/>
      <c r="KW129" s="15"/>
      <c r="KX129" s="15"/>
      <c r="KY129" s="15"/>
      <c r="KZ129" s="15"/>
      <c r="LA129" s="15"/>
      <c r="LB129" s="15"/>
      <c r="LC129" s="15"/>
      <c r="LD129" s="15"/>
      <c r="LE129" s="15"/>
      <c r="LF129" s="15"/>
      <c r="LG129" s="15"/>
      <c r="LH129" s="15"/>
      <c r="LI129" s="15"/>
      <c r="LJ129" s="15"/>
      <c r="LK129" s="15"/>
      <c r="LL129" s="15"/>
      <c r="LM129" s="15"/>
      <c r="LN129" s="15"/>
      <c r="LO129" s="15"/>
      <c r="LP129" s="15"/>
      <c r="LQ129" s="15"/>
      <c r="LR129" s="15"/>
      <c r="LS129" s="15"/>
      <c r="LT129" s="15"/>
      <c r="LU129" s="15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5"/>
      <c r="MG129" s="15"/>
      <c r="MH129" s="15"/>
      <c r="MI129" s="15"/>
      <c r="MJ129" s="15"/>
      <c r="MK129" s="15"/>
      <c r="ML129" s="15"/>
      <c r="MM129" s="15"/>
      <c r="MN129" s="15"/>
      <c r="MO129" s="15"/>
      <c r="MP129" s="15"/>
      <c r="MQ129" s="15"/>
      <c r="MR129" s="15"/>
      <c r="MS129" s="15"/>
      <c r="MT129" s="15"/>
      <c r="MU129" s="15"/>
      <c r="MV129" s="15"/>
      <c r="MW129" s="15"/>
      <c r="MX129" s="15"/>
      <c r="MY129" s="15"/>
      <c r="MZ129" s="15"/>
      <c r="NA129" s="15"/>
      <c r="NB129" s="15"/>
      <c r="NC129" s="15"/>
      <c r="ND129" s="15"/>
      <c r="NE129" s="15"/>
      <c r="NF129" s="15"/>
      <c r="NG129" s="15"/>
      <c r="NH129" s="15"/>
      <c r="NI129" s="15"/>
      <c r="NJ129" s="15"/>
      <c r="NK129" s="15"/>
      <c r="NL129" s="15"/>
      <c r="NM129" s="15"/>
      <c r="NN129" s="15"/>
      <c r="NO129" s="15"/>
      <c r="NP129" s="15"/>
      <c r="NQ129" s="15"/>
      <c r="NR129" s="15"/>
      <c r="NS129" s="15"/>
      <c r="NT129" s="15"/>
      <c r="NU129" s="15"/>
      <c r="NV129" s="15"/>
      <c r="NW129" s="15"/>
      <c r="NX129" s="15"/>
      <c r="NY129" s="15"/>
      <c r="NZ129" s="15"/>
    </row>
    <row r="130" spans="2:390" ht="19.5" customHeight="1" x14ac:dyDescent="0.45">
      <c r="B130" s="1">
        <f t="shared" si="126"/>
        <v>4</v>
      </c>
      <c r="C130" s="1">
        <f>+C129</f>
        <v>1</v>
      </c>
      <c r="D130" s="1">
        <f>+D129+1</f>
        <v>3</v>
      </c>
      <c r="E130" s="59" t="str">
        <f t="shared" si="125"/>
        <v>4.1.3</v>
      </c>
      <c r="F130" s="23" t="s">
        <v>90</v>
      </c>
      <c r="G130" s="23"/>
      <c r="H130" s="52" t="s">
        <v>117</v>
      </c>
      <c r="I130" s="52"/>
      <c r="J130" s="52">
        <v>10</v>
      </c>
      <c r="K130" s="52">
        <v>0</v>
      </c>
      <c r="L130" s="20">
        <f>+J130-K130</f>
        <v>10</v>
      </c>
      <c r="M130" s="52"/>
      <c r="N130" s="52"/>
      <c r="O130" s="51">
        <f t="shared" ref="O130:O165" si="127">+N130*M130</f>
        <v>0</v>
      </c>
      <c r="P130" s="51">
        <f>+SUM(AA130:NZ130)</f>
        <v>0</v>
      </c>
      <c r="Q130" s="51">
        <f>+O130-P130</f>
        <v>0</v>
      </c>
      <c r="R130" s="153"/>
      <c r="S130" s="154"/>
      <c r="T130" s="155" t="str">
        <f t="shared" si="109"/>
        <v/>
      </c>
      <c r="U130" s="22">
        <f>+K130/J130</f>
        <v>0</v>
      </c>
      <c r="V130" s="199">
        <f t="shared" si="110"/>
        <v>0</v>
      </c>
      <c r="W130" s="158"/>
      <c r="X130" s="159"/>
      <c r="Y130" s="199">
        <f t="shared" si="111"/>
        <v>0</v>
      </c>
      <c r="Z130" s="36"/>
      <c r="AA130" s="15"/>
      <c r="AB130" s="15"/>
      <c r="AC130" s="15"/>
      <c r="AD130" s="15"/>
      <c r="AE130" s="15"/>
      <c r="AF130" s="15"/>
      <c r="AG130" s="184"/>
      <c r="AH130" s="15"/>
      <c r="AI130" s="15"/>
      <c r="AJ130" s="15"/>
      <c r="AK130" s="15"/>
      <c r="AL130" s="15"/>
      <c r="AM130" s="15"/>
      <c r="AN130" s="184"/>
      <c r="AO130" s="15"/>
      <c r="AP130" s="15"/>
      <c r="AQ130" s="15"/>
      <c r="AR130" s="15"/>
      <c r="AS130" s="15"/>
      <c r="AT130" s="15"/>
      <c r="AU130" s="184"/>
      <c r="AV130" s="15"/>
      <c r="AW130" s="15"/>
      <c r="AX130" s="15"/>
      <c r="AY130" s="15"/>
      <c r="AZ130" s="15"/>
      <c r="BA130" s="15"/>
      <c r="BB130" s="184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84"/>
      <c r="CE130" s="15"/>
      <c r="CF130" s="15"/>
      <c r="CG130" s="15"/>
      <c r="CH130" s="15"/>
      <c r="CI130" s="15"/>
      <c r="CJ130" s="15"/>
      <c r="CK130" s="184"/>
      <c r="CL130" s="15"/>
      <c r="CM130" s="15"/>
      <c r="CN130" s="15"/>
      <c r="CO130" s="15"/>
      <c r="CP130" s="15"/>
      <c r="CQ130" s="15"/>
      <c r="CR130" s="184"/>
      <c r="CS130" s="15"/>
      <c r="CT130" s="15"/>
      <c r="CU130" s="15"/>
      <c r="CV130" s="15"/>
      <c r="CW130" s="15"/>
      <c r="CX130" s="15"/>
      <c r="CY130" s="184"/>
      <c r="CZ130" s="15"/>
      <c r="DA130" s="15"/>
      <c r="DB130" s="15"/>
      <c r="DC130" s="15"/>
      <c r="DD130" s="15"/>
      <c r="DE130" s="15"/>
      <c r="DF130" s="184"/>
      <c r="DG130" s="15"/>
      <c r="DH130" s="15"/>
      <c r="DI130" s="15"/>
      <c r="DJ130" s="15"/>
      <c r="DK130" s="15"/>
      <c r="DL130" s="15"/>
      <c r="DM130" s="184"/>
      <c r="DN130" s="15"/>
      <c r="DO130" s="15"/>
      <c r="DP130" s="15"/>
      <c r="DQ130" s="15"/>
      <c r="DR130" s="15"/>
      <c r="DS130" s="15"/>
      <c r="DT130" s="184"/>
      <c r="DU130" s="15"/>
      <c r="DV130" s="15"/>
      <c r="DW130" s="15"/>
      <c r="DX130" s="15"/>
      <c r="DY130" s="15"/>
      <c r="DZ130" s="15"/>
      <c r="EA130" s="184"/>
      <c r="EB130" s="15"/>
      <c r="EC130" s="15"/>
      <c r="ED130" s="15"/>
      <c r="EE130" s="15"/>
      <c r="EF130" s="15"/>
      <c r="EG130" s="15"/>
      <c r="EH130" s="184"/>
      <c r="EI130" s="15"/>
      <c r="EJ130" s="15"/>
      <c r="EK130" s="15"/>
      <c r="EL130" s="15"/>
      <c r="EM130" s="15"/>
      <c r="EN130" s="15"/>
      <c r="EO130" s="184"/>
      <c r="EP130" s="15"/>
      <c r="EQ130" s="15"/>
      <c r="ER130" s="15"/>
      <c r="ES130" s="15"/>
      <c r="ET130" s="15"/>
      <c r="EU130" s="15"/>
      <c r="EV130" s="184"/>
      <c r="EW130" s="15"/>
      <c r="EX130" s="15"/>
      <c r="EY130" s="15"/>
      <c r="EZ130" s="15"/>
      <c r="FA130" s="15"/>
      <c r="FB130" s="15"/>
      <c r="FC130" s="184"/>
      <c r="FD130" s="15"/>
      <c r="FE130" s="15"/>
      <c r="FF130" s="15"/>
      <c r="FG130" s="15"/>
      <c r="FH130" s="15"/>
      <c r="FI130" s="15"/>
      <c r="FJ130" s="184"/>
      <c r="FK130" s="15"/>
      <c r="FL130" s="15"/>
      <c r="FM130" s="15"/>
      <c r="FN130" s="15"/>
      <c r="FO130" s="15"/>
      <c r="FP130" s="15"/>
      <c r="FQ130" s="184"/>
      <c r="FR130" s="15"/>
      <c r="FS130" s="15"/>
      <c r="FT130" s="15"/>
      <c r="FU130" s="15"/>
      <c r="FV130" s="15"/>
      <c r="FW130" s="178"/>
      <c r="FX130" s="184"/>
      <c r="FY130" s="181"/>
      <c r="FZ130" s="15"/>
      <c r="GA130" s="15"/>
      <c r="GB130" s="15"/>
      <c r="GC130" s="15"/>
      <c r="GD130" s="15"/>
      <c r="GE130" s="184"/>
      <c r="GF130" s="15"/>
      <c r="GG130" s="15"/>
      <c r="GH130" s="15"/>
      <c r="GI130" s="15"/>
      <c r="GJ130" s="15"/>
      <c r="GK130" s="15"/>
      <c r="GL130" s="184"/>
      <c r="GM130" s="15"/>
      <c r="GN130" s="15"/>
      <c r="GO130" s="15"/>
      <c r="GP130" s="15"/>
      <c r="GQ130" s="15"/>
      <c r="GR130" s="15"/>
      <c r="GS130" s="184"/>
      <c r="GT130" s="15"/>
      <c r="GU130" s="15"/>
      <c r="GV130" s="15"/>
      <c r="GW130" s="15"/>
      <c r="GX130" s="15"/>
      <c r="GY130" s="15"/>
      <c r="GZ130" s="184"/>
      <c r="HA130" s="15"/>
      <c r="HB130" s="15"/>
      <c r="HC130" s="15"/>
      <c r="HD130" s="15"/>
      <c r="HE130" s="15"/>
      <c r="HF130" s="15"/>
      <c r="HG130" s="184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  <c r="MH130" s="15"/>
      <c r="MI130" s="15"/>
      <c r="MJ130" s="15"/>
      <c r="MK130" s="15"/>
      <c r="ML130" s="15"/>
      <c r="MM130" s="15"/>
      <c r="MN130" s="15"/>
      <c r="MO130" s="15"/>
      <c r="MP130" s="15"/>
      <c r="MQ130" s="15"/>
      <c r="MR130" s="15"/>
      <c r="MS130" s="15"/>
      <c r="MT130" s="15"/>
      <c r="MU130" s="15"/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</row>
    <row r="131" spans="2:390" ht="19.5" customHeight="1" x14ac:dyDescent="0.45">
      <c r="B131" s="1">
        <f t="shared" si="126"/>
        <v>4</v>
      </c>
      <c r="C131" s="1">
        <f>+C130</f>
        <v>1</v>
      </c>
      <c r="D131" s="1">
        <f>+D130+1</f>
        <v>4</v>
      </c>
      <c r="E131" s="59" t="str">
        <f t="shared" si="125"/>
        <v>4.1.4</v>
      </c>
      <c r="F131" s="23" t="s">
        <v>91</v>
      </c>
      <c r="G131" s="191">
        <v>1.5</v>
      </c>
      <c r="H131" s="52" t="s">
        <v>117</v>
      </c>
      <c r="I131" s="52" t="s">
        <v>157</v>
      </c>
      <c r="J131" s="52">
        <v>10</v>
      </c>
      <c r="K131" s="52">
        <v>0</v>
      </c>
      <c r="L131" s="20">
        <f>+J131-K131</f>
        <v>10</v>
      </c>
      <c r="M131" s="52">
        <v>2</v>
      </c>
      <c r="N131" s="52">
        <v>12</v>
      </c>
      <c r="O131" s="51">
        <f t="shared" si="127"/>
        <v>24</v>
      </c>
      <c r="P131" s="51">
        <f>+SUM(AA131:NZ131)</f>
        <v>0</v>
      </c>
      <c r="Q131" s="51">
        <f>+O131-P131</f>
        <v>24</v>
      </c>
      <c r="R131" s="153"/>
      <c r="S131" s="154"/>
      <c r="T131" s="155" t="str">
        <f t="shared" si="109"/>
        <v/>
      </c>
      <c r="U131" s="22">
        <f>+K131/J131</f>
        <v>0</v>
      </c>
      <c r="V131" s="199">
        <f t="shared" si="110"/>
        <v>0</v>
      </c>
      <c r="W131" s="158">
        <f>SUMIFS($AA131:$NZ131, $AA$8:$NZ$8, $W$13)/$O131</f>
        <v>0</v>
      </c>
      <c r="X131" s="159">
        <f t="shared" ref="X131:X156" si="128">SUMIF($AA$9:$NZ$9, "&lt;=" &amp; $W$11,$AA131:$NZ131)/$O131</f>
        <v>0</v>
      </c>
      <c r="Y131" s="199">
        <f t="shared" si="111"/>
        <v>0</v>
      </c>
      <c r="Z131" s="36"/>
      <c r="AA131" s="15"/>
      <c r="AB131" s="15"/>
      <c r="AC131" s="15"/>
      <c r="AD131" s="15"/>
      <c r="AE131" s="15"/>
      <c r="AF131" s="15"/>
      <c r="AG131" s="184"/>
      <c r="AH131" s="15"/>
      <c r="AI131" s="15"/>
      <c r="AJ131" s="15"/>
      <c r="AK131" s="15"/>
      <c r="AL131" s="15"/>
      <c r="AM131" s="15"/>
      <c r="AN131" s="184"/>
      <c r="AO131" s="15"/>
      <c r="AP131" s="15"/>
      <c r="AQ131" s="15"/>
      <c r="AR131" s="15"/>
      <c r="AS131" s="15"/>
      <c r="AT131" s="15"/>
      <c r="AU131" s="184"/>
      <c r="AV131" s="15"/>
      <c r="AW131" s="15"/>
      <c r="AX131" s="15"/>
      <c r="AY131" s="15"/>
      <c r="AZ131" s="15"/>
      <c r="BA131" s="15"/>
      <c r="BB131" s="184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84"/>
      <c r="CE131" s="15"/>
      <c r="CF131" s="15"/>
      <c r="CG131" s="15"/>
      <c r="CH131" s="15"/>
      <c r="CI131" s="15"/>
      <c r="CJ131" s="15"/>
      <c r="CK131" s="184"/>
      <c r="CL131" s="15"/>
      <c r="CM131" s="15"/>
      <c r="CN131" s="15"/>
      <c r="CO131" s="15"/>
      <c r="CP131" s="15"/>
      <c r="CQ131" s="15"/>
      <c r="CR131" s="184"/>
      <c r="CS131" s="15"/>
      <c r="CT131" s="15"/>
      <c r="CU131" s="15"/>
      <c r="CV131" s="15"/>
      <c r="CW131" s="15"/>
      <c r="CX131" s="15"/>
      <c r="CY131" s="184"/>
      <c r="CZ131" s="15"/>
      <c r="DA131" s="15"/>
      <c r="DB131" s="15"/>
      <c r="DC131" s="15"/>
      <c r="DD131" s="15"/>
      <c r="DE131" s="15"/>
      <c r="DF131" s="184"/>
      <c r="DG131" s="15"/>
      <c r="DH131" s="15"/>
      <c r="DI131" s="15"/>
      <c r="DJ131" s="15"/>
      <c r="DK131" s="15"/>
      <c r="DL131" s="15"/>
      <c r="DM131" s="184"/>
      <c r="DN131" s="15"/>
      <c r="DO131" s="15"/>
      <c r="DP131" s="15"/>
      <c r="DQ131" s="15"/>
      <c r="DR131" s="15"/>
      <c r="DS131" s="15"/>
      <c r="DT131" s="184"/>
      <c r="DU131" s="15"/>
      <c r="DV131" s="15"/>
      <c r="DW131" s="15"/>
      <c r="DX131" s="15"/>
      <c r="DY131" s="15"/>
      <c r="DZ131" s="15"/>
      <c r="EA131" s="184"/>
      <c r="EB131" s="15"/>
      <c r="EC131" s="15"/>
      <c r="ED131" s="15"/>
      <c r="EE131" s="15"/>
      <c r="EF131" s="15"/>
      <c r="EG131" s="15"/>
      <c r="EH131" s="184"/>
      <c r="EI131" s="15"/>
      <c r="EJ131" s="15"/>
      <c r="EK131" s="15"/>
      <c r="EL131" s="15"/>
      <c r="EM131" s="15"/>
      <c r="EN131" s="15"/>
      <c r="EO131" s="184"/>
      <c r="EP131" s="15"/>
      <c r="EQ131" s="15"/>
      <c r="ER131" s="15"/>
      <c r="ES131" s="15"/>
      <c r="ET131" s="15"/>
      <c r="EU131" s="15"/>
      <c r="EV131" s="184"/>
      <c r="EW131" s="15"/>
      <c r="EX131" s="15"/>
      <c r="EY131" s="15"/>
      <c r="EZ131" s="15"/>
      <c r="FA131" s="15"/>
      <c r="FB131" s="15"/>
      <c r="FC131" s="184"/>
      <c r="FD131" s="15"/>
      <c r="FE131" s="15"/>
      <c r="FF131" s="15"/>
      <c r="FG131" s="15"/>
      <c r="FH131" s="15"/>
      <c r="FI131" s="15"/>
      <c r="FJ131" s="184"/>
      <c r="FK131" s="15"/>
      <c r="FL131" s="15"/>
      <c r="FM131" s="15"/>
      <c r="FN131" s="15"/>
      <c r="FO131" s="15"/>
      <c r="FP131" s="15"/>
      <c r="FQ131" s="184"/>
      <c r="FR131" s="15"/>
      <c r="FS131" s="15"/>
      <c r="FT131" s="15"/>
      <c r="FU131" s="15"/>
      <c r="FV131" s="15"/>
      <c r="FW131" s="178"/>
      <c r="FX131" s="184"/>
      <c r="FY131" s="181"/>
      <c r="FZ131" s="15"/>
      <c r="GA131" s="15"/>
      <c r="GB131" s="15"/>
      <c r="GC131" s="15"/>
      <c r="GD131" s="15"/>
      <c r="GE131" s="184"/>
      <c r="GF131" s="15"/>
      <c r="GG131" s="15"/>
      <c r="GH131" s="15"/>
      <c r="GI131" s="15"/>
      <c r="GJ131" s="15"/>
      <c r="GK131" s="15"/>
      <c r="GL131" s="184"/>
      <c r="GM131" s="15"/>
      <c r="GN131" s="15"/>
      <c r="GO131" s="15"/>
      <c r="GP131" s="15"/>
      <c r="GQ131" s="15"/>
      <c r="GR131" s="15"/>
      <c r="GS131" s="184"/>
      <c r="GT131" s="15"/>
      <c r="GU131" s="15"/>
      <c r="GV131" s="15"/>
      <c r="GW131" s="15"/>
      <c r="GX131" s="15"/>
      <c r="GY131" s="15"/>
      <c r="GZ131" s="184"/>
      <c r="HA131" s="15"/>
      <c r="HB131" s="15"/>
      <c r="HC131" s="15"/>
      <c r="HD131" s="15"/>
      <c r="HE131" s="15"/>
      <c r="HF131" s="15"/>
      <c r="HG131" s="184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5"/>
      <c r="JV131" s="15"/>
      <c r="JW131" s="15"/>
      <c r="JX131" s="15"/>
      <c r="JY131" s="15"/>
      <c r="JZ131" s="15"/>
      <c r="KA131" s="15"/>
      <c r="KB131" s="15"/>
      <c r="KC131" s="15"/>
      <c r="KD131" s="15"/>
      <c r="KE131" s="15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5"/>
      <c r="KV131" s="15"/>
      <c r="KW131" s="15"/>
      <c r="KX131" s="15"/>
      <c r="KY131" s="15"/>
      <c r="KZ131" s="15"/>
      <c r="LA131" s="15"/>
      <c r="LB131" s="15"/>
      <c r="LC131" s="15"/>
      <c r="LD131" s="15"/>
      <c r="LE131" s="15"/>
      <c r="LF131" s="15"/>
      <c r="LG131" s="15"/>
      <c r="LH131" s="15"/>
      <c r="LI131" s="15"/>
      <c r="LJ131" s="15"/>
      <c r="LK131" s="15"/>
      <c r="LL131" s="15"/>
      <c r="LM131" s="15"/>
      <c r="LN131" s="15"/>
      <c r="LO131" s="15"/>
      <c r="LP131" s="15"/>
      <c r="LQ131" s="15"/>
      <c r="LR131" s="15"/>
      <c r="LS131" s="15"/>
      <c r="LT131" s="15"/>
      <c r="LU131" s="15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5"/>
      <c r="MG131" s="15"/>
      <c r="MH131" s="15"/>
      <c r="MI131" s="15"/>
      <c r="MJ131" s="15"/>
      <c r="MK131" s="15"/>
      <c r="ML131" s="15"/>
      <c r="MM131" s="15"/>
      <c r="MN131" s="15"/>
      <c r="MO131" s="15"/>
      <c r="MP131" s="15"/>
      <c r="MQ131" s="15"/>
      <c r="MR131" s="15"/>
      <c r="MS131" s="15"/>
      <c r="MT131" s="15"/>
      <c r="MU131" s="15"/>
      <c r="MV131" s="15"/>
      <c r="MW131" s="15"/>
      <c r="MX131" s="15"/>
      <c r="MY131" s="15"/>
      <c r="MZ131" s="15"/>
      <c r="NA131" s="15"/>
      <c r="NB131" s="15"/>
      <c r="NC131" s="15"/>
      <c r="ND131" s="15"/>
      <c r="NE131" s="15"/>
      <c r="NF131" s="15"/>
      <c r="NG131" s="15"/>
      <c r="NH131" s="15"/>
      <c r="NI131" s="15"/>
      <c r="NJ131" s="15"/>
      <c r="NK131" s="15"/>
      <c r="NL131" s="15"/>
      <c r="NM131" s="15"/>
      <c r="NN131" s="15"/>
      <c r="NO131" s="15"/>
      <c r="NP131" s="15"/>
      <c r="NQ131" s="15"/>
      <c r="NR131" s="15"/>
      <c r="NS131" s="15"/>
      <c r="NT131" s="15"/>
      <c r="NU131" s="15"/>
      <c r="NV131" s="15"/>
      <c r="NW131" s="15"/>
      <c r="NX131" s="15"/>
      <c r="NY131" s="15"/>
      <c r="NZ131" s="15"/>
    </row>
    <row r="132" spans="2:390" ht="19.5" customHeight="1" x14ac:dyDescent="0.45">
      <c r="B132" s="1">
        <f t="shared" si="126"/>
        <v>4</v>
      </c>
      <c r="C132" s="1">
        <f>+C131+1</f>
        <v>2</v>
      </c>
      <c r="D132" s="1">
        <v>0</v>
      </c>
      <c r="E132" s="93" t="str">
        <f t="shared" si="125"/>
        <v>4.2.0</v>
      </c>
      <c r="F132" s="94" t="s">
        <v>35</v>
      </c>
      <c r="G132" s="94"/>
      <c r="H132" s="95"/>
      <c r="I132" s="95"/>
      <c r="J132" s="96"/>
      <c r="K132" s="96"/>
      <c r="L132" s="97"/>
      <c r="M132" s="94"/>
      <c r="N132" s="94"/>
      <c r="O132" s="95">
        <f>SUM(O133:O135)</f>
        <v>96</v>
      </c>
      <c r="P132" s="95"/>
      <c r="Q132" s="95"/>
      <c r="R132" s="168"/>
      <c r="S132" s="98"/>
      <c r="T132" s="163" t="str">
        <f t="shared" si="109"/>
        <v/>
      </c>
      <c r="U132" s="164">
        <f>+SUMPRODUCT(U133:U135,O133:O135)/O132</f>
        <v>0</v>
      </c>
      <c r="V132" s="200">
        <f t="shared" si="110"/>
        <v>0</v>
      </c>
      <c r="W132" s="158">
        <f>SUMIFS($AA132:$NZ132, $AA$8:$NZ$8, $W$13)/$O132</f>
        <v>0</v>
      </c>
      <c r="X132" s="159">
        <f t="shared" si="128"/>
        <v>0</v>
      </c>
      <c r="Y132" s="199">
        <f t="shared" si="111"/>
        <v>0</v>
      </c>
      <c r="Z132" s="36"/>
      <c r="AA132" s="15"/>
      <c r="AB132" s="15"/>
      <c r="AC132" s="15"/>
      <c r="AD132" s="15"/>
      <c r="AE132" s="15"/>
      <c r="AF132" s="15"/>
      <c r="AG132" s="184"/>
      <c r="AH132" s="15"/>
      <c r="AI132" s="15"/>
      <c r="AJ132" s="15"/>
      <c r="AK132" s="15"/>
      <c r="AL132" s="15"/>
      <c r="AM132" s="15"/>
      <c r="AN132" s="184"/>
      <c r="AO132" s="15"/>
      <c r="AP132" s="15"/>
      <c r="AQ132" s="15"/>
      <c r="AR132" s="15"/>
      <c r="AS132" s="15"/>
      <c r="AT132" s="15"/>
      <c r="AU132" s="184"/>
      <c r="AV132" s="15"/>
      <c r="AW132" s="15"/>
      <c r="AX132" s="15"/>
      <c r="AY132" s="15"/>
      <c r="AZ132" s="15"/>
      <c r="BA132" s="15"/>
      <c r="BB132" s="184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84"/>
      <c r="CE132" s="15"/>
      <c r="CF132" s="15"/>
      <c r="CG132" s="15"/>
      <c r="CH132" s="15"/>
      <c r="CI132" s="15"/>
      <c r="CJ132" s="15"/>
      <c r="CK132" s="184"/>
      <c r="CL132" s="15"/>
      <c r="CM132" s="15"/>
      <c r="CN132" s="15"/>
      <c r="CO132" s="15"/>
      <c r="CP132" s="15"/>
      <c r="CQ132" s="15"/>
      <c r="CR132" s="184"/>
      <c r="CS132" s="15"/>
      <c r="CT132" s="15"/>
      <c r="CU132" s="15"/>
      <c r="CV132" s="15"/>
      <c r="CW132" s="15"/>
      <c r="CX132" s="15"/>
      <c r="CY132" s="184"/>
      <c r="CZ132" s="15"/>
      <c r="DA132" s="15"/>
      <c r="DB132" s="15"/>
      <c r="DC132" s="15"/>
      <c r="DD132" s="15"/>
      <c r="DE132" s="15"/>
      <c r="DF132" s="184"/>
      <c r="DG132" s="15"/>
      <c r="DH132" s="15"/>
      <c r="DI132" s="15"/>
      <c r="DJ132" s="15"/>
      <c r="DK132" s="15"/>
      <c r="DL132" s="15"/>
      <c r="DM132" s="184"/>
      <c r="DN132" s="15"/>
      <c r="DO132" s="15"/>
      <c r="DP132" s="15"/>
      <c r="DQ132" s="15"/>
      <c r="DR132" s="15"/>
      <c r="DS132" s="15"/>
      <c r="DT132" s="184"/>
      <c r="DU132" s="15"/>
      <c r="DV132" s="15"/>
      <c r="DW132" s="15"/>
      <c r="DX132" s="15"/>
      <c r="DY132" s="15"/>
      <c r="DZ132" s="15"/>
      <c r="EA132" s="184"/>
      <c r="EB132" s="15"/>
      <c r="EC132" s="15"/>
      <c r="ED132" s="15"/>
      <c r="EE132" s="15"/>
      <c r="EF132" s="15"/>
      <c r="EG132" s="15"/>
      <c r="EH132" s="184"/>
      <c r="EI132" s="15"/>
      <c r="EJ132" s="15"/>
      <c r="EK132" s="15"/>
      <c r="EL132" s="15"/>
      <c r="EM132" s="15"/>
      <c r="EN132" s="15"/>
      <c r="EO132" s="184"/>
      <c r="EP132" s="15"/>
      <c r="EQ132" s="15"/>
      <c r="ER132" s="15"/>
      <c r="ES132" s="15"/>
      <c r="ET132" s="15"/>
      <c r="EU132" s="15"/>
      <c r="EV132" s="184"/>
      <c r="EW132" s="15"/>
      <c r="EX132" s="15"/>
      <c r="EY132" s="15"/>
      <c r="EZ132" s="15"/>
      <c r="FA132" s="15"/>
      <c r="FB132" s="15"/>
      <c r="FC132" s="184"/>
      <c r="FD132" s="15"/>
      <c r="FE132" s="15"/>
      <c r="FF132" s="15"/>
      <c r="FG132" s="15"/>
      <c r="FH132" s="15"/>
      <c r="FI132" s="15"/>
      <c r="FJ132" s="184"/>
      <c r="FK132" s="15"/>
      <c r="FL132" s="15"/>
      <c r="FM132" s="15"/>
      <c r="FN132" s="15"/>
      <c r="FO132" s="15"/>
      <c r="FP132" s="15"/>
      <c r="FQ132" s="184"/>
      <c r="FR132" s="15"/>
      <c r="FS132" s="15"/>
      <c r="FT132" s="15"/>
      <c r="FU132" s="15"/>
      <c r="FV132" s="15"/>
      <c r="FW132" s="178"/>
      <c r="FX132" s="184"/>
      <c r="FY132" s="181"/>
      <c r="FZ132" s="15"/>
      <c r="GA132" s="15"/>
      <c r="GB132" s="15"/>
      <c r="GC132" s="15"/>
      <c r="GD132" s="15"/>
      <c r="GE132" s="184"/>
      <c r="GF132" s="15"/>
      <c r="GG132" s="15"/>
      <c r="GH132" s="15"/>
      <c r="GI132" s="15"/>
      <c r="GJ132" s="15"/>
      <c r="GK132" s="15"/>
      <c r="GL132" s="184"/>
      <c r="GM132" s="15"/>
      <c r="GN132" s="15"/>
      <c r="GO132" s="15"/>
      <c r="GP132" s="15"/>
      <c r="GQ132" s="15"/>
      <c r="GR132" s="15"/>
      <c r="GS132" s="184"/>
      <c r="GT132" s="15"/>
      <c r="GU132" s="15"/>
      <c r="GV132" s="15"/>
      <c r="GW132" s="15"/>
      <c r="GX132" s="15"/>
      <c r="GY132" s="15"/>
      <c r="GZ132" s="184"/>
      <c r="HA132" s="15"/>
      <c r="HB132" s="15"/>
      <c r="HC132" s="15"/>
      <c r="HD132" s="15"/>
      <c r="HE132" s="15"/>
      <c r="HF132" s="15"/>
      <c r="HG132" s="184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  <c r="JT132" s="15"/>
      <c r="JU132" s="15"/>
      <c r="JV132" s="15"/>
      <c r="JW132" s="15"/>
      <c r="JX132" s="15"/>
      <c r="JY132" s="15"/>
      <c r="JZ132" s="15"/>
      <c r="KA132" s="15"/>
      <c r="KB132" s="15"/>
      <c r="KC132" s="15"/>
      <c r="KD132" s="15"/>
      <c r="KE132" s="15"/>
      <c r="KF132" s="15"/>
      <c r="KG132" s="15"/>
      <c r="KH132" s="15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5"/>
      <c r="KT132" s="15"/>
      <c r="KU132" s="15"/>
      <c r="KV132" s="15"/>
      <c r="KW132" s="15"/>
      <c r="KX132" s="15"/>
      <c r="KY132" s="15"/>
      <c r="KZ132" s="15"/>
      <c r="LA132" s="15"/>
      <c r="LB132" s="15"/>
      <c r="LC132" s="15"/>
      <c r="LD132" s="15"/>
      <c r="LE132" s="15"/>
      <c r="LF132" s="15"/>
      <c r="LG132" s="15"/>
      <c r="LH132" s="15"/>
      <c r="LI132" s="15"/>
      <c r="LJ132" s="15"/>
      <c r="LK132" s="15"/>
      <c r="LL132" s="15"/>
      <c r="LM132" s="15"/>
      <c r="LN132" s="15"/>
      <c r="LO132" s="15"/>
      <c r="LP132" s="15"/>
      <c r="LQ132" s="15"/>
      <c r="LR132" s="15"/>
      <c r="LS132" s="15"/>
      <c r="LT132" s="15"/>
      <c r="LU132" s="15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5"/>
      <c r="MG132" s="15"/>
      <c r="MH132" s="15"/>
      <c r="MI132" s="15"/>
      <c r="MJ132" s="15"/>
      <c r="MK132" s="15"/>
      <c r="ML132" s="15"/>
      <c r="MM132" s="15"/>
      <c r="MN132" s="15"/>
      <c r="MO132" s="15"/>
      <c r="MP132" s="15"/>
      <c r="MQ132" s="15"/>
      <c r="MR132" s="15"/>
      <c r="MS132" s="15"/>
      <c r="MT132" s="15"/>
      <c r="MU132" s="15"/>
      <c r="MV132" s="15"/>
      <c r="MW132" s="15"/>
      <c r="MX132" s="15"/>
      <c r="MY132" s="15"/>
      <c r="MZ132" s="15"/>
      <c r="NA132" s="15"/>
      <c r="NB132" s="15"/>
      <c r="NC132" s="15"/>
      <c r="ND132" s="15"/>
      <c r="NE132" s="15"/>
      <c r="NF132" s="15"/>
      <c r="NG132" s="15"/>
      <c r="NH132" s="15"/>
      <c r="NI132" s="15"/>
      <c r="NJ132" s="15"/>
      <c r="NK132" s="15"/>
      <c r="NL132" s="15"/>
      <c r="NM132" s="15"/>
      <c r="NN132" s="15"/>
      <c r="NO132" s="15"/>
      <c r="NP132" s="15"/>
      <c r="NQ132" s="15"/>
      <c r="NR132" s="15"/>
      <c r="NS132" s="15"/>
      <c r="NT132" s="15"/>
      <c r="NU132" s="15"/>
      <c r="NV132" s="15"/>
      <c r="NW132" s="15"/>
      <c r="NX132" s="15"/>
      <c r="NY132" s="15"/>
      <c r="NZ132" s="15"/>
    </row>
    <row r="133" spans="2:390" ht="19.5" customHeight="1" x14ac:dyDescent="0.45">
      <c r="B133" s="1">
        <f t="shared" si="126"/>
        <v>4</v>
      </c>
      <c r="C133" s="1">
        <f>+C132</f>
        <v>2</v>
      </c>
      <c r="D133" s="1">
        <f>+D132+1</f>
        <v>1</v>
      </c>
      <c r="E133" s="59" t="str">
        <f t="shared" si="125"/>
        <v>4.2.1</v>
      </c>
      <c r="F133" s="23" t="s">
        <v>122</v>
      </c>
      <c r="G133" s="191">
        <v>1</v>
      </c>
      <c r="H133" s="52" t="s">
        <v>117</v>
      </c>
      <c r="I133" s="52" t="s">
        <v>158</v>
      </c>
      <c r="J133" s="52">
        <f>28*1+62*3</f>
        <v>214</v>
      </c>
      <c r="K133" s="52">
        <v>0</v>
      </c>
      <c r="L133" s="20">
        <f>+J133-K133</f>
        <v>214</v>
      </c>
      <c r="M133" s="52">
        <v>2</v>
      </c>
      <c r="N133" s="52">
        <v>24</v>
      </c>
      <c r="O133" s="51">
        <f t="shared" si="127"/>
        <v>48</v>
      </c>
      <c r="P133" s="51">
        <f>+SUM(AA133:NZ133)</f>
        <v>48</v>
      </c>
      <c r="Q133" s="51">
        <f>+O133-P133</f>
        <v>0</v>
      </c>
      <c r="R133" s="19">
        <v>46111</v>
      </c>
      <c r="S133" s="20">
        <v>10</v>
      </c>
      <c r="T133" s="21">
        <f t="shared" si="109"/>
        <v>46122</v>
      </c>
      <c r="U133" s="22">
        <f>+K133/J133</f>
        <v>0</v>
      </c>
      <c r="V133" s="199">
        <f t="shared" si="110"/>
        <v>0</v>
      </c>
      <c r="W133" s="158">
        <f>SUMIFS($AA133:$NZ133, $AA$8:$NZ$8, $W$13)/$O133</f>
        <v>0</v>
      </c>
      <c r="X133" s="159">
        <f t="shared" si="128"/>
        <v>0</v>
      </c>
      <c r="Y133" s="199">
        <f t="shared" si="111"/>
        <v>0</v>
      </c>
      <c r="Z133" s="36"/>
      <c r="AA133" s="15"/>
      <c r="AB133" s="15"/>
      <c r="AC133" s="15"/>
      <c r="AD133" s="15"/>
      <c r="AE133" s="15"/>
      <c r="AF133" s="15"/>
      <c r="AG133" s="184"/>
      <c r="AH133" s="15"/>
      <c r="AI133" s="15"/>
      <c r="AJ133" s="15"/>
      <c r="AK133" s="15"/>
      <c r="AL133" s="15"/>
      <c r="AM133" s="15"/>
      <c r="AN133" s="184"/>
      <c r="AO133" s="15"/>
      <c r="AP133" s="15"/>
      <c r="AQ133" s="15"/>
      <c r="AR133" s="15"/>
      <c r="AS133" s="15"/>
      <c r="AT133" s="15"/>
      <c r="AU133" s="184"/>
      <c r="AV133" s="15"/>
      <c r="AW133" s="15"/>
      <c r="AX133" s="15"/>
      <c r="AY133" s="15"/>
      <c r="AZ133" s="15"/>
      <c r="BA133" s="15"/>
      <c r="BB133" s="184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84"/>
      <c r="CE133" s="15"/>
      <c r="CF133" s="15"/>
      <c r="CG133" s="15"/>
      <c r="CH133" s="15"/>
      <c r="CI133" s="15"/>
      <c r="CJ133" s="15"/>
      <c r="CK133" s="184"/>
      <c r="CL133" s="15"/>
      <c r="CM133" s="15"/>
      <c r="CN133" s="15"/>
      <c r="CO133" s="15"/>
      <c r="CP133" s="15"/>
      <c r="CQ133" s="15"/>
      <c r="CR133" s="184"/>
      <c r="CS133" s="15"/>
      <c r="CT133" s="15"/>
      <c r="CU133" s="15"/>
      <c r="CV133" s="15"/>
      <c r="CW133" s="15"/>
      <c r="CX133" s="15"/>
      <c r="CY133" s="184"/>
      <c r="CZ133" s="15"/>
      <c r="DA133" s="15"/>
      <c r="DB133" s="15"/>
      <c r="DC133" s="15"/>
      <c r="DD133" s="15"/>
      <c r="DE133" s="15"/>
      <c r="DF133" s="184"/>
      <c r="DG133" s="15"/>
      <c r="DH133" s="15"/>
      <c r="DI133" s="15"/>
      <c r="DJ133" s="15"/>
      <c r="DK133" s="15"/>
      <c r="DL133" s="15"/>
      <c r="DM133" s="184"/>
      <c r="DN133" s="15"/>
      <c r="DO133" s="15"/>
      <c r="DP133" s="15"/>
      <c r="DQ133" s="15"/>
      <c r="DR133" s="15"/>
      <c r="DS133" s="15"/>
      <c r="DT133" s="184"/>
      <c r="DU133" s="15"/>
      <c r="DV133" s="15"/>
      <c r="DW133" s="15"/>
      <c r="DX133" s="15"/>
      <c r="DY133" s="15"/>
      <c r="DZ133" s="15"/>
      <c r="EA133" s="184"/>
      <c r="EB133" s="15"/>
      <c r="EC133" s="15"/>
      <c r="ED133" s="15"/>
      <c r="EE133" s="15"/>
      <c r="EF133" s="15"/>
      <c r="EG133" s="15"/>
      <c r="EH133" s="184"/>
      <c r="EI133" s="15"/>
      <c r="EJ133" s="15"/>
      <c r="EK133" s="15"/>
      <c r="EL133" s="15"/>
      <c r="EM133" s="15"/>
      <c r="EN133" s="15"/>
      <c r="EO133" s="184"/>
      <c r="EP133" s="15"/>
      <c r="EQ133" s="15"/>
      <c r="ER133" s="15"/>
      <c r="ES133" s="15"/>
      <c r="ET133" s="15"/>
      <c r="EU133" s="15"/>
      <c r="EV133" s="184"/>
      <c r="EW133" s="15">
        <v>4</v>
      </c>
      <c r="EX133" s="15">
        <v>4</v>
      </c>
      <c r="EY133" s="15">
        <v>4</v>
      </c>
      <c r="EZ133" s="15">
        <v>4</v>
      </c>
      <c r="FA133" s="15">
        <v>4</v>
      </c>
      <c r="FB133" s="15">
        <v>4</v>
      </c>
      <c r="FC133" s="184"/>
      <c r="FD133" s="15">
        <v>4</v>
      </c>
      <c r="FE133" s="15">
        <v>4</v>
      </c>
      <c r="FF133" s="15">
        <v>4</v>
      </c>
      <c r="FG133" s="15">
        <v>4</v>
      </c>
      <c r="FH133" s="15">
        <v>4</v>
      </c>
      <c r="FI133" s="15">
        <v>4</v>
      </c>
      <c r="FJ133" s="184"/>
      <c r="FK133" s="15"/>
      <c r="FL133" s="15"/>
      <c r="FM133" s="15"/>
      <c r="FN133" s="15"/>
      <c r="FO133" s="15"/>
      <c r="FP133" s="15"/>
      <c r="FQ133" s="184"/>
      <c r="FR133" s="15"/>
      <c r="FS133" s="15"/>
      <c r="FT133" s="15"/>
      <c r="FU133" s="15"/>
      <c r="FV133" s="15"/>
      <c r="FW133" s="178"/>
      <c r="FX133" s="184"/>
      <c r="FY133" s="181"/>
      <c r="FZ133" s="15"/>
      <c r="GA133" s="15"/>
      <c r="GB133" s="15"/>
      <c r="GC133" s="15"/>
      <c r="GD133" s="15"/>
      <c r="GE133" s="184"/>
      <c r="GF133" s="15"/>
      <c r="GG133" s="15"/>
      <c r="GH133" s="15"/>
      <c r="GI133" s="15"/>
      <c r="GJ133" s="15"/>
      <c r="GK133" s="15"/>
      <c r="GL133" s="184"/>
      <c r="GM133" s="15"/>
      <c r="GN133" s="15"/>
      <c r="GO133" s="15"/>
      <c r="GP133" s="15"/>
      <c r="GQ133" s="15"/>
      <c r="GR133" s="15"/>
      <c r="GS133" s="184"/>
      <c r="GT133" s="15"/>
      <c r="GU133" s="15"/>
      <c r="GV133" s="15"/>
      <c r="GW133" s="15"/>
      <c r="GX133" s="15"/>
      <c r="GY133" s="15"/>
      <c r="GZ133" s="184"/>
      <c r="HA133" s="15"/>
      <c r="HB133" s="15"/>
      <c r="HC133" s="15"/>
      <c r="HD133" s="15"/>
      <c r="HE133" s="15"/>
      <c r="HF133" s="15"/>
      <c r="HG133" s="184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/>
      <c r="LI133" s="15"/>
      <c r="LJ133" s="15"/>
      <c r="LK133" s="15"/>
      <c r="LL133" s="15"/>
      <c r="LM133" s="15"/>
      <c r="LN133" s="15"/>
      <c r="LO133" s="15"/>
      <c r="LP133" s="15"/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  <c r="MG133" s="15"/>
      <c r="MH133" s="15"/>
      <c r="MI133" s="15"/>
      <c r="MJ133" s="15"/>
      <c r="MK133" s="15"/>
      <c r="ML133" s="15"/>
      <c r="MM133" s="15"/>
      <c r="MN133" s="15"/>
      <c r="MO133" s="15"/>
      <c r="MP133" s="15"/>
      <c r="MQ133" s="15"/>
      <c r="MR133" s="15"/>
      <c r="MS133" s="15"/>
      <c r="MT133" s="15"/>
      <c r="MU133" s="15"/>
      <c r="MV133" s="15"/>
      <c r="MW133" s="15"/>
      <c r="MX133" s="15"/>
      <c r="MY133" s="15"/>
      <c r="MZ133" s="15"/>
      <c r="NA133" s="15"/>
      <c r="NB133" s="15"/>
      <c r="NC133" s="15"/>
      <c r="ND133" s="15"/>
      <c r="NE133" s="15"/>
      <c r="NF133" s="15"/>
      <c r="NG133" s="15"/>
      <c r="NH133" s="15"/>
      <c r="NI133" s="15"/>
      <c r="NJ133" s="15"/>
      <c r="NK133" s="15"/>
      <c r="NL133" s="15"/>
      <c r="NM133" s="15"/>
      <c r="NN133" s="15"/>
      <c r="NO133" s="15"/>
      <c r="NP133" s="15"/>
      <c r="NQ133" s="15"/>
      <c r="NR133" s="15"/>
      <c r="NS133" s="15"/>
      <c r="NT133" s="15"/>
      <c r="NU133" s="15"/>
      <c r="NV133" s="15"/>
      <c r="NW133" s="15"/>
      <c r="NX133" s="15"/>
      <c r="NY133" s="15"/>
      <c r="NZ133" s="15"/>
    </row>
    <row r="134" spans="2:390" ht="19.5" customHeight="1" x14ac:dyDescent="0.45">
      <c r="B134" s="1">
        <f t="shared" si="126"/>
        <v>4</v>
      </c>
      <c r="C134" s="1">
        <f>+C133</f>
        <v>2</v>
      </c>
      <c r="D134" s="1">
        <f>+D133+1</f>
        <v>2</v>
      </c>
      <c r="E134" s="59" t="str">
        <f t="shared" si="125"/>
        <v>4.2.2</v>
      </c>
      <c r="F134" s="23" t="s">
        <v>123</v>
      </c>
      <c r="G134" s="191">
        <v>1</v>
      </c>
      <c r="H134" s="52" t="s">
        <v>117</v>
      </c>
      <c r="I134" s="52" t="s">
        <v>156</v>
      </c>
      <c r="J134" s="52">
        <v>90</v>
      </c>
      <c r="K134" s="52">
        <v>0</v>
      </c>
      <c r="L134" s="20">
        <f>+J134-K134</f>
        <v>90</v>
      </c>
      <c r="M134" s="52">
        <v>2</v>
      </c>
      <c r="N134" s="52">
        <v>12</v>
      </c>
      <c r="O134" s="51">
        <f t="shared" si="127"/>
        <v>24</v>
      </c>
      <c r="P134" s="51">
        <f>+SUM(AA134:NZ134)</f>
        <v>24</v>
      </c>
      <c r="Q134" s="51">
        <f>+O134-P134</f>
        <v>0</v>
      </c>
      <c r="R134" s="19">
        <v>46121</v>
      </c>
      <c r="S134" s="20">
        <v>5</v>
      </c>
      <c r="T134" s="21">
        <f t="shared" si="109"/>
        <v>46127</v>
      </c>
      <c r="U134" s="22">
        <f>+K134/J134</f>
        <v>0</v>
      </c>
      <c r="V134" s="199">
        <f t="shared" si="110"/>
        <v>0</v>
      </c>
      <c r="W134" s="158">
        <f>SUMIFS($AA134:$NZ134, $AA$8:$NZ$8, $W$13)/$O134</f>
        <v>0</v>
      </c>
      <c r="X134" s="159">
        <f t="shared" si="128"/>
        <v>0</v>
      </c>
      <c r="Y134" s="199">
        <f t="shared" si="111"/>
        <v>0</v>
      </c>
      <c r="Z134" s="36"/>
      <c r="AA134" s="15"/>
      <c r="AB134" s="15"/>
      <c r="AC134" s="15"/>
      <c r="AD134" s="15"/>
      <c r="AE134" s="15"/>
      <c r="AF134" s="15"/>
      <c r="AG134" s="184"/>
      <c r="AH134" s="15"/>
      <c r="AI134" s="15"/>
      <c r="AJ134" s="15"/>
      <c r="AK134" s="15"/>
      <c r="AL134" s="15"/>
      <c r="AM134" s="15"/>
      <c r="AN134" s="184"/>
      <c r="AO134" s="15"/>
      <c r="AP134" s="15"/>
      <c r="AQ134" s="15"/>
      <c r="AR134" s="15"/>
      <c r="AS134" s="15"/>
      <c r="AT134" s="15"/>
      <c r="AU134" s="184"/>
      <c r="AV134" s="15"/>
      <c r="AW134" s="15"/>
      <c r="AX134" s="15"/>
      <c r="AY134" s="15"/>
      <c r="AZ134" s="15"/>
      <c r="BA134" s="15"/>
      <c r="BB134" s="184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84"/>
      <c r="CE134" s="15"/>
      <c r="CF134" s="15"/>
      <c r="CG134" s="15"/>
      <c r="CH134" s="15"/>
      <c r="CI134" s="15"/>
      <c r="CJ134" s="15"/>
      <c r="CK134" s="184"/>
      <c r="CL134" s="15"/>
      <c r="CM134" s="15"/>
      <c r="CN134" s="15"/>
      <c r="CO134" s="15"/>
      <c r="CP134" s="15"/>
      <c r="CQ134" s="15"/>
      <c r="CR134" s="184"/>
      <c r="CS134" s="15"/>
      <c r="CT134" s="15"/>
      <c r="CU134" s="15"/>
      <c r="CV134" s="15"/>
      <c r="CW134" s="15"/>
      <c r="CX134" s="15"/>
      <c r="CY134" s="184"/>
      <c r="CZ134" s="15"/>
      <c r="DA134" s="15"/>
      <c r="DB134" s="15"/>
      <c r="DC134" s="15"/>
      <c r="DD134" s="15"/>
      <c r="DE134" s="15"/>
      <c r="DF134" s="184"/>
      <c r="DG134" s="15"/>
      <c r="DH134" s="15"/>
      <c r="DI134" s="15"/>
      <c r="DJ134" s="15"/>
      <c r="DK134" s="15"/>
      <c r="DL134" s="15"/>
      <c r="DM134" s="184"/>
      <c r="DN134" s="15"/>
      <c r="DO134" s="15"/>
      <c r="DP134" s="15"/>
      <c r="DQ134" s="15"/>
      <c r="DR134" s="15"/>
      <c r="DS134" s="15"/>
      <c r="DT134" s="184"/>
      <c r="DU134" s="15"/>
      <c r="DV134" s="15"/>
      <c r="DW134" s="15"/>
      <c r="DX134" s="15"/>
      <c r="DY134" s="15"/>
      <c r="DZ134" s="15"/>
      <c r="EA134" s="184"/>
      <c r="EB134" s="15"/>
      <c r="EC134" s="15"/>
      <c r="ED134" s="15"/>
      <c r="EE134" s="15"/>
      <c r="EF134" s="15"/>
      <c r="EG134" s="15"/>
      <c r="EH134" s="184"/>
      <c r="EI134" s="15"/>
      <c r="EJ134" s="15"/>
      <c r="EK134" s="15"/>
      <c r="EL134" s="15"/>
      <c r="EM134" s="15"/>
      <c r="EN134" s="15"/>
      <c r="EO134" s="184"/>
      <c r="EP134" s="15"/>
      <c r="EQ134" s="15"/>
      <c r="ER134" s="15"/>
      <c r="ES134" s="15"/>
      <c r="ET134" s="15"/>
      <c r="EU134" s="15"/>
      <c r="EV134" s="184"/>
      <c r="EW134" s="15"/>
      <c r="EX134" s="15"/>
      <c r="EY134" s="15"/>
      <c r="EZ134" s="15"/>
      <c r="FA134" s="15"/>
      <c r="FB134" s="15"/>
      <c r="FC134" s="184"/>
      <c r="FD134" s="15"/>
      <c r="FE134" s="15"/>
      <c r="FF134" s="15"/>
      <c r="FG134" s="15">
        <v>4</v>
      </c>
      <c r="FH134" s="15">
        <v>4</v>
      </c>
      <c r="FI134" s="15">
        <v>4</v>
      </c>
      <c r="FJ134" s="184"/>
      <c r="FK134" s="15">
        <v>4</v>
      </c>
      <c r="FL134" s="15">
        <v>4</v>
      </c>
      <c r="FM134" s="15">
        <v>4</v>
      </c>
      <c r="FN134" s="15"/>
      <c r="FO134" s="15"/>
      <c r="FP134" s="15"/>
      <c r="FQ134" s="184"/>
      <c r="FR134" s="15"/>
      <c r="FS134" s="15"/>
      <c r="FT134" s="15"/>
      <c r="FU134" s="15"/>
      <c r="FV134" s="15"/>
      <c r="FW134" s="178"/>
      <c r="FX134" s="184"/>
      <c r="FY134" s="181"/>
      <c r="FZ134" s="15"/>
      <c r="GA134" s="15"/>
      <c r="GB134" s="15"/>
      <c r="GC134" s="15"/>
      <c r="GD134" s="15"/>
      <c r="GE134" s="184"/>
      <c r="GF134" s="15"/>
      <c r="GG134" s="15"/>
      <c r="GH134" s="15"/>
      <c r="GI134" s="15"/>
      <c r="GJ134" s="15"/>
      <c r="GK134" s="15"/>
      <c r="GL134" s="184"/>
      <c r="GM134" s="15"/>
      <c r="GN134" s="15"/>
      <c r="GO134" s="15"/>
      <c r="GP134" s="15"/>
      <c r="GQ134" s="15"/>
      <c r="GR134" s="15"/>
      <c r="GS134" s="184"/>
      <c r="GT134" s="15"/>
      <c r="GU134" s="15"/>
      <c r="GV134" s="15"/>
      <c r="GW134" s="15"/>
      <c r="GX134" s="15"/>
      <c r="GY134" s="15"/>
      <c r="GZ134" s="184"/>
      <c r="HA134" s="15"/>
      <c r="HB134" s="15"/>
      <c r="HC134" s="15"/>
      <c r="HD134" s="15"/>
      <c r="HE134" s="15"/>
      <c r="HF134" s="15"/>
      <c r="HG134" s="184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5"/>
      <c r="JL134" s="15"/>
      <c r="JM134" s="15"/>
      <c r="JN134" s="15"/>
      <c r="JO134" s="15"/>
      <c r="JP134" s="15"/>
      <c r="JQ134" s="15"/>
      <c r="JR134" s="15"/>
      <c r="JS134" s="15"/>
      <c r="JT134" s="15"/>
      <c r="JU134" s="15"/>
      <c r="JV134" s="15"/>
      <c r="JW134" s="15"/>
      <c r="JX134" s="15"/>
      <c r="JY134" s="15"/>
      <c r="JZ134" s="15"/>
      <c r="KA134" s="15"/>
      <c r="KB134" s="15"/>
      <c r="KC134" s="15"/>
      <c r="KD134" s="15"/>
      <c r="KE134" s="15"/>
      <c r="KF134" s="15"/>
      <c r="KG134" s="15"/>
      <c r="KH134" s="15"/>
      <c r="KI134" s="15"/>
      <c r="KJ134" s="15"/>
      <c r="KK134" s="15"/>
      <c r="KL134" s="15"/>
      <c r="KM134" s="15"/>
      <c r="KN134" s="15"/>
      <c r="KO134" s="15"/>
      <c r="KP134" s="15"/>
      <c r="KQ134" s="15"/>
      <c r="KR134" s="15"/>
      <c r="KS134" s="15"/>
      <c r="KT134" s="15"/>
      <c r="KU134" s="15"/>
      <c r="KV134" s="15"/>
      <c r="KW134" s="15"/>
      <c r="KX134" s="15"/>
      <c r="KY134" s="15"/>
      <c r="KZ134" s="15"/>
      <c r="LA134" s="15"/>
      <c r="LB134" s="15"/>
      <c r="LC134" s="15"/>
      <c r="LD134" s="15"/>
      <c r="LE134" s="15"/>
      <c r="LF134" s="15"/>
      <c r="LG134" s="15"/>
      <c r="LH134" s="15"/>
      <c r="LI134" s="15"/>
      <c r="LJ134" s="15"/>
      <c r="LK134" s="15"/>
      <c r="LL134" s="15"/>
      <c r="LM134" s="15"/>
      <c r="LN134" s="15"/>
      <c r="LO134" s="15"/>
      <c r="LP134" s="15"/>
      <c r="LQ134" s="15"/>
      <c r="LR134" s="15"/>
      <c r="LS134" s="15"/>
      <c r="LT134" s="15"/>
      <c r="LU134" s="15"/>
      <c r="LV134" s="15"/>
      <c r="LW134" s="15"/>
      <c r="LX134" s="15"/>
      <c r="LY134" s="15"/>
      <c r="LZ134" s="15"/>
      <c r="MA134" s="15"/>
      <c r="MB134" s="15"/>
      <c r="MC134" s="15"/>
      <c r="MD134" s="15"/>
      <c r="ME134" s="15"/>
      <c r="MF134" s="15"/>
      <c r="MG134" s="15"/>
      <c r="MH134" s="15"/>
      <c r="MI134" s="15"/>
      <c r="MJ134" s="15"/>
      <c r="MK134" s="15"/>
      <c r="ML134" s="15"/>
      <c r="MM134" s="15"/>
      <c r="MN134" s="15"/>
      <c r="MO134" s="15"/>
      <c r="MP134" s="15"/>
      <c r="MQ134" s="15"/>
      <c r="MR134" s="15"/>
      <c r="MS134" s="15"/>
      <c r="MT134" s="15"/>
      <c r="MU134" s="15"/>
      <c r="MV134" s="15"/>
      <c r="MW134" s="15"/>
      <c r="MX134" s="15"/>
      <c r="MY134" s="15"/>
      <c r="MZ134" s="15"/>
      <c r="NA134" s="15"/>
      <c r="NB134" s="15"/>
      <c r="NC134" s="15"/>
      <c r="ND134" s="15"/>
      <c r="NE134" s="15"/>
      <c r="NF134" s="15"/>
      <c r="NG134" s="15"/>
      <c r="NH134" s="15"/>
      <c r="NI134" s="15"/>
      <c r="NJ134" s="15"/>
      <c r="NK134" s="15"/>
      <c r="NL134" s="15"/>
      <c r="NM134" s="15"/>
      <c r="NN134" s="15"/>
      <c r="NO134" s="15"/>
      <c r="NP134" s="15"/>
      <c r="NQ134" s="15"/>
      <c r="NR134" s="15"/>
      <c r="NS134" s="15"/>
      <c r="NT134" s="15"/>
      <c r="NU134" s="15"/>
      <c r="NV134" s="15"/>
      <c r="NW134" s="15"/>
      <c r="NX134" s="15"/>
      <c r="NY134" s="15"/>
      <c r="NZ134" s="15"/>
    </row>
    <row r="135" spans="2:390" ht="19.5" customHeight="1" x14ac:dyDescent="0.45">
      <c r="B135" s="1">
        <f t="shared" si="126"/>
        <v>4</v>
      </c>
      <c r="C135" s="1">
        <f>+C134</f>
        <v>2</v>
      </c>
      <c r="D135" s="1">
        <f>+D134+1</f>
        <v>3</v>
      </c>
      <c r="E135" s="59" t="str">
        <f t="shared" si="125"/>
        <v>4.2.3</v>
      </c>
      <c r="F135" s="23" t="s">
        <v>124</v>
      </c>
      <c r="G135" s="191">
        <v>1</v>
      </c>
      <c r="H135" s="52" t="s">
        <v>117</v>
      </c>
      <c r="I135" s="52" t="s">
        <v>156</v>
      </c>
      <c r="J135" s="52">
        <v>90</v>
      </c>
      <c r="K135" s="52">
        <v>0</v>
      </c>
      <c r="L135" s="20">
        <f>+J135-K135</f>
        <v>90</v>
      </c>
      <c r="M135" s="52">
        <v>2</v>
      </c>
      <c r="N135" s="52">
        <v>12</v>
      </c>
      <c r="O135" s="51">
        <f t="shared" si="127"/>
        <v>24</v>
      </c>
      <c r="P135" s="51">
        <f>+SUM(AA135:NZ135)</f>
        <v>24</v>
      </c>
      <c r="Q135" s="51">
        <f>+O135-P135</f>
        <v>0</v>
      </c>
      <c r="R135" s="19">
        <v>46128</v>
      </c>
      <c r="S135" s="20">
        <v>5</v>
      </c>
      <c r="T135" s="21">
        <f t="shared" si="109"/>
        <v>46134</v>
      </c>
      <c r="U135" s="22">
        <f>+K135/J135</f>
        <v>0</v>
      </c>
      <c r="V135" s="199">
        <f t="shared" si="110"/>
        <v>0</v>
      </c>
      <c r="W135" s="158">
        <f>SUMIFS($AA135:$NZ135, $AA$8:$NZ$8, $W$13)/$O135</f>
        <v>0</v>
      </c>
      <c r="X135" s="159">
        <f t="shared" si="128"/>
        <v>0</v>
      </c>
      <c r="Y135" s="199">
        <f t="shared" si="111"/>
        <v>0</v>
      </c>
      <c r="Z135" s="36"/>
      <c r="AA135" s="15"/>
      <c r="AB135" s="15"/>
      <c r="AC135" s="15"/>
      <c r="AD135" s="15"/>
      <c r="AE135" s="15"/>
      <c r="AF135" s="15"/>
      <c r="AG135" s="184"/>
      <c r="AH135" s="15"/>
      <c r="AI135" s="15"/>
      <c r="AJ135" s="15"/>
      <c r="AK135" s="15"/>
      <c r="AL135" s="15"/>
      <c r="AM135" s="15"/>
      <c r="AN135" s="184"/>
      <c r="AO135" s="15"/>
      <c r="AP135" s="15"/>
      <c r="AQ135" s="15"/>
      <c r="AR135" s="15"/>
      <c r="AS135" s="15"/>
      <c r="AT135" s="15"/>
      <c r="AU135" s="184"/>
      <c r="AV135" s="15"/>
      <c r="AW135" s="15"/>
      <c r="AX135" s="15"/>
      <c r="AY135" s="15"/>
      <c r="AZ135" s="15"/>
      <c r="BA135" s="15"/>
      <c r="BB135" s="184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84"/>
      <c r="CE135" s="15"/>
      <c r="CF135" s="15"/>
      <c r="CG135" s="15"/>
      <c r="CH135" s="15"/>
      <c r="CI135" s="15"/>
      <c r="CJ135" s="15"/>
      <c r="CK135" s="184"/>
      <c r="CL135" s="15"/>
      <c r="CM135" s="15"/>
      <c r="CN135" s="15"/>
      <c r="CO135" s="15"/>
      <c r="CP135" s="15"/>
      <c r="CQ135" s="15"/>
      <c r="CR135" s="184"/>
      <c r="CS135" s="15"/>
      <c r="CT135" s="15"/>
      <c r="CU135" s="15"/>
      <c r="CV135" s="15"/>
      <c r="CW135" s="15"/>
      <c r="CX135" s="15"/>
      <c r="CY135" s="184"/>
      <c r="CZ135" s="15"/>
      <c r="DA135" s="15"/>
      <c r="DB135" s="15"/>
      <c r="DC135" s="15"/>
      <c r="DD135" s="15"/>
      <c r="DE135" s="15"/>
      <c r="DF135" s="184"/>
      <c r="DG135" s="15"/>
      <c r="DH135" s="15"/>
      <c r="DI135" s="15"/>
      <c r="DJ135" s="15"/>
      <c r="DK135" s="15"/>
      <c r="DL135" s="15"/>
      <c r="DM135" s="184"/>
      <c r="DN135" s="15"/>
      <c r="DO135" s="15"/>
      <c r="DP135" s="15"/>
      <c r="DQ135" s="15"/>
      <c r="DR135" s="15"/>
      <c r="DS135" s="15"/>
      <c r="DT135" s="184"/>
      <c r="DU135" s="15"/>
      <c r="DV135" s="15"/>
      <c r="DW135" s="15"/>
      <c r="DX135" s="15"/>
      <c r="DY135" s="15"/>
      <c r="DZ135" s="15"/>
      <c r="EA135" s="184"/>
      <c r="EB135" s="15"/>
      <c r="EC135" s="15"/>
      <c r="ED135" s="15"/>
      <c r="EE135" s="15"/>
      <c r="EF135" s="15"/>
      <c r="EG135" s="15"/>
      <c r="EH135" s="184"/>
      <c r="EI135" s="15"/>
      <c r="EJ135" s="15"/>
      <c r="EK135" s="15"/>
      <c r="EL135" s="15"/>
      <c r="EM135" s="15"/>
      <c r="EN135" s="15"/>
      <c r="EO135" s="184"/>
      <c r="EP135" s="15"/>
      <c r="EQ135" s="15"/>
      <c r="ER135" s="15"/>
      <c r="ES135" s="15"/>
      <c r="ET135" s="15"/>
      <c r="EU135" s="15"/>
      <c r="EV135" s="184"/>
      <c r="EW135" s="15"/>
      <c r="EX135" s="15"/>
      <c r="EY135" s="15"/>
      <c r="EZ135" s="15"/>
      <c r="FA135" s="15"/>
      <c r="FB135" s="15"/>
      <c r="FC135" s="184"/>
      <c r="FD135" s="15"/>
      <c r="FE135" s="15"/>
      <c r="FF135" s="15"/>
      <c r="FG135" s="15"/>
      <c r="FH135" s="15"/>
      <c r="FI135" s="15"/>
      <c r="FJ135" s="184"/>
      <c r="FK135" s="15"/>
      <c r="FL135" s="15"/>
      <c r="FM135" s="15"/>
      <c r="FN135" s="15">
        <v>4</v>
      </c>
      <c r="FO135" s="15">
        <v>4</v>
      </c>
      <c r="FP135" s="15">
        <v>4</v>
      </c>
      <c r="FQ135" s="184"/>
      <c r="FR135" s="15">
        <v>4</v>
      </c>
      <c r="FS135" s="15">
        <v>4</v>
      </c>
      <c r="FT135" s="15">
        <v>4</v>
      </c>
      <c r="FU135" s="15"/>
      <c r="FV135" s="15"/>
      <c r="FW135" s="178"/>
      <c r="FX135" s="184"/>
      <c r="FY135" s="181"/>
      <c r="FZ135" s="15"/>
      <c r="GA135" s="15"/>
      <c r="GB135" s="15"/>
      <c r="GC135" s="15"/>
      <c r="GD135" s="15"/>
      <c r="GE135" s="184"/>
      <c r="GF135" s="15"/>
      <c r="GG135" s="15"/>
      <c r="GH135" s="15"/>
      <c r="GI135" s="15"/>
      <c r="GJ135" s="15"/>
      <c r="GK135" s="15"/>
      <c r="GL135" s="184"/>
      <c r="GM135" s="15"/>
      <c r="GN135" s="15"/>
      <c r="GO135" s="15"/>
      <c r="GP135" s="15"/>
      <c r="GQ135" s="15"/>
      <c r="GR135" s="15"/>
      <c r="GS135" s="184"/>
      <c r="GT135" s="15"/>
      <c r="GU135" s="15"/>
      <c r="GV135" s="15"/>
      <c r="GW135" s="15"/>
      <c r="GX135" s="15"/>
      <c r="GY135" s="15"/>
      <c r="GZ135" s="184"/>
      <c r="HA135" s="15"/>
      <c r="HB135" s="15"/>
      <c r="HC135" s="15"/>
      <c r="HD135" s="15"/>
      <c r="HE135" s="15"/>
      <c r="HF135" s="15"/>
      <c r="HG135" s="184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5"/>
      <c r="JL135" s="15"/>
      <c r="JM135" s="15"/>
      <c r="JN135" s="15"/>
      <c r="JO135" s="15"/>
      <c r="JP135" s="15"/>
      <c r="JQ135" s="15"/>
      <c r="JR135" s="15"/>
      <c r="JS135" s="15"/>
      <c r="JT135" s="15"/>
      <c r="JU135" s="15"/>
      <c r="JV135" s="15"/>
      <c r="JW135" s="15"/>
      <c r="JX135" s="15"/>
      <c r="JY135" s="15"/>
      <c r="JZ135" s="15"/>
      <c r="KA135" s="15"/>
      <c r="KB135" s="15"/>
      <c r="KC135" s="15"/>
      <c r="KD135" s="15"/>
      <c r="KE135" s="15"/>
      <c r="KF135" s="15"/>
      <c r="KG135" s="15"/>
      <c r="KH135" s="15"/>
      <c r="KI135" s="15"/>
      <c r="KJ135" s="15"/>
      <c r="KK135" s="15"/>
      <c r="KL135" s="15"/>
      <c r="KM135" s="15"/>
      <c r="KN135" s="15"/>
      <c r="KO135" s="15"/>
      <c r="KP135" s="15"/>
      <c r="KQ135" s="15"/>
      <c r="KR135" s="15"/>
      <c r="KS135" s="15"/>
      <c r="KT135" s="15"/>
      <c r="KU135" s="15"/>
      <c r="KV135" s="15"/>
      <c r="KW135" s="15"/>
      <c r="KX135" s="15"/>
      <c r="KY135" s="15"/>
      <c r="KZ135" s="15"/>
      <c r="LA135" s="15"/>
      <c r="LB135" s="15"/>
      <c r="LC135" s="15"/>
      <c r="LD135" s="15"/>
      <c r="LE135" s="15"/>
      <c r="LF135" s="15"/>
      <c r="LG135" s="15"/>
      <c r="LH135" s="15"/>
      <c r="LI135" s="15"/>
      <c r="LJ135" s="15"/>
      <c r="LK135" s="15"/>
      <c r="LL135" s="15"/>
      <c r="LM135" s="15"/>
      <c r="LN135" s="15"/>
      <c r="LO135" s="15"/>
      <c r="LP135" s="15"/>
      <c r="LQ135" s="15"/>
      <c r="LR135" s="15"/>
      <c r="LS135" s="15"/>
      <c r="LT135" s="15"/>
      <c r="LU135" s="15"/>
      <c r="LV135" s="15"/>
      <c r="LW135" s="15"/>
      <c r="LX135" s="15"/>
      <c r="LY135" s="15"/>
      <c r="LZ135" s="15"/>
      <c r="MA135" s="15"/>
      <c r="MB135" s="15"/>
      <c r="MC135" s="15"/>
      <c r="MD135" s="15"/>
      <c r="ME135" s="15"/>
      <c r="MF135" s="15"/>
      <c r="MG135" s="15"/>
      <c r="MH135" s="15"/>
      <c r="MI135" s="15"/>
      <c r="MJ135" s="15"/>
      <c r="MK135" s="15"/>
      <c r="ML135" s="15"/>
      <c r="MM135" s="15"/>
      <c r="MN135" s="15"/>
      <c r="MO135" s="15"/>
      <c r="MP135" s="15"/>
      <c r="MQ135" s="15"/>
      <c r="MR135" s="15"/>
      <c r="MS135" s="15"/>
      <c r="MT135" s="15"/>
      <c r="MU135" s="15"/>
      <c r="MV135" s="15"/>
      <c r="MW135" s="15"/>
      <c r="MX135" s="15"/>
      <c r="MY135" s="15"/>
      <c r="MZ135" s="15"/>
      <c r="NA135" s="15"/>
      <c r="NB135" s="15"/>
      <c r="NC135" s="15"/>
      <c r="ND135" s="15"/>
      <c r="NE135" s="15"/>
      <c r="NF135" s="15"/>
      <c r="NG135" s="15"/>
      <c r="NH135" s="15"/>
      <c r="NI135" s="15"/>
      <c r="NJ135" s="15"/>
      <c r="NK135" s="15"/>
      <c r="NL135" s="15"/>
      <c r="NM135" s="15"/>
      <c r="NN135" s="15"/>
      <c r="NO135" s="15"/>
      <c r="NP135" s="15"/>
      <c r="NQ135" s="15"/>
      <c r="NR135" s="15"/>
      <c r="NS135" s="15"/>
      <c r="NT135" s="15"/>
      <c r="NU135" s="15"/>
      <c r="NV135" s="15"/>
      <c r="NW135" s="15"/>
      <c r="NX135" s="15"/>
      <c r="NY135" s="15"/>
      <c r="NZ135" s="15"/>
    </row>
    <row r="136" spans="2:390" ht="19.5" customHeight="1" x14ac:dyDescent="0.45">
      <c r="B136" s="1">
        <f t="shared" si="126"/>
        <v>4</v>
      </c>
      <c r="C136" s="1">
        <f>+C135+1</f>
        <v>3</v>
      </c>
      <c r="D136" s="1">
        <v>0</v>
      </c>
      <c r="E136" s="93" t="str">
        <f t="shared" si="125"/>
        <v>4.3.0</v>
      </c>
      <c r="F136" s="94" t="s">
        <v>13</v>
      </c>
      <c r="G136" s="94"/>
      <c r="H136" s="95"/>
      <c r="I136" s="95"/>
      <c r="J136" s="97"/>
      <c r="K136" s="97"/>
      <c r="L136" s="98"/>
      <c r="M136" s="97"/>
      <c r="N136" s="97"/>
      <c r="O136" s="95">
        <f>SUM(O137:O139)</f>
        <v>72</v>
      </c>
      <c r="P136" s="95"/>
      <c r="Q136" s="95"/>
      <c r="R136" s="168"/>
      <c r="S136" s="98"/>
      <c r="T136" s="163" t="str">
        <f t="shared" si="109"/>
        <v/>
      </c>
      <c r="U136" s="164">
        <f>+SUMPRODUCT(U137:U139,O137:O139)/O136</f>
        <v>0</v>
      </c>
      <c r="V136" s="200">
        <f t="shared" si="110"/>
        <v>0</v>
      </c>
      <c r="W136" s="158">
        <f>SUMIFS($AA136:$NZ136, $AA$8:$NZ$8, $W$13)/$O136</f>
        <v>0</v>
      </c>
      <c r="X136" s="159">
        <f t="shared" si="128"/>
        <v>0</v>
      </c>
      <c r="Y136" s="199">
        <f t="shared" si="111"/>
        <v>0</v>
      </c>
      <c r="Z136" s="36"/>
      <c r="AA136" s="15"/>
      <c r="AB136" s="15"/>
      <c r="AC136" s="15"/>
      <c r="AD136" s="15"/>
      <c r="AE136" s="15"/>
      <c r="AF136" s="15"/>
      <c r="AG136" s="184"/>
      <c r="AH136" s="15"/>
      <c r="AI136" s="15"/>
      <c r="AJ136" s="15"/>
      <c r="AK136" s="15"/>
      <c r="AL136" s="15"/>
      <c r="AM136" s="15"/>
      <c r="AN136" s="184"/>
      <c r="AO136" s="15"/>
      <c r="AP136" s="15"/>
      <c r="AQ136" s="15"/>
      <c r="AR136" s="15"/>
      <c r="AS136" s="15"/>
      <c r="AT136" s="15"/>
      <c r="AU136" s="184"/>
      <c r="AV136" s="15"/>
      <c r="AW136" s="15"/>
      <c r="AX136" s="15"/>
      <c r="AY136" s="15"/>
      <c r="AZ136" s="15"/>
      <c r="BA136" s="15"/>
      <c r="BB136" s="184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84"/>
      <c r="CE136" s="15"/>
      <c r="CF136" s="15"/>
      <c r="CG136" s="15"/>
      <c r="CH136" s="15"/>
      <c r="CI136" s="15"/>
      <c r="CJ136" s="15"/>
      <c r="CK136" s="184"/>
      <c r="CL136" s="15"/>
      <c r="CM136" s="15"/>
      <c r="CN136" s="15"/>
      <c r="CO136" s="15"/>
      <c r="CP136" s="15"/>
      <c r="CQ136" s="15"/>
      <c r="CR136" s="184"/>
      <c r="CS136" s="15"/>
      <c r="CT136" s="15"/>
      <c r="CU136" s="15"/>
      <c r="CV136" s="15"/>
      <c r="CW136" s="15"/>
      <c r="CX136" s="15"/>
      <c r="CY136" s="184"/>
      <c r="CZ136" s="15"/>
      <c r="DA136" s="15"/>
      <c r="DB136" s="15"/>
      <c r="DC136" s="15"/>
      <c r="DD136" s="15"/>
      <c r="DE136" s="15"/>
      <c r="DF136" s="184"/>
      <c r="DG136" s="15"/>
      <c r="DH136" s="15"/>
      <c r="DI136" s="15"/>
      <c r="DJ136" s="15"/>
      <c r="DK136" s="15"/>
      <c r="DL136" s="15"/>
      <c r="DM136" s="184"/>
      <c r="DN136" s="15"/>
      <c r="DO136" s="15"/>
      <c r="DP136" s="15"/>
      <c r="DQ136" s="15"/>
      <c r="DR136" s="15"/>
      <c r="DS136" s="15"/>
      <c r="DT136" s="184"/>
      <c r="DU136" s="15"/>
      <c r="DV136" s="15"/>
      <c r="DW136" s="15"/>
      <c r="DX136" s="15"/>
      <c r="DY136" s="15"/>
      <c r="DZ136" s="15"/>
      <c r="EA136" s="184"/>
      <c r="EB136" s="15"/>
      <c r="EC136" s="15"/>
      <c r="ED136" s="15"/>
      <c r="EE136" s="15"/>
      <c r="EF136" s="15"/>
      <c r="EG136" s="15"/>
      <c r="EH136" s="184"/>
      <c r="EI136" s="15"/>
      <c r="EJ136" s="15"/>
      <c r="EK136" s="15"/>
      <c r="EL136" s="15"/>
      <c r="EM136" s="15"/>
      <c r="EN136" s="15"/>
      <c r="EO136" s="184"/>
      <c r="EP136" s="15"/>
      <c r="EQ136" s="15"/>
      <c r="ER136" s="15"/>
      <c r="ES136" s="15"/>
      <c r="ET136" s="15"/>
      <c r="EU136" s="15"/>
      <c r="EV136" s="184"/>
      <c r="EW136" s="15"/>
      <c r="EX136" s="15"/>
      <c r="EY136" s="15"/>
      <c r="EZ136" s="15"/>
      <c r="FA136" s="15"/>
      <c r="FB136" s="15"/>
      <c r="FC136" s="184"/>
      <c r="FD136" s="15"/>
      <c r="FE136" s="15"/>
      <c r="FF136" s="15"/>
      <c r="FG136" s="15"/>
      <c r="FH136" s="15"/>
      <c r="FI136" s="15"/>
      <c r="FJ136" s="184"/>
      <c r="FK136" s="15"/>
      <c r="FL136" s="15"/>
      <c r="FM136" s="15"/>
      <c r="FN136" s="15"/>
      <c r="FO136" s="15"/>
      <c r="FP136" s="15"/>
      <c r="FQ136" s="184"/>
      <c r="FR136" s="15"/>
      <c r="FS136" s="15"/>
      <c r="FT136" s="15"/>
      <c r="FU136" s="15"/>
      <c r="FV136" s="15"/>
      <c r="FW136" s="178"/>
      <c r="FX136" s="184"/>
      <c r="FY136" s="181"/>
      <c r="FZ136" s="15"/>
      <c r="GA136" s="15"/>
      <c r="GB136" s="15"/>
      <c r="GC136" s="15"/>
      <c r="GD136" s="15"/>
      <c r="GE136" s="184"/>
      <c r="GF136" s="15"/>
      <c r="GG136" s="15"/>
      <c r="GH136" s="15"/>
      <c r="GI136" s="15"/>
      <c r="GJ136" s="15"/>
      <c r="GK136" s="15"/>
      <c r="GL136" s="184"/>
      <c r="GM136" s="15"/>
      <c r="GN136" s="15"/>
      <c r="GO136" s="15"/>
      <c r="GP136" s="15"/>
      <c r="GQ136" s="15"/>
      <c r="GR136" s="15"/>
      <c r="GS136" s="184"/>
      <c r="GT136" s="15"/>
      <c r="GU136" s="15"/>
      <c r="GV136" s="15"/>
      <c r="GW136" s="15"/>
      <c r="GX136" s="15"/>
      <c r="GY136" s="15"/>
      <c r="GZ136" s="184"/>
      <c r="HA136" s="15"/>
      <c r="HB136" s="15"/>
      <c r="HC136" s="15"/>
      <c r="HD136" s="15"/>
      <c r="HE136" s="15"/>
      <c r="HF136" s="15"/>
      <c r="HG136" s="184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/>
      <c r="KE136" s="15"/>
      <c r="KF136" s="15"/>
      <c r="KG136" s="15"/>
      <c r="KH136" s="15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5"/>
      <c r="KT136" s="15"/>
      <c r="KU136" s="15"/>
      <c r="KV136" s="15"/>
      <c r="KW136" s="15"/>
      <c r="KX136" s="15"/>
      <c r="KY136" s="15"/>
      <c r="KZ136" s="15"/>
      <c r="LA136" s="15"/>
      <c r="LB136" s="15"/>
      <c r="LC136" s="15"/>
      <c r="LD136" s="15"/>
      <c r="LE136" s="15"/>
      <c r="LF136" s="15"/>
      <c r="LG136" s="15"/>
      <c r="LH136" s="15"/>
      <c r="LI136" s="15"/>
      <c r="LJ136" s="15"/>
      <c r="LK136" s="15"/>
      <c r="LL136" s="15"/>
      <c r="LM136" s="15"/>
      <c r="LN136" s="15"/>
      <c r="LO136" s="15"/>
      <c r="LP136" s="15"/>
      <c r="LQ136" s="15"/>
      <c r="LR136" s="15"/>
      <c r="LS136" s="15"/>
      <c r="LT136" s="15"/>
      <c r="LU136" s="15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5"/>
      <c r="MG136" s="15"/>
      <c r="MH136" s="15"/>
      <c r="MI136" s="15"/>
      <c r="MJ136" s="15"/>
      <c r="MK136" s="15"/>
      <c r="ML136" s="15"/>
      <c r="MM136" s="15"/>
      <c r="MN136" s="15"/>
      <c r="MO136" s="15"/>
      <c r="MP136" s="15"/>
      <c r="MQ136" s="15"/>
      <c r="MR136" s="15"/>
      <c r="MS136" s="15"/>
      <c r="MT136" s="15"/>
      <c r="MU136" s="15"/>
      <c r="MV136" s="15"/>
      <c r="MW136" s="15"/>
      <c r="MX136" s="15"/>
      <c r="MY136" s="15"/>
      <c r="MZ136" s="15"/>
      <c r="NA136" s="15"/>
      <c r="NB136" s="15"/>
      <c r="NC136" s="15"/>
      <c r="ND136" s="15"/>
      <c r="NE136" s="15"/>
      <c r="NF136" s="15"/>
      <c r="NG136" s="15"/>
      <c r="NH136" s="15"/>
      <c r="NI136" s="15"/>
      <c r="NJ136" s="15"/>
      <c r="NK136" s="15"/>
      <c r="NL136" s="15"/>
      <c r="NM136" s="15"/>
      <c r="NN136" s="15"/>
      <c r="NO136" s="15"/>
      <c r="NP136" s="15"/>
      <c r="NQ136" s="15"/>
      <c r="NR136" s="15"/>
      <c r="NS136" s="15"/>
      <c r="NT136" s="15"/>
      <c r="NU136" s="15"/>
      <c r="NV136" s="15"/>
      <c r="NW136" s="15"/>
      <c r="NX136" s="15"/>
      <c r="NY136" s="15"/>
      <c r="NZ136" s="15"/>
    </row>
    <row r="137" spans="2:390" ht="19.5" customHeight="1" x14ac:dyDescent="0.45">
      <c r="B137" s="1">
        <f t="shared" si="126"/>
        <v>4</v>
      </c>
      <c r="C137" s="1">
        <f>+C136</f>
        <v>3</v>
      </c>
      <c r="D137" s="1">
        <f>+D136+1</f>
        <v>1</v>
      </c>
      <c r="E137" s="59" t="str">
        <f t="shared" si="125"/>
        <v>4.3.1</v>
      </c>
      <c r="F137" s="23" t="s">
        <v>122</v>
      </c>
      <c r="G137" s="191">
        <v>1</v>
      </c>
      <c r="H137" s="52" t="s">
        <v>117</v>
      </c>
      <c r="I137" s="52" t="s">
        <v>158</v>
      </c>
      <c r="J137" s="52">
        <f>18*2+60*1</f>
        <v>96</v>
      </c>
      <c r="K137" s="52">
        <v>0</v>
      </c>
      <c r="L137" s="20">
        <f>+J137-K137</f>
        <v>96</v>
      </c>
      <c r="M137" s="52">
        <v>2</v>
      </c>
      <c r="N137" s="52">
        <v>12</v>
      </c>
      <c r="O137" s="51">
        <f t="shared" si="127"/>
        <v>24</v>
      </c>
      <c r="P137" s="51">
        <f>+SUM(AA137:NZ137)</f>
        <v>24</v>
      </c>
      <c r="Q137" s="51">
        <f>+O137-P137</f>
        <v>0</v>
      </c>
      <c r="R137" s="19">
        <v>46125</v>
      </c>
      <c r="S137" s="20">
        <v>10</v>
      </c>
      <c r="T137" s="21">
        <f t="shared" si="109"/>
        <v>46136</v>
      </c>
      <c r="U137" s="22">
        <f>+K137/J137</f>
        <v>0</v>
      </c>
      <c r="V137" s="199">
        <f t="shared" si="110"/>
        <v>0</v>
      </c>
      <c r="W137" s="158">
        <f>SUMIFS($AA137:$NZ137, $AA$8:$NZ$8, $W$13)/$O137</f>
        <v>0</v>
      </c>
      <c r="X137" s="159">
        <f t="shared" si="128"/>
        <v>0</v>
      </c>
      <c r="Y137" s="199">
        <f t="shared" si="111"/>
        <v>0</v>
      </c>
      <c r="Z137" s="36"/>
      <c r="AA137" s="15"/>
      <c r="AB137" s="15"/>
      <c r="AC137" s="15"/>
      <c r="AD137" s="15"/>
      <c r="AE137" s="15"/>
      <c r="AF137" s="15"/>
      <c r="AG137" s="184"/>
      <c r="AH137" s="15"/>
      <c r="AI137" s="15"/>
      <c r="AJ137" s="15"/>
      <c r="AK137" s="15"/>
      <c r="AL137" s="15"/>
      <c r="AM137" s="15"/>
      <c r="AN137" s="184"/>
      <c r="AO137" s="15"/>
      <c r="AP137" s="15"/>
      <c r="AQ137" s="15"/>
      <c r="AR137" s="15"/>
      <c r="AS137" s="15"/>
      <c r="AT137" s="15"/>
      <c r="AU137" s="184"/>
      <c r="AV137" s="15"/>
      <c r="AW137" s="15"/>
      <c r="AX137" s="15"/>
      <c r="AY137" s="15"/>
      <c r="AZ137" s="15"/>
      <c r="BA137" s="15"/>
      <c r="BB137" s="184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84"/>
      <c r="CE137" s="15"/>
      <c r="CF137" s="15"/>
      <c r="CG137" s="15"/>
      <c r="CH137" s="15"/>
      <c r="CI137" s="15"/>
      <c r="CJ137" s="15"/>
      <c r="CK137" s="184"/>
      <c r="CL137" s="15"/>
      <c r="CM137" s="15"/>
      <c r="CN137" s="15"/>
      <c r="CO137" s="15"/>
      <c r="CP137" s="15"/>
      <c r="CQ137" s="15"/>
      <c r="CR137" s="184"/>
      <c r="CS137" s="15"/>
      <c r="CT137" s="15"/>
      <c r="CU137" s="15"/>
      <c r="CV137" s="15"/>
      <c r="CW137" s="15"/>
      <c r="CX137" s="15"/>
      <c r="CY137" s="184"/>
      <c r="CZ137" s="15"/>
      <c r="DA137" s="15"/>
      <c r="DB137" s="15"/>
      <c r="DC137" s="15"/>
      <c r="DD137" s="15"/>
      <c r="DE137" s="15"/>
      <c r="DF137" s="184"/>
      <c r="DG137" s="15"/>
      <c r="DH137" s="15"/>
      <c r="DI137" s="15"/>
      <c r="DJ137" s="15"/>
      <c r="DK137" s="15"/>
      <c r="DL137" s="15"/>
      <c r="DM137" s="184"/>
      <c r="DN137" s="15"/>
      <c r="DO137" s="15"/>
      <c r="DP137" s="15"/>
      <c r="DQ137" s="15"/>
      <c r="DR137" s="15"/>
      <c r="DS137" s="15"/>
      <c r="DT137" s="184"/>
      <c r="DU137" s="15"/>
      <c r="DV137" s="15"/>
      <c r="DW137" s="15"/>
      <c r="DX137" s="15"/>
      <c r="DY137" s="15"/>
      <c r="DZ137" s="15"/>
      <c r="EA137" s="184"/>
      <c r="EB137" s="15"/>
      <c r="EC137" s="15"/>
      <c r="ED137" s="15"/>
      <c r="EE137" s="15"/>
      <c r="EF137" s="15"/>
      <c r="EG137" s="15"/>
      <c r="EH137" s="184"/>
      <c r="EI137" s="15"/>
      <c r="EJ137" s="15"/>
      <c r="EK137" s="15"/>
      <c r="EL137" s="15"/>
      <c r="EM137" s="15"/>
      <c r="EN137" s="15"/>
      <c r="EO137" s="184"/>
      <c r="EP137" s="15"/>
      <c r="EQ137" s="15"/>
      <c r="ER137" s="15"/>
      <c r="ES137" s="15"/>
      <c r="ET137" s="15"/>
      <c r="EU137" s="15"/>
      <c r="EV137" s="184"/>
      <c r="EW137" s="15"/>
      <c r="EX137" s="15"/>
      <c r="EY137" s="15"/>
      <c r="EZ137" s="15"/>
      <c r="FA137" s="15"/>
      <c r="FB137" s="15"/>
      <c r="FC137" s="184"/>
      <c r="FD137" s="15"/>
      <c r="FE137" s="15"/>
      <c r="FF137" s="15"/>
      <c r="FG137" s="15"/>
      <c r="FH137" s="15"/>
      <c r="FI137" s="15"/>
      <c r="FJ137" s="184"/>
      <c r="FK137" s="15">
        <v>2</v>
      </c>
      <c r="FL137" s="15">
        <v>2</v>
      </c>
      <c r="FM137" s="15">
        <v>2</v>
      </c>
      <c r="FN137" s="15">
        <v>2</v>
      </c>
      <c r="FO137" s="15">
        <v>2</v>
      </c>
      <c r="FP137" s="15">
        <v>2</v>
      </c>
      <c r="FQ137" s="184"/>
      <c r="FR137" s="15">
        <v>2</v>
      </c>
      <c r="FS137" s="15">
        <v>2</v>
      </c>
      <c r="FT137" s="15">
        <v>2</v>
      </c>
      <c r="FU137" s="15">
        <v>2</v>
      </c>
      <c r="FV137" s="15">
        <v>2</v>
      </c>
      <c r="FW137" s="178">
        <v>2</v>
      </c>
      <c r="FX137" s="184"/>
      <c r="FY137" s="181"/>
      <c r="FZ137" s="15"/>
      <c r="GA137" s="15"/>
      <c r="GB137" s="15"/>
      <c r="GC137" s="15"/>
      <c r="GD137" s="15"/>
      <c r="GE137" s="184"/>
      <c r="GF137" s="15"/>
      <c r="GG137" s="15"/>
      <c r="GH137" s="15"/>
      <c r="GI137" s="15"/>
      <c r="GJ137" s="15"/>
      <c r="GK137" s="15"/>
      <c r="GL137" s="184"/>
      <c r="GM137" s="15"/>
      <c r="GN137" s="15"/>
      <c r="GO137" s="15"/>
      <c r="GP137" s="15"/>
      <c r="GQ137" s="15"/>
      <c r="GR137" s="15"/>
      <c r="GS137" s="184"/>
      <c r="GT137" s="15"/>
      <c r="GU137" s="15"/>
      <c r="GV137" s="15"/>
      <c r="GW137" s="15"/>
      <c r="GX137" s="15"/>
      <c r="GY137" s="15"/>
      <c r="GZ137" s="184"/>
      <c r="HA137" s="15"/>
      <c r="HB137" s="15"/>
      <c r="HC137" s="15"/>
      <c r="HD137" s="15"/>
      <c r="HE137" s="15"/>
      <c r="HF137" s="15"/>
      <c r="HG137" s="184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  <c r="JT137" s="15"/>
      <c r="JU137" s="15"/>
      <c r="JV137" s="15"/>
      <c r="JW137" s="15"/>
      <c r="JX137" s="15"/>
      <c r="JY137" s="15"/>
      <c r="JZ137" s="15"/>
      <c r="KA137" s="15"/>
      <c r="KB137" s="15"/>
      <c r="KC137" s="15"/>
      <c r="KD137" s="15"/>
      <c r="KE137" s="15"/>
      <c r="KF137" s="15"/>
      <c r="KG137" s="15"/>
      <c r="KH137" s="15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5"/>
      <c r="KT137" s="15"/>
      <c r="KU137" s="15"/>
      <c r="KV137" s="15"/>
      <c r="KW137" s="15"/>
      <c r="KX137" s="15"/>
      <c r="KY137" s="15"/>
      <c r="KZ137" s="15"/>
      <c r="LA137" s="15"/>
      <c r="LB137" s="15"/>
      <c r="LC137" s="15"/>
      <c r="LD137" s="15"/>
      <c r="LE137" s="15"/>
      <c r="LF137" s="15"/>
      <c r="LG137" s="15"/>
      <c r="LH137" s="15"/>
      <c r="LI137" s="15"/>
      <c r="LJ137" s="15"/>
      <c r="LK137" s="15"/>
      <c r="LL137" s="15"/>
      <c r="LM137" s="15"/>
      <c r="LN137" s="15"/>
      <c r="LO137" s="15"/>
      <c r="LP137" s="15"/>
      <c r="LQ137" s="15"/>
      <c r="LR137" s="15"/>
      <c r="LS137" s="15"/>
      <c r="LT137" s="15"/>
      <c r="LU137" s="15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5"/>
      <c r="MG137" s="15"/>
      <c r="MH137" s="15"/>
      <c r="MI137" s="15"/>
      <c r="MJ137" s="15"/>
      <c r="MK137" s="15"/>
      <c r="ML137" s="15"/>
      <c r="MM137" s="15"/>
      <c r="MN137" s="15"/>
      <c r="MO137" s="15"/>
      <c r="MP137" s="15"/>
      <c r="MQ137" s="15"/>
      <c r="MR137" s="15"/>
      <c r="MS137" s="15"/>
      <c r="MT137" s="15"/>
      <c r="MU137" s="15"/>
      <c r="MV137" s="15"/>
      <c r="MW137" s="15"/>
      <c r="MX137" s="15"/>
      <c r="MY137" s="15"/>
      <c r="MZ137" s="15"/>
      <c r="NA137" s="15"/>
      <c r="NB137" s="15"/>
      <c r="NC137" s="15"/>
      <c r="ND137" s="15"/>
      <c r="NE137" s="15"/>
      <c r="NF137" s="15"/>
      <c r="NG137" s="15"/>
      <c r="NH137" s="15"/>
      <c r="NI137" s="15"/>
      <c r="NJ137" s="15"/>
      <c r="NK137" s="15"/>
      <c r="NL137" s="15"/>
      <c r="NM137" s="15"/>
      <c r="NN137" s="15"/>
      <c r="NO137" s="15"/>
      <c r="NP137" s="15"/>
      <c r="NQ137" s="15"/>
      <c r="NR137" s="15"/>
      <c r="NS137" s="15"/>
      <c r="NT137" s="15"/>
      <c r="NU137" s="15"/>
      <c r="NV137" s="15"/>
      <c r="NW137" s="15"/>
      <c r="NX137" s="15"/>
      <c r="NY137" s="15"/>
      <c r="NZ137" s="15"/>
    </row>
    <row r="138" spans="2:390" ht="19.5" customHeight="1" x14ac:dyDescent="0.45">
      <c r="B138" s="1">
        <f t="shared" si="126"/>
        <v>4</v>
      </c>
      <c r="C138" s="1">
        <f>+C137</f>
        <v>3</v>
      </c>
      <c r="D138" s="1">
        <f>+D137+1</f>
        <v>2</v>
      </c>
      <c r="E138" s="59" t="str">
        <f t="shared" si="125"/>
        <v>4.3.2</v>
      </c>
      <c r="F138" s="23" t="s">
        <v>123</v>
      </c>
      <c r="G138" s="191">
        <v>1</v>
      </c>
      <c r="H138" s="52" t="s">
        <v>117</v>
      </c>
      <c r="I138" s="52" t="s">
        <v>156</v>
      </c>
      <c r="J138" s="52">
        <v>78</v>
      </c>
      <c r="K138" s="52">
        <v>0</v>
      </c>
      <c r="L138" s="20">
        <f>+J138-K138</f>
        <v>78</v>
      </c>
      <c r="M138" s="52">
        <v>2</v>
      </c>
      <c r="N138" s="52">
        <v>12</v>
      </c>
      <c r="O138" s="51">
        <f t="shared" si="127"/>
        <v>24</v>
      </c>
      <c r="P138" s="51">
        <f>+SUM(AA138:NZ138)</f>
        <v>24</v>
      </c>
      <c r="Q138" s="51">
        <f>+O138-P138</f>
        <v>0</v>
      </c>
      <c r="R138" s="19">
        <v>46125</v>
      </c>
      <c r="S138" s="20">
        <v>10</v>
      </c>
      <c r="T138" s="21">
        <f t="shared" si="109"/>
        <v>46136</v>
      </c>
      <c r="U138" s="22">
        <f>+K138/J138</f>
        <v>0</v>
      </c>
      <c r="V138" s="199">
        <f t="shared" si="110"/>
        <v>0</v>
      </c>
      <c r="W138" s="158">
        <f>SUMIFS($AA138:$NZ138, $AA$8:$NZ$8, $W$13)/$O138</f>
        <v>0</v>
      </c>
      <c r="X138" s="159">
        <f t="shared" si="128"/>
        <v>0</v>
      </c>
      <c r="Y138" s="199">
        <f t="shared" si="111"/>
        <v>0</v>
      </c>
      <c r="Z138" s="36"/>
      <c r="AA138" s="15"/>
      <c r="AB138" s="15"/>
      <c r="AC138" s="15"/>
      <c r="AD138" s="15"/>
      <c r="AE138" s="15"/>
      <c r="AF138" s="15"/>
      <c r="AG138" s="184"/>
      <c r="AH138" s="15"/>
      <c r="AI138" s="15"/>
      <c r="AJ138" s="15"/>
      <c r="AK138" s="15"/>
      <c r="AL138" s="15"/>
      <c r="AM138" s="15"/>
      <c r="AN138" s="184"/>
      <c r="AO138" s="15"/>
      <c r="AP138" s="15"/>
      <c r="AQ138" s="15"/>
      <c r="AR138" s="15"/>
      <c r="AS138" s="15"/>
      <c r="AT138" s="15"/>
      <c r="AU138" s="184"/>
      <c r="AV138" s="15"/>
      <c r="AW138" s="15"/>
      <c r="AX138" s="15"/>
      <c r="AY138" s="15"/>
      <c r="AZ138" s="15"/>
      <c r="BA138" s="15"/>
      <c r="BB138" s="184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84"/>
      <c r="CE138" s="15"/>
      <c r="CF138" s="15"/>
      <c r="CG138" s="15"/>
      <c r="CH138" s="15"/>
      <c r="CI138" s="15"/>
      <c r="CJ138" s="15"/>
      <c r="CK138" s="184"/>
      <c r="CL138" s="15"/>
      <c r="CM138" s="15"/>
      <c r="CN138" s="15"/>
      <c r="CO138" s="15"/>
      <c r="CP138" s="15"/>
      <c r="CQ138" s="15"/>
      <c r="CR138" s="184"/>
      <c r="CS138" s="15"/>
      <c r="CT138" s="15"/>
      <c r="CU138" s="15"/>
      <c r="CV138" s="15"/>
      <c r="CW138" s="15"/>
      <c r="CX138" s="15"/>
      <c r="CY138" s="184"/>
      <c r="CZ138" s="15"/>
      <c r="DA138" s="15"/>
      <c r="DB138" s="15"/>
      <c r="DC138" s="15"/>
      <c r="DD138" s="15"/>
      <c r="DE138" s="15"/>
      <c r="DF138" s="184"/>
      <c r="DG138" s="15"/>
      <c r="DH138" s="15"/>
      <c r="DI138" s="15"/>
      <c r="DJ138" s="15"/>
      <c r="DK138" s="15"/>
      <c r="DL138" s="15"/>
      <c r="DM138" s="184"/>
      <c r="DN138" s="15"/>
      <c r="DO138" s="15"/>
      <c r="DP138" s="15"/>
      <c r="DQ138" s="15"/>
      <c r="DR138" s="15"/>
      <c r="DS138" s="15"/>
      <c r="DT138" s="184"/>
      <c r="DU138" s="15"/>
      <c r="DV138" s="15"/>
      <c r="DW138" s="15"/>
      <c r="DX138" s="15"/>
      <c r="DY138" s="15"/>
      <c r="DZ138" s="15"/>
      <c r="EA138" s="184"/>
      <c r="EB138" s="15"/>
      <c r="EC138" s="15"/>
      <c r="ED138" s="15"/>
      <c r="EE138" s="15"/>
      <c r="EF138" s="15"/>
      <c r="EG138" s="15"/>
      <c r="EH138" s="184"/>
      <c r="EI138" s="15"/>
      <c r="EJ138" s="15"/>
      <c r="EK138" s="15"/>
      <c r="EL138" s="15"/>
      <c r="EM138" s="15"/>
      <c r="EN138" s="15"/>
      <c r="EO138" s="184"/>
      <c r="EP138" s="15"/>
      <c r="EQ138" s="15"/>
      <c r="ER138" s="15"/>
      <c r="ES138" s="15"/>
      <c r="ET138" s="15"/>
      <c r="EU138" s="15"/>
      <c r="EV138" s="184"/>
      <c r="EW138" s="15"/>
      <c r="EX138" s="15"/>
      <c r="EY138" s="15"/>
      <c r="EZ138" s="15"/>
      <c r="FA138" s="15"/>
      <c r="FB138" s="15"/>
      <c r="FC138" s="184"/>
      <c r="FD138" s="15"/>
      <c r="FE138" s="15"/>
      <c r="FF138" s="15"/>
      <c r="FG138" s="15"/>
      <c r="FH138" s="15"/>
      <c r="FI138" s="15"/>
      <c r="FJ138" s="184"/>
      <c r="FK138" s="15">
        <v>2</v>
      </c>
      <c r="FL138" s="15">
        <v>2</v>
      </c>
      <c r="FM138" s="15">
        <v>2</v>
      </c>
      <c r="FN138" s="15">
        <v>2</v>
      </c>
      <c r="FO138" s="15">
        <v>2</v>
      </c>
      <c r="FP138" s="15">
        <v>2</v>
      </c>
      <c r="FQ138" s="184"/>
      <c r="FR138" s="15">
        <v>2</v>
      </c>
      <c r="FS138" s="15">
        <v>2</v>
      </c>
      <c r="FT138" s="15">
        <v>2</v>
      </c>
      <c r="FU138" s="15">
        <v>2</v>
      </c>
      <c r="FV138" s="15">
        <v>2</v>
      </c>
      <c r="FW138" s="178">
        <v>2</v>
      </c>
      <c r="FX138" s="184"/>
      <c r="FY138" s="181"/>
      <c r="FZ138" s="15"/>
      <c r="GA138" s="15"/>
      <c r="GB138" s="15"/>
      <c r="GC138" s="15"/>
      <c r="GD138" s="15"/>
      <c r="GE138" s="184"/>
      <c r="GF138" s="15"/>
      <c r="GG138" s="15"/>
      <c r="GH138" s="15"/>
      <c r="GI138" s="15"/>
      <c r="GJ138" s="15"/>
      <c r="GK138" s="15"/>
      <c r="GL138" s="184"/>
      <c r="GM138" s="15"/>
      <c r="GN138" s="15"/>
      <c r="GO138" s="15"/>
      <c r="GP138" s="15"/>
      <c r="GQ138" s="15"/>
      <c r="GR138" s="15"/>
      <c r="GS138" s="184"/>
      <c r="GT138" s="15"/>
      <c r="GU138" s="15"/>
      <c r="GV138" s="15"/>
      <c r="GW138" s="15"/>
      <c r="GX138" s="15"/>
      <c r="GY138" s="15"/>
      <c r="GZ138" s="184"/>
      <c r="HA138" s="15"/>
      <c r="HB138" s="15"/>
      <c r="HC138" s="15"/>
      <c r="HD138" s="15"/>
      <c r="HE138" s="15"/>
      <c r="HF138" s="15"/>
      <c r="HG138" s="184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/>
      <c r="KE138" s="15"/>
      <c r="KF138" s="15"/>
      <c r="KG138" s="15"/>
      <c r="KH138" s="15"/>
      <c r="KI138" s="15"/>
      <c r="KJ138" s="15"/>
      <c r="KK138" s="15"/>
      <c r="KL138" s="15"/>
      <c r="KM138" s="15"/>
      <c r="KN138" s="15"/>
      <c r="KO138" s="15"/>
      <c r="KP138" s="15"/>
      <c r="KQ138" s="15"/>
      <c r="KR138" s="15"/>
      <c r="KS138" s="15"/>
      <c r="KT138" s="15"/>
      <c r="KU138" s="15"/>
      <c r="KV138" s="15"/>
      <c r="KW138" s="15"/>
      <c r="KX138" s="15"/>
      <c r="KY138" s="15"/>
      <c r="KZ138" s="15"/>
      <c r="LA138" s="15"/>
      <c r="LB138" s="15"/>
      <c r="LC138" s="15"/>
      <c r="LD138" s="15"/>
      <c r="LE138" s="15"/>
      <c r="LF138" s="15"/>
      <c r="LG138" s="15"/>
      <c r="LH138" s="15"/>
      <c r="LI138" s="15"/>
      <c r="LJ138" s="15"/>
      <c r="LK138" s="15"/>
      <c r="LL138" s="15"/>
      <c r="LM138" s="15"/>
      <c r="LN138" s="15"/>
      <c r="LO138" s="15"/>
      <c r="LP138" s="15"/>
      <c r="LQ138" s="15"/>
      <c r="LR138" s="15"/>
      <c r="LS138" s="15"/>
      <c r="LT138" s="15"/>
      <c r="LU138" s="15"/>
      <c r="LV138" s="15"/>
      <c r="LW138" s="15"/>
      <c r="LX138" s="15"/>
      <c r="LY138" s="15"/>
      <c r="LZ138" s="15"/>
      <c r="MA138" s="15"/>
      <c r="MB138" s="15"/>
      <c r="MC138" s="15"/>
      <c r="MD138" s="15"/>
      <c r="ME138" s="15"/>
      <c r="MF138" s="15"/>
      <c r="MG138" s="15"/>
      <c r="MH138" s="15"/>
      <c r="MI138" s="15"/>
      <c r="MJ138" s="15"/>
      <c r="MK138" s="15"/>
      <c r="ML138" s="15"/>
      <c r="MM138" s="15"/>
      <c r="MN138" s="15"/>
      <c r="MO138" s="15"/>
      <c r="MP138" s="15"/>
      <c r="MQ138" s="15"/>
      <c r="MR138" s="15"/>
      <c r="MS138" s="15"/>
      <c r="MT138" s="15"/>
      <c r="MU138" s="15"/>
      <c r="MV138" s="15"/>
      <c r="MW138" s="15"/>
      <c r="MX138" s="15"/>
      <c r="MY138" s="15"/>
      <c r="MZ138" s="15"/>
      <c r="NA138" s="15"/>
      <c r="NB138" s="15"/>
      <c r="NC138" s="15"/>
      <c r="ND138" s="15"/>
      <c r="NE138" s="15"/>
      <c r="NF138" s="15"/>
      <c r="NG138" s="15"/>
      <c r="NH138" s="15"/>
      <c r="NI138" s="15"/>
      <c r="NJ138" s="15"/>
      <c r="NK138" s="15"/>
      <c r="NL138" s="15"/>
      <c r="NM138" s="15"/>
      <c r="NN138" s="15"/>
      <c r="NO138" s="15"/>
      <c r="NP138" s="15"/>
      <c r="NQ138" s="15"/>
      <c r="NR138" s="15"/>
      <c r="NS138" s="15"/>
      <c r="NT138" s="15"/>
      <c r="NU138" s="15"/>
      <c r="NV138" s="15"/>
      <c r="NW138" s="15"/>
      <c r="NX138" s="15"/>
      <c r="NY138" s="15"/>
      <c r="NZ138" s="15"/>
    </row>
    <row r="139" spans="2:390" ht="19.5" customHeight="1" x14ac:dyDescent="0.45">
      <c r="B139" s="1">
        <f t="shared" si="126"/>
        <v>4</v>
      </c>
      <c r="C139" s="1">
        <f>+C138</f>
        <v>3</v>
      </c>
      <c r="D139" s="1">
        <f>+D138+1</f>
        <v>3</v>
      </c>
      <c r="E139" s="59" t="str">
        <f t="shared" si="125"/>
        <v>4.3.3</v>
      </c>
      <c r="F139" s="23" t="s">
        <v>124</v>
      </c>
      <c r="G139" s="191">
        <v>1</v>
      </c>
      <c r="H139" s="52" t="s">
        <v>117</v>
      </c>
      <c r="I139" s="52" t="s">
        <v>156</v>
      </c>
      <c r="J139" s="52">
        <v>78</v>
      </c>
      <c r="K139" s="52">
        <v>0</v>
      </c>
      <c r="L139" s="20">
        <f>+J139-K139</f>
        <v>78</v>
      </c>
      <c r="M139" s="52">
        <v>2</v>
      </c>
      <c r="N139" s="52">
        <v>12</v>
      </c>
      <c r="O139" s="51">
        <f t="shared" si="127"/>
        <v>24</v>
      </c>
      <c r="P139" s="51">
        <f>+SUM(AA139:NZ139)</f>
        <v>24</v>
      </c>
      <c r="Q139" s="51">
        <f>+O139-P139</f>
        <v>0</v>
      </c>
      <c r="R139" s="19">
        <v>46125</v>
      </c>
      <c r="S139" s="20">
        <v>10</v>
      </c>
      <c r="T139" s="21">
        <f t="shared" si="109"/>
        <v>46136</v>
      </c>
      <c r="U139" s="22">
        <f>+K139/J139</f>
        <v>0</v>
      </c>
      <c r="V139" s="199">
        <f t="shared" si="110"/>
        <v>0</v>
      </c>
      <c r="W139" s="158">
        <f>SUMIFS($AA139:$NZ139, $AA$8:$NZ$8, $W$13)/$O139</f>
        <v>0</v>
      </c>
      <c r="X139" s="159">
        <f t="shared" si="128"/>
        <v>0</v>
      </c>
      <c r="Y139" s="199">
        <f t="shared" si="111"/>
        <v>0</v>
      </c>
      <c r="Z139" s="36"/>
      <c r="AA139" s="15"/>
      <c r="AB139" s="15"/>
      <c r="AC139" s="15"/>
      <c r="AD139" s="15"/>
      <c r="AE139" s="15"/>
      <c r="AF139" s="15"/>
      <c r="AG139" s="184"/>
      <c r="AH139" s="15"/>
      <c r="AI139" s="15"/>
      <c r="AJ139" s="15"/>
      <c r="AK139" s="15"/>
      <c r="AL139" s="15"/>
      <c r="AM139" s="15"/>
      <c r="AN139" s="184"/>
      <c r="AO139" s="15"/>
      <c r="AP139" s="15"/>
      <c r="AQ139" s="15"/>
      <c r="AR139" s="15"/>
      <c r="AS139" s="15"/>
      <c r="AT139" s="15"/>
      <c r="AU139" s="184"/>
      <c r="AV139" s="15"/>
      <c r="AW139" s="15"/>
      <c r="AX139" s="15"/>
      <c r="AY139" s="15"/>
      <c r="AZ139" s="15"/>
      <c r="BA139" s="15"/>
      <c r="BB139" s="184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84"/>
      <c r="CE139" s="15"/>
      <c r="CF139" s="15"/>
      <c r="CG139" s="15"/>
      <c r="CH139" s="15"/>
      <c r="CI139" s="15"/>
      <c r="CJ139" s="15"/>
      <c r="CK139" s="184"/>
      <c r="CL139" s="15"/>
      <c r="CM139" s="15"/>
      <c r="CN139" s="15"/>
      <c r="CO139" s="15"/>
      <c r="CP139" s="15"/>
      <c r="CQ139" s="15"/>
      <c r="CR139" s="184"/>
      <c r="CS139" s="15"/>
      <c r="CT139" s="15"/>
      <c r="CU139" s="15"/>
      <c r="CV139" s="15"/>
      <c r="CW139" s="15"/>
      <c r="CX139" s="15"/>
      <c r="CY139" s="184"/>
      <c r="CZ139" s="15"/>
      <c r="DA139" s="15"/>
      <c r="DB139" s="15"/>
      <c r="DC139" s="15"/>
      <c r="DD139" s="15"/>
      <c r="DE139" s="15"/>
      <c r="DF139" s="184"/>
      <c r="DG139" s="15"/>
      <c r="DH139" s="15"/>
      <c r="DI139" s="15"/>
      <c r="DJ139" s="15"/>
      <c r="DK139" s="15"/>
      <c r="DL139" s="15"/>
      <c r="DM139" s="184"/>
      <c r="DN139" s="15"/>
      <c r="DO139" s="15"/>
      <c r="DP139" s="15"/>
      <c r="DQ139" s="15"/>
      <c r="DR139" s="15"/>
      <c r="DS139" s="15"/>
      <c r="DT139" s="184"/>
      <c r="DU139" s="15"/>
      <c r="DV139" s="15"/>
      <c r="DW139" s="15"/>
      <c r="DX139" s="15"/>
      <c r="DY139" s="15"/>
      <c r="DZ139" s="15"/>
      <c r="EA139" s="184"/>
      <c r="EB139" s="15"/>
      <c r="EC139" s="15"/>
      <c r="ED139" s="15"/>
      <c r="EE139" s="15"/>
      <c r="EF139" s="15"/>
      <c r="EG139" s="15"/>
      <c r="EH139" s="184"/>
      <c r="EI139" s="15"/>
      <c r="EJ139" s="15"/>
      <c r="EK139" s="15"/>
      <c r="EL139" s="15"/>
      <c r="EM139" s="15"/>
      <c r="EN139" s="15"/>
      <c r="EO139" s="184"/>
      <c r="EP139" s="15"/>
      <c r="EQ139" s="15"/>
      <c r="ER139" s="15"/>
      <c r="ES139" s="15"/>
      <c r="ET139" s="15"/>
      <c r="EU139" s="15"/>
      <c r="EV139" s="184"/>
      <c r="EW139" s="15"/>
      <c r="EX139" s="15"/>
      <c r="EY139" s="15"/>
      <c r="EZ139" s="15"/>
      <c r="FA139" s="15"/>
      <c r="FB139" s="15"/>
      <c r="FC139" s="184"/>
      <c r="FD139" s="15"/>
      <c r="FE139" s="15"/>
      <c r="FF139" s="15"/>
      <c r="FG139" s="15"/>
      <c r="FH139" s="15"/>
      <c r="FI139" s="15"/>
      <c r="FJ139" s="184"/>
      <c r="FK139" s="15">
        <v>2</v>
      </c>
      <c r="FL139" s="15">
        <v>2</v>
      </c>
      <c r="FM139" s="15">
        <v>2</v>
      </c>
      <c r="FN139" s="15">
        <v>2</v>
      </c>
      <c r="FO139" s="15">
        <v>2</v>
      </c>
      <c r="FP139" s="15">
        <v>2</v>
      </c>
      <c r="FQ139" s="184"/>
      <c r="FR139" s="15">
        <v>2</v>
      </c>
      <c r="FS139" s="15">
        <v>2</v>
      </c>
      <c r="FT139" s="15">
        <v>2</v>
      </c>
      <c r="FU139" s="15">
        <v>2</v>
      </c>
      <c r="FV139" s="15">
        <v>2</v>
      </c>
      <c r="FW139" s="178">
        <v>2</v>
      </c>
      <c r="FX139" s="184"/>
      <c r="FY139" s="181"/>
      <c r="FZ139" s="15"/>
      <c r="GA139" s="15"/>
      <c r="GB139" s="15"/>
      <c r="GC139" s="15"/>
      <c r="GD139" s="15"/>
      <c r="GE139" s="184"/>
      <c r="GF139" s="15"/>
      <c r="GG139" s="15"/>
      <c r="GH139" s="15"/>
      <c r="GI139" s="15"/>
      <c r="GJ139" s="15"/>
      <c r="GK139" s="15"/>
      <c r="GL139" s="184"/>
      <c r="GM139" s="15"/>
      <c r="GN139" s="15"/>
      <c r="GO139" s="15"/>
      <c r="GP139" s="15"/>
      <c r="GQ139" s="15"/>
      <c r="GR139" s="15"/>
      <c r="GS139" s="184"/>
      <c r="GT139" s="15"/>
      <c r="GU139" s="15"/>
      <c r="GV139" s="15"/>
      <c r="GW139" s="15"/>
      <c r="GX139" s="15"/>
      <c r="GY139" s="15"/>
      <c r="GZ139" s="184"/>
      <c r="HA139" s="15"/>
      <c r="HB139" s="15"/>
      <c r="HC139" s="15"/>
      <c r="HD139" s="15"/>
      <c r="HE139" s="15"/>
      <c r="HF139" s="15"/>
      <c r="HG139" s="184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/>
      <c r="KE139" s="15"/>
      <c r="KF139" s="15"/>
      <c r="KG139" s="15"/>
      <c r="KH139" s="15"/>
      <c r="KI139" s="15"/>
      <c r="KJ139" s="15"/>
      <c r="KK139" s="15"/>
      <c r="KL139" s="15"/>
      <c r="KM139" s="15"/>
      <c r="KN139" s="15"/>
      <c r="KO139" s="15"/>
      <c r="KP139" s="15"/>
      <c r="KQ139" s="15"/>
      <c r="KR139" s="15"/>
      <c r="KS139" s="15"/>
      <c r="KT139" s="15"/>
      <c r="KU139" s="15"/>
      <c r="KV139" s="15"/>
      <c r="KW139" s="15"/>
      <c r="KX139" s="15"/>
      <c r="KY139" s="15"/>
      <c r="KZ139" s="15"/>
      <c r="LA139" s="15"/>
      <c r="LB139" s="15"/>
      <c r="LC139" s="15"/>
      <c r="LD139" s="15"/>
      <c r="LE139" s="15"/>
      <c r="LF139" s="15"/>
      <c r="LG139" s="15"/>
      <c r="LH139" s="15"/>
      <c r="LI139" s="15"/>
      <c r="LJ139" s="15"/>
      <c r="LK139" s="15"/>
      <c r="LL139" s="15"/>
      <c r="LM139" s="15"/>
      <c r="LN139" s="15"/>
      <c r="LO139" s="15"/>
      <c r="LP139" s="15"/>
      <c r="LQ139" s="15"/>
      <c r="LR139" s="15"/>
      <c r="LS139" s="15"/>
      <c r="LT139" s="15"/>
      <c r="LU139" s="15"/>
      <c r="LV139" s="15"/>
      <c r="LW139" s="15"/>
      <c r="LX139" s="15"/>
      <c r="LY139" s="15"/>
      <c r="LZ139" s="15"/>
      <c r="MA139" s="15"/>
      <c r="MB139" s="15"/>
      <c r="MC139" s="15"/>
      <c r="MD139" s="15"/>
      <c r="ME139" s="15"/>
      <c r="MF139" s="15"/>
      <c r="MG139" s="15"/>
      <c r="MH139" s="15"/>
      <c r="MI139" s="15"/>
      <c r="MJ139" s="15"/>
      <c r="MK139" s="15"/>
      <c r="ML139" s="15"/>
      <c r="MM139" s="15"/>
      <c r="MN139" s="15"/>
      <c r="MO139" s="15"/>
      <c r="MP139" s="15"/>
      <c r="MQ139" s="15"/>
      <c r="MR139" s="15"/>
      <c r="MS139" s="15"/>
      <c r="MT139" s="15"/>
      <c r="MU139" s="15"/>
      <c r="MV139" s="15"/>
      <c r="MW139" s="15"/>
      <c r="MX139" s="15"/>
      <c r="MY139" s="15"/>
      <c r="MZ139" s="15"/>
      <c r="NA139" s="15"/>
      <c r="NB139" s="15"/>
      <c r="NC139" s="15"/>
      <c r="ND139" s="15"/>
      <c r="NE139" s="15"/>
      <c r="NF139" s="15"/>
      <c r="NG139" s="15"/>
      <c r="NH139" s="15"/>
      <c r="NI139" s="15"/>
      <c r="NJ139" s="15"/>
      <c r="NK139" s="15"/>
      <c r="NL139" s="15"/>
      <c r="NM139" s="15"/>
      <c r="NN139" s="15"/>
      <c r="NO139" s="15"/>
      <c r="NP139" s="15"/>
      <c r="NQ139" s="15"/>
      <c r="NR139" s="15"/>
      <c r="NS139" s="15"/>
      <c r="NT139" s="15"/>
      <c r="NU139" s="15"/>
      <c r="NV139" s="15"/>
      <c r="NW139" s="15"/>
      <c r="NX139" s="15"/>
      <c r="NY139" s="15"/>
      <c r="NZ139" s="15"/>
    </row>
    <row r="140" spans="2:390" ht="19.5" customHeight="1" x14ac:dyDescent="0.45">
      <c r="B140" s="1">
        <f t="shared" si="126"/>
        <v>4</v>
      </c>
      <c r="C140" s="1">
        <f>+C139+1</f>
        <v>4</v>
      </c>
      <c r="D140" s="1">
        <v>0</v>
      </c>
      <c r="E140" s="93" t="str">
        <f t="shared" si="125"/>
        <v>4.4.0</v>
      </c>
      <c r="F140" s="94" t="s">
        <v>48</v>
      </c>
      <c r="G140" s="94"/>
      <c r="H140" s="95"/>
      <c r="I140" s="95"/>
      <c r="J140" s="97"/>
      <c r="K140" s="97"/>
      <c r="L140" s="98"/>
      <c r="M140" s="97"/>
      <c r="N140" s="97"/>
      <c r="O140" s="95">
        <f>SUM(O141:O143)</f>
        <v>72</v>
      </c>
      <c r="P140" s="95"/>
      <c r="Q140" s="95"/>
      <c r="R140" s="168"/>
      <c r="S140" s="98"/>
      <c r="T140" s="163" t="str">
        <f t="shared" si="109"/>
        <v/>
      </c>
      <c r="U140" s="164">
        <f>+SUMPRODUCT(U141:U143,O141:O143)/O140</f>
        <v>0</v>
      </c>
      <c r="V140" s="200">
        <f t="shared" si="110"/>
        <v>0</v>
      </c>
      <c r="W140" s="158">
        <f>SUMIFS($AA140:$NZ140, $AA$8:$NZ$8, $W$13)/$O140</f>
        <v>0</v>
      </c>
      <c r="X140" s="159">
        <f t="shared" si="128"/>
        <v>0</v>
      </c>
      <c r="Y140" s="199">
        <f t="shared" si="111"/>
        <v>0</v>
      </c>
      <c r="Z140" s="36"/>
      <c r="AA140" s="15"/>
      <c r="AB140" s="15"/>
      <c r="AC140" s="15"/>
      <c r="AD140" s="15"/>
      <c r="AE140" s="15"/>
      <c r="AF140" s="15"/>
      <c r="AG140" s="184"/>
      <c r="AH140" s="15"/>
      <c r="AI140" s="15"/>
      <c r="AJ140" s="15"/>
      <c r="AK140" s="15"/>
      <c r="AL140" s="15"/>
      <c r="AM140" s="15"/>
      <c r="AN140" s="184"/>
      <c r="AO140" s="15"/>
      <c r="AP140" s="15"/>
      <c r="AQ140" s="15"/>
      <c r="AR140" s="15"/>
      <c r="AS140" s="15"/>
      <c r="AT140" s="15"/>
      <c r="AU140" s="184"/>
      <c r="AV140" s="15"/>
      <c r="AW140" s="15"/>
      <c r="AX140" s="15"/>
      <c r="AY140" s="15"/>
      <c r="AZ140" s="15"/>
      <c r="BA140" s="15"/>
      <c r="BB140" s="184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84"/>
      <c r="CE140" s="15"/>
      <c r="CF140" s="15"/>
      <c r="CG140" s="15"/>
      <c r="CH140" s="15"/>
      <c r="CI140" s="15"/>
      <c r="CJ140" s="15"/>
      <c r="CK140" s="184"/>
      <c r="CL140" s="15"/>
      <c r="CM140" s="15"/>
      <c r="CN140" s="15"/>
      <c r="CO140" s="15"/>
      <c r="CP140" s="15"/>
      <c r="CQ140" s="15"/>
      <c r="CR140" s="184"/>
      <c r="CS140" s="15"/>
      <c r="CT140" s="15"/>
      <c r="CU140" s="15"/>
      <c r="CV140" s="15"/>
      <c r="CW140" s="15"/>
      <c r="CX140" s="15"/>
      <c r="CY140" s="184"/>
      <c r="CZ140" s="15"/>
      <c r="DA140" s="15"/>
      <c r="DB140" s="15"/>
      <c r="DC140" s="15"/>
      <c r="DD140" s="15"/>
      <c r="DE140" s="15"/>
      <c r="DF140" s="184"/>
      <c r="DG140" s="15"/>
      <c r="DH140" s="15"/>
      <c r="DI140" s="15"/>
      <c r="DJ140" s="15"/>
      <c r="DK140" s="15"/>
      <c r="DL140" s="15"/>
      <c r="DM140" s="184"/>
      <c r="DN140" s="15"/>
      <c r="DO140" s="15"/>
      <c r="DP140" s="15"/>
      <c r="DQ140" s="15"/>
      <c r="DR140" s="15"/>
      <c r="DS140" s="15"/>
      <c r="DT140" s="184"/>
      <c r="DU140" s="15"/>
      <c r="DV140" s="15"/>
      <c r="DW140" s="15"/>
      <c r="DX140" s="15"/>
      <c r="DY140" s="15"/>
      <c r="DZ140" s="15"/>
      <c r="EA140" s="184"/>
      <c r="EB140" s="15"/>
      <c r="EC140" s="15"/>
      <c r="ED140" s="15"/>
      <c r="EE140" s="15"/>
      <c r="EF140" s="15"/>
      <c r="EG140" s="15"/>
      <c r="EH140" s="184"/>
      <c r="EI140" s="15"/>
      <c r="EJ140" s="15"/>
      <c r="EK140" s="15"/>
      <c r="EL140" s="15"/>
      <c r="EM140" s="15"/>
      <c r="EN140" s="15"/>
      <c r="EO140" s="184"/>
      <c r="EP140" s="15"/>
      <c r="EQ140" s="15"/>
      <c r="ER140" s="15"/>
      <c r="ES140" s="15"/>
      <c r="ET140" s="15"/>
      <c r="EU140" s="15"/>
      <c r="EV140" s="184"/>
      <c r="EW140" s="15"/>
      <c r="EX140" s="15"/>
      <c r="EY140" s="15"/>
      <c r="EZ140" s="15"/>
      <c r="FA140" s="15"/>
      <c r="FB140" s="15"/>
      <c r="FC140" s="184"/>
      <c r="FD140" s="15"/>
      <c r="FE140" s="15"/>
      <c r="FF140" s="15"/>
      <c r="FG140" s="15"/>
      <c r="FH140" s="15"/>
      <c r="FI140" s="15"/>
      <c r="FJ140" s="184"/>
      <c r="FK140" s="15"/>
      <c r="FL140" s="15"/>
      <c r="FM140" s="15"/>
      <c r="FN140" s="15"/>
      <c r="FO140" s="15"/>
      <c r="FP140" s="15"/>
      <c r="FQ140" s="184"/>
      <c r="FR140" s="15"/>
      <c r="FS140" s="15"/>
      <c r="FT140" s="15"/>
      <c r="FU140" s="15"/>
      <c r="FV140" s="15"/>
      <c r="FW140" s="178"/>
      <c r="FX140" s="184"/>
      <c r="FY140" s="181"/>
      <c r="FZ140" s="15"/>
      <c r="GA140" s="15"/>
      <c r="GB140" s="15"/>
      <c r="GC140" s="15"/>
      <c r="GD140" s="15"/>
      <c r="GE140" s="184"/>
      <c r="GF140" s="15"/>
      <c r="GG140" s="15"/>
      <c r="GH140" s="15"/>
      <c r="GI140" s="15"/>
      <c r="GJ140" s="15"/>
      <c r="GK140" s="15"/>
      <c r="GL140" s="184"/>
      <c r="GM140" s="15"/>
      <c r="GN140" s="15"/>
      <c r="GO140" s="15"/>
      <c r="GP140" s="15"/>
      <c r="GQ140" s="15"/>
      <c r="GR140" s="15"/>
      <c r="GS140" s="184"/>
      <c r="GT140" s="15"/>
      <c r="GU140" s="15"/>
      <c r="GV140" s="15"/>
      <c r="GW140" s="15"/>
      <c r="GX140" s="15"/>
      <c r="GY140" s="15"/>
      <c r="GZ140" s="184"/>
      <c r="HA140" s="15"/>
      <c r="HB140" s="15"/>
      <c r="HC140" s="15"/>
      <c r="HD140" s="15"/>
      <c r="HE140" s="15"/>
      <c r="HF140" s="15"/>
      <c r="HG140" s="184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  <c r="JT140" s="15"/>
      <c r="JU140" s="15"/>
      <c r="JV140" s="15"/>
      <c r="JW140" s="15"/>
      <c r="JX140" s="15"/>
      <c r="JY140" s="15"/>
      <c r="JZ140" s="15"/>
      <c r="KA140" s="15"/>
      <c r="KB140" s="15"/>
      <c r="KC140" s="15"/>
      <c r="KD140" s="15"/>
      <c r="KE140" s="15"/>
      <c r="KF140" s="15"/>
      <c r="KG140" s="15"/>
      <c r="KH140" s="15"/>
      <c r="KI140" s="15"/>
      <c r="KJ140" s="15"/>
      <c r="KK140" s="15"/>
      <c r="KL140" s="15"/>
      <c r="KM140" s="15"/>
      <c r="KN140" s="15"/>
      <c r="KO140" s="15"/>
      <c r="KP140" s="15"/>
      <c r="KQ140" s="15"/>
      <c r="KR140" s="15"/>
      <c r="KS140" s="15"/>
      <c r="KT140" s="15"/>
      <c r="KU140" s="15"/>
      <c r="KV140" s="15"/>
      <c r="KW140" s="15"/>
      <c r="KX140" s="15"/>
      <c r="KY140" s="15"/>
      <c r="KZ140" s="15"/>
      <c r="LA140" s="15"/>
      <c r="LB140" s="15"/>
      <c r="LC140" s="15"/>
      <c r="LD140" s="15"/>
      <c r="LE140" s="15"/>
      <c r="LF140" s="15"/>
      <c r="LG140" s="15"/>
      <c r="LH140" s="15"/>
      <c r="LI140" s="15"/>
      <c r="LJ140" s="15"/>
      <c r="LK140" s="15"/>
      <c r="LL140" s="15"/>
      <c r="LM140" s="15"/>
      <c r="LN140" s="15"/>
      <c r="LO140" s="15"/>
      <c r="LP140" s="15"/>
      <c r="LQ140" s="15"/>
      <c r="LR140" s="15"/>
      <c r="LS140" s="15"/>
      <c r="LT140" s="15"/>
      <c r="LU140" s="15"/>
      <c r="LV140" s="15"/>
      <c r="LW140" s="15"/>
      <c r="LX140" s="15"/>
      <c r="LY140" s="15"/>
      <c r="LZ140" s="15"/>
      <c r="MA140" s="15"/>
      <c r="MB140" s="15"/>
      <c r="MC140" s="15"/>
      <c r="MD140" s="15"/>
      <c r="ME140" s="15"/>
      <c r="MF140" s="15"/>
      <c r="MG140" s="15"/>
      <c r="MH140" s="15"/>
      <c r="MI140" s="15"/>
      <c r="MJ140" s="15"/>
      <c r="MK140" s="15"/>
      <c r="ML140" s="15"/>
      <c r="MM140" s="15"/>
      <c r="MN140" s="15"/>
      <c r="MO140" s="15"/>
      <c r="MP140" s="15"/>
      <c r="MQ140" s="15"/>
      <c r="MR140" s="15"/>
      <c r="MS140" s="15"/>
      <c r="MT140" s="15"/>
      <c r="MU140" s="15"/>
      <c r="MV140" s="15"/>
      <c r="MW140" s="15"/>
      <c r="MX140" s="15"/>
      <c r="MY140" s="15"/>
      <c r="MZ140" s="15"/>
      <c r="NA140" s="15"/>
      <c r="NB140" s="15"/>
      <c r="NC140" s="15"/>
      <c r="ND140" s="15"/>
      <c r="NE140" s="15"/>
      <c r="NF140" s="15"/>
      <c r="NG140" s="15"/>
      <c r="NH140" s="15"/>
      <c r="NI140" s="15"/>
      <c r="NJ140" s="15"/>
      <c r="NK140" s="15"/>
      <c r="NL140" s="15"/>
      <c r="NM140" s="15"/>
      <c r="NN140" s="15"/>
      <c r="NO140" s="15"/>
      <c r="NP140" s="15"/>
      <c r="NQ140" s="15"/>
      <c r="NR140" s="15"/>
      <c r="NS140" s="15"/>
      <c r="NT140" s="15"/>
      <c r="NU140" s="15"/>
      <c r="NV140" s="15"/>
      <c r="NW140" s="15"/>
      <c r="NX140" s="15"/>
      <c r="NY140" s="15"/>
      <c r="NZ140" s="15"/>
    </row>
    <row r="141" spans="2:390" ht="19.5" customHeight="1" x14ac:dyDescent="0.45">
      <c r="B141" s="1">
        <f t="shared" si="126"/>
        <v>4</v>
      </c>
      <c r="C141" s="1">
        <f>+C140</f>
        <v>4</v>
      </c>
      <c r="D141" s="1">
        <f>+D140+1</f>
        <v>1</v>
      </c>
      <c r="E141" s="59" t="str">
        <f t="shared" si="125"/>
        <v>4.4.1</v>
      </c>
      <c r="F141" s="23" t="s">
        <v>122</v>
      </c>
      <c r="G141" s="191">
        <v>1</v>
      </c>
      <c r="H141" s="52" t="s">
        <v>117</v>
      </c>
      <c r="I141" s="52" t="s">
        <v>158</v>
      </c>
      <c r="J141" s="52">
        <v>33</v>
      </c>
      <c r="K141" s="52">
        <v>0</v>
      </c>
      <c r="L141" s="20">
        <f>+J141-K141</f>
        <v>33</v>
      </c>
      <c r="M141" s="52">
        <v>3</v>
      </c>
      <c r="N141" s="52">
        <v>12</v>
      </c>
      <c r="O141" s="51">
        <f t="shared" si="127"/>
        <v>36</v>
      </c>
      <c r="P141" s="51">
        <f>+SUM(AA141:NZ141)</f>
        <v>36</v>
      </c>
      <c r="Q141" s="51">
        <f>+O141-P141</f>
        <v>0</v>
      </c>
      <c r="R141" s="19">
        <v>46125</v>
      </c>
      <c r="S141" s="20">
        <v>5</v>
      </c>
      <c r="T141" s="21">
        <f t="shared" si="109"/>
        <v>46129</v>
      </c>
      <c r="U141" s="22">
        <f>+K141/J141</f>
        <v>0</v>
      </c>
      <c r="V141" s="199">
        <f t="shared" si="110"/>
        <v>0</v>
      </c>
      <c r="W141" s="158">
        <f>SUMIFS($AA141:$NZ141, $AA$8:$NZ$8, $W$13)/$O141</f>
        <v>0</v>
      </c>
      <c r="X141" s="159">
        <f t="shared" si="128"/>
        <v>0</v>
      </c>
      <c r="Y141" s="199">
        <f t="shared" si="111"/>
        <v>0</v>
      </c>
      <c r="Z141" s="36"/>
      <c r="AA141" s="15"/>
      <c r="AB141" s="15"/>
      <c r="AC141" s="15"/>
      <c r="AD141" s="15"/>
      <c r="AE141" s="15"/>
      <c r="AF141" s="15"/>
      <c r="AG141" s="184"/>
      <c r="AH141" s="15"/>
      <c r="AI141" s="15"/>
      <c r="AJ141" s="15"/>
      <c r="AK141" s="15"/>
      <c r="AL141" s="15"/>
      <c r="AM141" s="15"/>
      <c r="AN141" s="184"/>
      <c r="AO141" s="15"/>
      <c r="AP141" s="15"/>
      <c r="AQ141" s="15"/>
      <c r="AR141" s="15"/>
      <c r="AS141" s="15"/>
      <c r="AT141" s="15"/>
      <c r="AU141" s="184"/>
      <c r="AV141" s="15"/>
      <c r="AW141" s="15"/>
      <c r="AX141" s="15"/>
      <c r="AY141" s="15"/>
      <c r="AZ141" s="15"/>
      <c r="BA141" s="15"/>
      <c r="BB141" s="184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84"/>
      <c r="CE141" s="15"/>
      <c r="CF141" s="15"/>
      <c r="CG141" s="15"/>
      <c r="CH141" s="15"/>
      <c r="CI141" s="15"/>
      <c r="CJ141" s="15"/>
      <c r="CK141" s="184"/>
      <c r="CL141" s="15"/>
      <c r="CM141" s="15"/>
      <c r="CN141" s="15"/>
      <c r="CO141" s="15"/>
      <c r="CP141" s="15"/>
      <c r="CQ141" s="15"/>
      <c r="CR141" s="184"/>
      <c r="CS141" s="15"/>
      <c r="CT141" s="15"/>
      <c r="CU141" s="15"/>
      <c r="CV141" s="15"/>
      <c r="CW141" s="15"/>
      <c r="CX141" s="15"/>
      <c r="CY141" s="184"/>
      <c r="CZ141" s="15"/>
      <c r="DA141" s="15"/>
      <c r="DB141" s="15"/>
      <c r="DC141" s="15"/>
      <c r="DD141" s="15"/>
      <c r="DE141" s="15"/>
      <c r="DF141" s="184"/>
      <c r="DG141" s="15"/>
      <c r="DH141" s="15"/>
      <c r="DI141" s="15"/>
      <c r="DJ141" s="15"/>
      <c r="DK141" s="15"/>
      <c r="DL141" s="15"/>
      <c r="DM141" s="184"/>
      <c r="DN141" s="15"/>
      <c r="DO141" s="15"/>
      <c r="DP141" s="15"/>
      <c r="DQ141" s="15"/>
      <c r="DR141" s="15"/>
      <c r="DS141" s="15"/>
      <c r="DT141" s="184"/>
      <c r="DU141" s="15"/>
      <c r="DV141" s="15"/>
      <c r="DW141" s="15"/>
      <c r="DX141" s="15"/>
      <c r="DY141" s="15"/>
      <c r="DZ141" s="15"/>
      <c r="EA141" s="184"/>
      <c r="EB141" s="15"/>
      <c r="EC141" s="15"/>
      <c r="ED141" s="15"/>
      <c r="EE141" s="15"/>
      <c r="EF141" s="15"/>
      <c r="EG141" s="15"/>
      <c r="EH141" s="184"/>
      <c r="EI141" s="15"/>
      <c r="EJ141" s="15"/>
      <c r="EK141" s="15"/>
      <c r="EL141" s="15"/>
      <c r="EM141" s="15"/>
      <c r="EN141" s="15"/>
      <c r="EO141" s="184"/>
      <c r="EP141" s="15"/>
      <c r="EQ141" s="15"/>
      <c r="ER141" s="15"/>
      <c r="ES141" s="15"/>
      <c r="ET141" s="15"/>
      <c r="EU141" s="15"/>
      <c r="EV141" s="184"/>
      <c r="EW141" s="15"/>
      <c r="EX141" s="15"/>
      <c r="EY141" s="15"/>
      <c r="EZ141" s="15"/>
      <c r="FA141" s="15"/>
      <c r="FB141" s="15"/>
      <c r="FC141" s="184"/>
      <c r="FD141" s="15"/>
      <c r="FE141" s="15"/>
      <c r="FF141" s="15"/>
      <c r="FG141" s="15"/>
      <c r="FH141" s="15"/>
      <c r="FI141" s="15"/>
      <c r="FJ141" s="184"/>
      <c r="FK141" s="15">
        <v>6</v>
      </c>
      <c r="FL141" s="15">
        <v>6</v>
      </c>
      <c r="FM141" s="15">
        <v>6</v>
      </c>
      <c r="FN141" s="15">
        <v>6</v>
      </c>
      <c r="FO141" s="15">
        <v>6</v>
      </c>
      <c r="FP141" s="15">
        <v>6</v>
      </c>
      <c r="FQ141" s="184"/>
      <c r="FR141" s="15"/>
      <c r="FS141" s="15"/>
      <c r="FT141" s="15"/>
      <c r="FU141" s="15"/>
      <c r="FV141" s="15"/>
      <c r="FW141" s="178"/>
      <c r="FX141" s="184"/>
      <c r="FY141" s="181"/>
      <c r="FZ141" s="15"/>
      <c r="GA141" s="15"/>
      <c r="GB141" s="15"/>
      <c r="GC141" s="15"/>
      <c r="GD141" s="15"/>
      <c r="GE141" s="184"/>
      <c r="GF141" s="15"/>
      <c r="GG141" s="15"/>
      <c r="GH141" s="15"/>
      <c r="GI141" s="15"/>
      <c r="GJ141" s="15"/>
      <c r="GK141" s="15"/>
      <c r="GL141" s="184"/>
      <c r="GM141" s="15"/>
      <c r="GN141" s="15"/>
      <c r="GO141" s="15"/>
      <c r="GP141" s="15"/>
      <c r="GQ141" s="15"/>
      <c r="GR141" s="15"/>
      <c r="GS141" s="184"/>
      <c r="GT141" s="15"/>
      <c r="GU141" s="15"/>
      <c r="GV141" s="15"/>
      <c r="GW141" s="15"/>
      <c r="GX141" s="15"/>
      <c r="GY141" s="15"/>
      <c r="GZ141" s="184"/>
      <c r="HA141" s="15"/>
      <c r="HB141" s="15"/>
      <c r="HC141" s="15"/>
      <c r="HD141" s="15"/>
      <c r="HE141" s="15"/>
      <c r="HF141" s="15"/>
      <c r="HG141" s="184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/>
      <c r="KE141" s="15"/>
      <c r="KF141" s="15"/>
      <c r="KG141" s="15"/>
      <c r="KH141" s="15"/>
      <c r="KI141" s="15"/>
      <c r="KJ141" s="15"/>
      <c r="KK141" s="15"/>
      <c r="KL141" s="15"/>
      <c r="KM141" s="15"/>
      <c r="KN141" s="15"/>
      <c r="KO141" s="15"/>
      <c r="KP141" s="15"/>
      <c r="KQ141" s="15"/>
      <c r="KR141" s="15"/>
      <c r="KS141" s="15"/>
      <c r="KT141" s="15"/>
      <c r="KU141" s="15"/>
      <c r="KV141" s="15"/>
      <c r="KW141" s="15"/>
      <c r="KX141" s="15"/>
      <c r="KY141" s="15"/>
      <c r="KZ141" s="15"/>
      <c r="LA141" s="15"/>
      <c r="LB141" s="15"/>
      <c r="LC141" s="15"/>
      <c r="LD141" s="15"/>
      <c r="LE141" s="15"/>
      <c r="LF141" s="15"/>
      <c r="LG141" s="15"/>
      <c r="LH141" s="15"/>
      <c r="LI141" s="15"/>
      <c r="LJ141" s="15"/>
      <c r="LK141" s="15"/>
      <c r="LL141" s="15"/>
      <c r="LM141" s="15"/>
      <c r="LN141" s="15"/>
      <c r="LO141" s="15"/>
      <c r="LP141" s="15"/>
      <c r="LQ141" s="15"/>
      <c r="LR141" s="15"/>
      <c r="LS141" s="15"/>
      <c r="LT141" s="15"/>
      <c r="LU141" s="15"/>
      <c r="LV141" s="15"/>
      <c r="LW141" s="15"/>
      <c r="LX141" s="15"/>
      <c r="LY141" s="15"/>
      <c r="LZ141" s="15"/>
      <c r="MA141" s="15"/>
      <c r="MB141" s="15"/>
      <c r="MC141" s="15"/>
      <c r="MD141" s="15"/>
      <c r="ME141" s="15"/>
      <c r="MF141" s="15"/>
      <c r="MG141" s="15"/>
      <c r="MH141" s="15"/>
      <c r="MI141" s="15"/>
      <c r="MJ141" s="15"/>
      <c r="MK141" s="15"/>
      <c r="ML141" s="15"/>
      <c r="MM141" s="15"/>
      <c r="MN141" s="15"/>
      <c r="MO141" s="15"/>
      <c r="MP141" s="15"/>
      <c r="MQ141" s="15"/>
      <c r="MR141" s="15"/>
      <c r="MS141" s="15"/>
      <c r="MT141" s="15"/>
      <c r="MU141" s="15"/>
      <c r="MV141" s="15"/>
      <c r="MW141" s="15"/>
      <c r="MX141" s="15"/>
      <c r="MY141" s="15"/>
      <c r="MZ141" s="15"/>
      <c r="NA141" s="15"/>
      <c r="NB141" s="15"/>
      <c r="NC141" s="15"/>
      <c r="ND141" s="15"/>
      <c r="NE141" s="15"/>
      <c r="NF141" s="15"/>
      <c r="NG141" s="15"/>
      <c r="NH141" s="15"/>
      <c r="NI141" s="15"/>
      <c r="NJ141" s="15"/>
      <c r="NK141" s="15"/>
      <c r="NL141" s="15"/>
      <c r="NM141" s="15"/>
      <c r="NN141" s="15"/>
      <c r="NO141" s="15"/>
      <c r="NP141" s="15"/>
      <c r="NQ141" s="15"/>
      <c r="NR141" s="15"/>
      <c r="NS141" s="15"/>
      <c r="NT141" s="15"/>
      <c r="NU141" s="15"/>
      <c r="NV141" s="15"/>
      <c r="NW141" s="15"/>
      <c r="NX141" s="15"/>
      <c r="NY141" s="15"/>
      <c r="NZ141" s="15"/>
    </row>
    <row r="142" spans="2:390" ht="19.5" customHeight="1" x14ac:dyDescent="0.45">
      <c r="B142" s="1">
        <f t="shared" si="126"/>
        <v>4</v>
      </c>
      <c r="C142" s="1">
        <f>+C141</f>
        <v>4</v>
      </c>
      <c r="D142" s="1">
        <f>+D141+1</f>
        <v>2</v>
      </c>
      <c r="E142" s="59" t="str">
        <f t="shared" si="125"/>
        <v>4.4.2</v>
      </c>
      <c r="F142" s="23" t="s">
        <v>123</v>
      </c>
      <c r="G142" s="191">
        <v>1</v>
      </c>
      <c r="H142" s="52" t="s">
        <v>117</v>
      </c>
      <c r="I142" s="52" t="s">
        <v>156</v>
      </c>
      <c r="J142" s="52">
        <f>85*3</f>
        <v>255</v>
      </c>
      <c r="K142" s="52">
        <v>0</v>
      </c>
      <c r="L142" s="20">
        <f>+J142-K142</f>
        <v>255</v>
      </c>
      <c r="M142" s="52">
        <v>2</v>
      </c>
      <c r="N142" s="52">
        <v>6</v>
      </c>
      <c r="O142" s="51">
        <f t="shared" si="127"/>
        <v>12</v>
      </c>
      <c r="P142" s="51">
        <f>+SUM(AA142:NZ142)</f>
        <v>12</v>
      </c>
      <c r="Q142" s="51">
        <f>+O142-P142</f>
        <v>0</v>
      </c>
      <c r="R142" s="19">
        <v>46111</v>
      </c>
      <c r="S142" s="20">
        <v>5</v>
      </c>
      <c r="T142" s="21">
        <f t="shared" si="109"/>
        <v>46115</v>
      </c>
      <c r="U142" s="22">
        <f>+K142/J142</f>
        <v>0</v>
      </c>
      <c r="V142" s="199">
        <f t="shared" si="110"/>
        <v>0</v>
      </c>
      <c r="W142" s="158">
        <f>SUMIFS($AA142:$NZ142, $AA$8:$NZ$8, $W$13)/$O142</f>
        <v>0</v>
      </c>
      <c r="X142" s="159">
        <f t="shared" si="128"/>
        <v>0</v>
      </c>
      <c r="Y142" s="199">
        <f t="shared" si="111"/>
        <v>0</v>
      </c>
      <c r="Z142" s="36"/>
      <c r="AA142" s="15"/>
      <c r="AB142" s="15"/>
      <c r="AC142" s="15"/>
      <c r="AD142" s="15"/>
      <c r="AE142" s="15"/>
      <c r="AF142" s="15"/>
      <c r="AG142" s="184"/>
      <c r="AH142" s="15"/>
      <c r="AI142" s="15"/>
      <c r="AJ142" s="15"/>
      <c r="AK142" s="15"/>
      <c r="AL142" s="15"/>
      <c r="AM142" s="15"/>
      <c r="AN142" s="184"/>
      <c r="AO142" s="15"/>
      <c r="AP142" s="15"/>
      <c r="AQ142" s="15"/>
      <c r="AR142" s="15"/>
      <c r="AS142" s="15"/>
      <c r="AT142" s="15"/>
      <c r="AU142" s="184"/>
      <c r="AV142" s="15"/>
      <c r="AW142" s="15"/>
      <c r="AX142" s="15"/>
      <c r="AY142" s="15"/>
      <c r="AZ142" s="15"/>
      <c r="BA142" s="15"/>
      <c r="BB142" s="184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84"/>
      <c r="CE142" s="15"/>
      <c r="CF142" s="15"/>
      <c r="CG142" s="15"/>
      <c r="CH142" s="15"/>
      <c r="CI142" s="15"/>
      <c r="CJ142" s="15"/>
      <c r="CK142" s="184"/>
      <c r="CL142" s="15"/>
      <c r="CM142" s="15"/>
      <c r="CN142" s="15"/>
      <c r="CO142" s="15"/>
      <c r="CP142" s="15"/>
      <c r="CQ142" s="15"/>
      <c r="CR142" s="184"/>
      <c r="CS142" s="15"/>
      <c r="CT142" s="15"/>
      <c r="CU142" s="15"/>
      <c r="CV142" s="15"/>
      <c r="CW142" s="15"/>
      <c r="CX142" s="15"/>
      <c r="CY142" s="184"/>
      <c r="CZ142" s="15"/>
      <c r="DA142" s="15"/>
      <c r="DB142" s="15"/>
      <c r="DC142" s="15"/>
      <c r="DD142" s="15"/>
      <c r="DE142" s="15"/>
      <c r="DF142" s="184"/>
      <c r="DG142" s="15"/>
      <c r="DH142" s="15"/>
      <c r="DI142" s="15"/>
      <c r="DJ142" s="15"/>
      <c r="DK142" s="15"/>
      <c r="DL142" s="15"/>
      <c r="DM142" s="184"/>
      <c r="DN142" s="15"/>
      <c r="DO142" s="15"/>
      <c r="DP142" s="15"/>
      <c r="DQ142" s="15"/>
      <c r="DR142" s="15"/>
      <c r="DS142" s="15"/>
      <c r="DT142" s="184"/>
      <c r="DU142" s="15"/>
      <c r="DV142" s="15"/>
      <c r="DW142" s="15"/>
      <c r="DX142" s="15"/>
      <c r="DY142" s="15"/>
      <c r="DZ142" s="15"/>
      <c r="EA142" s="184"/>
      <c r="EB142" s="15"/>
      <c r="EC142" s="15"/>
      <c r="ED142" s="15"/>
      <c r="EE142" s="15"/>
      <c r="EF142" s="15"/>
      <c r="EG142" s="15"/>
      <c r="EH142" s="184"/>
      <c r="EI142" s="15"/>
      <c r="EJ142" s="15"/>
      <c r="EK142" s="15"/>
      <c r="EL142" s="15"/>
      <c r="EM142" s="15"/>
      <c r="EN142" s="15"/>
      <c r="EO142" s="184"/>
      <c r="EP142" s="15"/>
      <c r="EQ142" s="15"/>
      <c r="ER142" s="15"/>
      <c r="ES142" s="15"/>
      <c r="ET142" s="15"/>
      <c r="EU142" s="15"/>
      <c r="EV142" s="184"/>
      <c r="EW142" s="15">
        <v>2</v>
      </c>
      <c r="EX142" s="15">
        <v>2</v>
      </c>
      <c r="EY142" s="15">
        <v>2</v>
      </c>
      <c r="EZ142" s="15">
        <v>2</v>
      </c>
      <c r="FA142" s="15">
        <v>2</v>
      </c>
      <c r="FB142" s="15">
        <v>2</v>
      </c>
      <c r="FC142" s="184"/>
      <c r="FD142" s="15"/>
      <c r="FE142" s="15"/>
      <c r="FF142" s="15"/>
      <c r="FG142" s="15"/>
      <c r="FH142" s="15"/>
      <c r="FI142" s="15"/>
      <c r="FJ142" s="184"/>
      <c r="FK142" s="15"/>
      <c r="FL142" s="15"/>
      <c r="FM142" s="15"/>
      <c r="FN142" s="15"/>
      <c r="FO142" s="15"/>
      <c r="FP142" s="15"/>
      <c r="FQ142" s="184"/>
      <c r="FR142" s="15"/>
      <c r="FS142" s="15"/>
      <c r="FT142" s="15"/>
      <c r="FU142" s="15"/>
      <c r="FV142" s="15"/>
      <c r="FW142" s="178"/>
      <c r="FX142" s="184"/>
      <c r="FY142" s="181"/>
      <c r="FZ142" s="15"/>
      <c r="GA142" s="15"/>
      <c r="GB142" s="15"/>
      <c r="GC142" s="15"/>
      <c r="GD142" s="15"/>
      <c r="GE142" s="184"/>
      <c r="GF142" s="15"/>
      <c r="GG142" s="15"/>
      <c r="GH142" s="15"/>
      <c r="GI142" s="15"/>
      <c r="GJ142" s="15"/>
      <c r="GK142" s="15"/>
      <c r="GL142" s="184"/>
      <c r="GM142" s="15"/>
      <c r="GN142" s="15"/>
      <c r="GO142" s="15"/>
      <c r="GP142" s="15"/>
      <c r="GQ142" s="15"/>
      <c r="GR142" s="15"/>
      <c r="GS142" s="184"/>
      <c r="GT142" s="15"/>
      <c r="GU142" s="15"/>
      <c r="GV142" s="15"/>
      <c r="GW142" s="15"/>
      <c r="GX142" s="15"/>
      <c r="GY142" s="15"/>
      <c r="GZ142" s="184"/>
      <c r="HA142" s="15"/>
      <c r="HB142" s="15"/>
      <c r="HC142" s="15"/>
      <c r="HD142" s="15"/>
      <c r="HE142" s="15"/>
      <c r="HF142" s="15"/>
      <c r="HG142" s="184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  <c r="MG142" s="15"/>
      <c r="MH142" s="15"/>
      <c r="MI142" s="15"/>
      <c r="MJ142" s="15"/>
      <c r="MK142" s="15"/>
      <c r="ML142" s="15"/>
      <c r="MM142" s="15"/>
      <c r="MN142" s="15"/>
      <c r="MO142" s="15"/>
      <c r="MP142" s="15"/>
      <c r="MQ142" s="15"/>
      <c r="MR142" s="15"/>
      <c r="MS142" s="15"/>
      <c r="MT142" s="15"/>
      <c r="MU142" s="15"/>
      <c r="MV142" s="15"/>
      <c r="MW142" s="15"/>
      <c r="MX142" s="15"/>
      <c r="MY142" s="15"/>
      <c r="MZ142" s="15"/>
      <c r="NA142" s="15"/>
      <c r="NB142" s="15"/>
      <c r="NC142" s="15"/>
      <c r="ND142" s="15"/>
      <c r="NE142" s="15"/>
      <c r="NF142" s="15"/>
      <c r="NG142" s="15"/>
      <c r="NH142" s="15"/>
      <c r="NI142" s="15"/>
      <c r="NJ142" s="15"/>
      <c r="NK142" s="15"/>
      <c r="NL142" s="15"/>
      <c r="NM142" s="15"/>
      <c r="NN142" s="15"/>
      <c r="NO142" s="15"/>
      <c r="NP142" s="15"/>
      <c r="NQ142" s="15"/>
      <c r="NR142" s="15"/>
      <c r="NS142" s="15"/>
      <c r="NT142" s="15"/>
      <c r="NU142" s="15"/>
      <c r="NV142" s="15"/>
      <c r="NW142" s="15"/>
      <c r="NX142" s="15"/>
      <c r="NY142" s="15"/>
      <c r="NZ142" s="15"/>
    </row>
    <row r="143" spans="2:390" ht="19.5" customHeight="1" x14ac:dyDescent="0.45">
      <c r="B143" s="1">
        <f t="shared" si="126"/>
        <v>4</v>
      </c>
      <c r="C143" s="1">
        <f>+C142</f>
        <v>4</v>
      </c>
      <c r="D143" s="1">
        <f>+D142+1</f>
        <v>3</v>
      </c>
      <c r="E143" s="59" t="str">
        <f t="shared" si="125"/>
        <v>4.4.3</v>
      </c>
      <c r="F143" s="23" t="s">
        <v>124</v>
      </c>
      <c r="G143" s="191">
        <v>1</v>
      </c>
      <c r="H143" s="52" t="s">
        <v>117</v>
      </c>
      <c r="I143" s="52" t="s">
        <v>156</v>
      </c>
      <c r="J143" s="52">
        <f>27+19+J141</f>
        <v>79</v>
      </c>
      <c r="K143" s="52">
        <v>0</v>
      </c>
      <c r="L143" s="20">
        <f>+J143-K143</f>
        <v>79</v>
      </c>
      <c r="M143" s="52">
        <v>2</v>
      </c>
      <c r="N143" s="52">
        <v>12</v>
      </c>
      <c r="O143" s="51">
        <f t="shared" si="127"/>
        <v>24</v>
      </c>
      <c r="P143" s="51">
        <f>+SUM(AA143:NZ143)</f>
        <v>24</v>
      </c>
      <c r="Q143" s="51">
        <f>+O143-P143</f>
        <v>0</v>
      </c>
      <c r="R143" s="19">
        <v>46111</v>
      </c>
      <c r="S143" s="20">
        <v>10</v>
      </c>
      <c r="T143" s="21">
        <f t="shared" si="109"/>
        <v>46122</v>
      </c>
      <c r="U143" s="22">
        <f>+K143/J143</f>
        <v>0</v>
      </c>
      <c r="V143" s="199">
        <f t="shared" si="110"/>
        <v>0</v>
      </c>
      <c r="W143" s="158">
        <f>SUMIFS($AA143:$NZ143, $AA$8:$NZ$8, $W$13)/$O143</f>
        <v>0</v>
      </c>
      <c r="X143" s="159">
        <f t="shared" si="128"/>
        <v>0</v>
      </c>
      <c r="Y143" s="199">
        <f t="shared" si="111"/>
        <v>0</v>
      </c>
      <c r="Z143" s="36"/>
      <c r="AA143" s="15"/>
      <c r="AB143" s="15"/>
      <c r="AC143" s="15"/>
      <c r="AD143" s="15"/>
      <c r="AE143" s="15"/>
      <c r="AF143" s="15"/>
      <c r="AG143" s="184"/>
      <c r="AH143" s="15"/>
      <c r="AI143" s="15"/>
      <c r="AJ143" s="15"/>
      <c r="AK143" s="15"/>
      <c r="AL143" s="15"/>
      <c r="AM143" s="15"/>
      <c r="AN143" s="184"/>
      <c r="AO143" s="15"/>
      <c r="AP143" s="15"/>
      <c r="AQ143" s="15"/>
      <c r="AR143" s="15"/>
      <c r="AS143" s="15"/>
      <c r="AT143" s="15"/>
      <c r="AU143" s="184"/>
      <c r="AV143" s="15"/>
      <c r="AW143" s="15"/>
      <c r="AX143" s="15"/>
      <c r="AY143" s="15"/>
      <c r="AZ143" s="15"/>
      <c r="BA143" s="15"/>
      <c r="BB143" s="184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84"/>
      <c r="CE143" s="15"/>
      <c r="CF143" s="15"/>
      <c r="CG143" s="15"/>
      <c r="CH143" s="15"/>
      <c r="CI143" s="15"/>
      <c r="CJ143" s="15"/>
      <c r="CK143" s="184"/>
      <c r="CL143" s="15"/>
      <c r="CM143" s="15"/>
      <c r="CN143" s="15"/>
      <c r="CO143" s="15"/>
      <c r="CP143" s="15"/>
      <c r="CQ143" s="15"/>
      <c r="CR143" s="184"/>
      <c r="CS143" s="15"/>
      <c r="CT143" s="15"/>
      <c r="CU143" s="15"/>
      <c r="CV143" s="15"/>
      <c r="CW143" s="15"/>
      <c r="CX143" s="15"/>
      <c r="CY143" s="184"/>
      <c r="CZ143" s="15"/>
      <c r="DA143" s="15"/>
      <c r="DB143" s="15"/>
      <c r="DC143" s="15"/>
      <c r="DD143" s="15"/>
      <c r="DE143" s="15"/>
      <c r="DF143" s="184"/>
      <c r="DG143" s="15"/>
      <c r="DH143" s="15"/>
      <c r="DI143" s="15"/>
      <c r="DJ143" s="15"/>
      <c r="DK143" s="15"/>
      <c r="DL143" s="15"/>
      <c r="DM143" s="184"/>
      <c r="DN143" s="15"/>
      <c r="DO143" s="15"/>
      <c r="DP143" s="15"/>
      <c r="DQ143" s="15"/>
      <c r="DR143" s="15"/>
      <c r="DS143" s="15"/>
      <c r="DT143" s="184"/>
      <c r="DU143" s="15"/>
      <c r="DV143" s="15"/>
      <c r="DW143" s="15"/>
      <c r="DX143" s="15"/>
      <c r="DY143" s="15"/>
      <c r="DZ143" s="15"/>
      <c r="EA143" s="184"/>
      <c r="EB143" s="15"/>
      <c r="EC143" s="15"/>
      <c r="ED143" s="15"/>
      <c r="EE143" s="15"/>
      <c r="EF143" s="15"/>
      <c r="EG143" s="15"/>
      <c r="EH143" s="184"/>
      <c r="EI143" s="15"/>
      <c r="EJ143" s="15"/>
      <c r="EK143" s="15"/>
      <c r="EL143" s="15"/>
      <c r="EM143" s="15"/>
      <c r="EN143" s="15"/>
      <c r="EO143" s="184"/>
      <c r="EP143" s="15"/>
      <c r="EQ143" s="15"/>
      <c r="ER143" s="15"/>
      <c r="ES143" s="15"/>
      <c r="ET143" s="15"/>
      <c r="EU143" s="15"/>
      <c r="EV143" s="184"/>
      <c r="EW143" s="15">
        <v>2</v>
      </c>
      <c r="EX143" s="15">
        <v>2</v>
      </c>
      <c r="EY143" s="15">
        <v>2</v>
      </c>
      <c r="EZ143" s="15">
        <v>2</v>
      </c>
      <c r="FA143" s="15">
        <v>2</v>
      </c>
      <c r="FB143" s="15">
        <v>2</v>
      </c>
      <c r="FC143" s="184"/>
      <c r="FD143" s="15">
        <v>2</v>
      </c>
      <c r="FE143" s="15">
        <v>2</v>
      </c>
      <c r="FF143" s="15">
        <v>2</v>
      </c>
      <c r="FG143" s="15">
        <v>2</v>
      </c>
      <c r="FH143" s="15">
        <v>2</v>
      </c>
      <c r="FI143" s="15">
        <v>2</v>
      </c>
      <c r="FJ143" s="184"/>
      <c r="FK143" s="15"/>
      <c r="FL143" s="15"/>
      <c r="FM143" s="15"/>
      <c r="FN143" s="15"/>
      <c r="FO143" s="15"/>
      <c r="FP143" s="15"/>
      <c r="FQ143" s="184"/>
      <c r="FR143" s="15"/>
      <c r="FS143" s="15"/>
      <c r="FT143" s="15"/>
      <c r="FU143" s="15"/>
      <c r="FV143" s="15"/>
      <c r="FW143" s="178"/>
      <c r="FX143" s="184"/>
      <c r="FY143" s="181"/>
      <c r="FZ143" s="15"/>
      <c r="GA143" s="15"/>
      <c r="GB143" s="15"/>
      <c r="GC143" s="15"/>
      <c r="GD143" s="15"/>
      <c r="GE143" s="184"/>
      <c r="GF143" s="15"/>
      <c r="GG143" s="15"/>
      <c r="GH143" s="15"/>
      <c r="GI143" s="15"/>
      <c r="GJ143" s="15"/>
      <c r="GK143" s="15"/>
      <c r="GL143" s="184"/>
      <c r="GM143" s="15"/>
      <c r="GN143" s="15"/>
      <c r="GO143" s="15"/>
      <c r="GP143" s="15"/>
      <c r="GQ143" s="15"/>
      <c r="GR143" s="15"/>
      <c r="GS143" s="184"/>
      <c r="GT143" s="15"/>
      <c r="GU143" s="15"/>
      <c r="GV143" s="15"/>
      <c r="GW143" s="15"/>
      <c r="GX143" s="15"/>
      <c r="GY143" s="15"/>
      <c r="GZ143" s="184"/>
      <c r="HA143" s="15"/>
      <c r="HB143" s="15"/>
      <c r="HC143" s="15"/>
      <c r="HD143" s="15"/>
      <c r="HE143" s="15"/>
      <c r="HF143" s="15"/>
      <c r="HG143" s="184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  <c r="MH143" s="15"/>
      <c r="MI143" s="15"/>
      <c r="MJ143" s="15"/>
      <c r="MK143" s="15"/>
      <c r="ML143" s="15"/>
      <c r="MM143" s="15"/>
      <c r="MN143" s="15"/>
      <c r="MO143" s="15"/>
      <c r="MP143" s="15"/>
      <c r="MQ143" s="15"/>
      <c r="MR143" s="15"/>
      <c r="MS143" s="15"/>
      <c r="MT143" s="15"/>
      <c r="MU143" s="15"/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</row>
    <row r="144" spans="2:390" ht="19.5" customHeight="1" x14ac:dyDescent="0.45">
      <c r="B144" s="1">
        <f t="shared" si="126"/>
        <v>4</v>
      </c>
      <c r="C144" s="1">
        <f>+C143+1</f>
        <v>5</v>
      </c>
      <c r="D144" s="1">
        <v>0</v>
      </c>
      <c r="E144" s="93" t="str">
        <f t="shared" si="125"/>
        <v>4.5.0</v>
      </c>
      <c r="F144" s="94" t="s">
        <v>49</v>
      </c>
      <c r="G144" s="94"/>
      <c r="H144" s="95"/>
      <c r="I144" s="95"/>
      <c r="J144" s="96"/>
      <c r="K144" s="96"/>
      <c r="L144" s="97"/>
      <c r="M144" s="95"/>
      <c r="N144" s="95"/>
      <c r="O144" s="95">
        <f>SUM(O145:O146)</f>
        <v>24</v>
      </c>
      <c r="P144" s="95"/>
      <c r="Q144" s="95"/>
      <c r="R144" s="168"/>
      <c r="S144" s="98"/>
      <c r="T144" s="163" t="str">
        <f t="shared" ref="T144:T165" si="129">IF(S144&lt;&gt;"",IF($Z$9="x",WORKDAY(IF(WEEKDAY(R144,1)=7,R144+2,IF(WEEKDAY(R144,1)=1,R144+1,R144)),S144-1),R144+S144-1),"")</f>
        <v/>
      </c>
      <c r="U144" s="164">
        <f>+SUMPRODUCT(U145:U146,O145:O146)/O144</f>
        <v>0</v>
      </c>
      <c r="V144" s="200">
        <f t="shared" ref="V144:V165" si="130">+U144*O144</f>
        <v>0</v>
      </c>
      <c r="W144" s="158">
        <f>SUMIFS($AA144:$NZ144, $AA$8:$NZ$8, $W$13)/$O144</f>
        <v>0</v>
      </c>
      <c r="X144" s="159">
        <f t="shared" si="128"/>
        <v>0</v>
      </c>
      <c r="Y144" s="199">
        <f t="shared" ref="Y144:Y165" si="131">+X144*O144</f>
        <v>0</v>
      </c>
      <c r="Z144" s="36"/>
      <c r="AA144" s="15"/>
      <c r="AB144" s="15"/>
      <c r="AC144" s="15"/>
      <c r="AD144" s="15"/>
      <c r="AE144" s="15"/>
      <c r="AF144" s="15"/>
      <c r="AG144" s="184"/>
      <c r="AH144" s="15"/>
      <c r="AI144" s="15"/>
      <c r="AJ144" s="15"/>
      <c r="AK144" s="15"/>
      <c r="AL144" s="15"/>
      <c r="AM144" s="15"/>
      <c r="AN144" s="184"/>
      <c r="AO144" s="15"/>
      <c r="AP144" s="15"/>
      <c r="AQ144" s="15"/>
      <c r="AR144" s="15"/>
      <c r="AS144" s="15"/>
      <c r="AT144" s="15"/>
      <c r="AU144" s="184"/>
      <c r="AV144" s="15"/>
      <c r="AW144" s="15"/>
      <c r="AX144" s="15"/>
      <c r="AY144" s="15"/>
      <c r="AZ144" s="15"/>
      <c r="BA144" s="15"/>
      <c r="BB144" s="184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84"/>
      <c r="CE144" s="15"/>
      <c r="CF144" s="15"/>
      <c r="CG144" s="15"/>
      <c r="CH144" s="15"/>
      <c r="CI144" s="15"/>
      <c r="CJ144" s="15"/>
      <c r="CK144" s="184"/>
      <c r="CL144" s="15"/>
      <c r="CM144" s="15"/>
      <c r="CN144" s="15"/>
      <c r="CO144" s="15"/>
      <c r="CP144" s="15"/>
      <c r="CQ144" s="15"/>
      <c r="CR144" s="184"/>
      <c r="CS144" s="15"/>
      <c r="CT144" s="15"/>
      <c r="CU144" s="15"/>
      <c r="CV144" s="15"/>
      <c r="CW144" s="15"/>
      <c r="CX144" s="15"/>
      <c r="CY144" s="184"/>
      <c r="CZ144" s="15"/>
      <c r="DA144" s="15"/>
      <c r="DB144" s="15"/>
      <c r="DC144" s="15"/>
      <c r="DD144" s="15"/>
      <c r="DE144" s="15"/>
      <c r="DF144" s="184"/>
      <c r="DG144" s="15"/>
      <c r="DH144" s="15"/>
      <c r="DI144" s="15"/>
      <c r="DJ144" s="15"/>
      <c r="DK144" s="15"/>
      <c r="DL144" s="15"/>
      <c r="DM144" s="184"/>
      <c r="DN144" s="15"/>
      <c r="DO144" s="15"/>
      <c r="DP144" s="15"/>
      <c r="DQ144" s="15"/>
      <c r="DR144" s="15"/>
      <c r="DS144" s="15"/>
      <c r="DT144" s="184"/>
      <c r="DU144" s="15"/>
      <c r="DV144" s="15"/>
      <c r="DW144" s="15"/>
      <c r="DX144" s="15"/>
      <c r="DY144" s="15"/>
      <c r="DZ144" s="15"/>
      <c r="EA144" s="184"/>
      <c r="EB144" s="15"/>
      <c r="EC144" s="15"/>
      <c r="ED144" s="15"/>
      <c r="EE144" s="15"/>
      <c r="EF144" s="15"/>
      <c r="EG144" s="15"/>
      <c r="EH144" s="184"/>
      <c r="EI144" s="15"/>
      <c r="EJ144" s="15"/>
      <c r="EK144" s="15"/>
      <c r="EL144" s="15"/>
      <c r="EM144" s="15"/>
      <c r="EN144" s="15"/>
      <c r="EO144" s="184"/>
      <c r="EP144" s="15"/>
      <c r="EQ144" s="15"/>
      <c r="ER144" s="15"/>
      <c r="ES144" s="15"/>
      <c r="ET144" s="15"/>
      <c r="EU144" s="15"/>
      <c r="EV144" s="184"/>
      <c r="EW144" s="15"/>
      <c r="EX144" s="15"/>
      <c r="EY144" s="15"/>
      <c r="EZ144" s="15"/>
      <c r="FA144" s="15"/>
      <c r="FB144" s="15"/>
      <c r="FC144" s="184"/>
      <c r="FD144" s="15"/>
      <c r="FE144" s="15"/>
      <c r="FF144" s="15"/>
      <c r="FG144" s="15"/>
      <c r="FH144" s="15"/>
      <c r="FI144" s="15"/>
      <c r="FJ144" s="184"/>
      <c r="FK144" s="15"/>
      <c r="FL144" s="15"/>
      <c r="FM144" s="15"/>
      <c r="FN144" s="15"/>
      <c r="FO144" s="15"/>
      <c r="FP144" s="15"/>
      <c r="FQ144" s="184"/>
      <c r="FR144" s="15"/>
      <c r="FS144" s="15"/>
      <c r="FT144" s="15"/>
      <c r="FU144" s="15"/>
      <c r="FV144" s="15"/>
      <c r="FW144" s="178"/>
      <c r="FX144" s="184"/>
      <c r="FY144" s="181"/>
      <c r="FZ144" s="15"/>
      <c r="GA144" s="15"/>
      <c r="GB144" s="15"/>
      <c r="GC144" s="15"/>
      <c r="GD144" s="15"/>
      <c r="GE144" s="184"/>
      <c r="GF144" s="15"/>
      <c r="GG144" s="15"/>
      <c r="GH144" s="15"/>
      <c r="GI144" s="15"/>
      <c r="GJ144" s="15"/>
      <c r="GK144" s="15"/>
      <c r="GL144" s="184"/>
      <c r="GM144" s="15"/>
      <c r="GN144" s="15"/>
      <c r="GO144" s="15"/>
      <c r="GP144" s="15"/>
      <c r="GQ144" s="15"/>
      <c r="GR144" s="15"/>
      <c r="GS144" s="184"/>
      <c r="GT144" s="15"/>
      <c r="GU144" s="15"/>
      <c r="GV144" s="15"/>
      <c r="GW144" s="15"/>
      <c r="GX144" s="15"/>
      <c r="GY144" s="15"/>
      <c r="GZ144" s="184"/>
      <c r="HA144" s="15"/>
      <c r="HB144" s="15"/>
      <c r="HC144" s="15"/>
      <c r="HD144" s="15"/>
      <c r="HE144" s="15"/>
      <c r="HF144" s="15"/>
      <c r="HG144" s="184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/>
      <c r="LI144" s="15"/>
      <c r="LJ144" s="15"/>
      <c r="LK144" s="15"/>
      <c r="LL144" s="15"/>
      <c r="LM144" s="15"/>
      <c r="LN144" s="15"/>
      <c r="LO144" s="15"/>
      <c r="LP144" s="15"/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  <c r="MG144" s="15"/>
      <c r="MH144" s="15"/>
      <c r="MI144" s="15"/>
      <c r="MJ144" s="15"/>
      <c r="MK144" s="15"/>
      <c r="ML144" s="15"/>
      <c r="MM144" s="15"/>
      <c r="MN144" s="15"/>
      <c r="MO144" s="15"/>
      <c r="MP144" s="15"/>
      <c r="MQ144" s="15"/>
      <c r="MR144" s="15"/>
      <c r="MS144" s="15"/>
      <c r="MT144" s="15"/>
      <c r="MU144" s="15"/>
      <c r="MV144" s="15"/>
      <c r="MW144" s="15"/>
      <c r="MX144" s="15"/>
      <c r="MY144" s="15"/>
      <c r="MZ144" s="15"/>
      <c r="NA144" s="15"/>
      <c r="NB144" s="15"/>
      <c r="NC144" s="15"/>
      <c r="ND144" s="15"/>
      <c r="NE144" s="15"/>
      <c r="NF144" s="15"/>
      <c r="NG144" s="15"/>
      <c r="NH144" s="15"/>
      <c r="NI144" s="15"/>
      <c r="NJ144" s="15"/>
      <c r="NK144" s="15"/>
      <c r="NL144" s="15"/>
      <c r="NM144" s="15"/>
      <c r="NN144" s="15"/>
      <c r="NO144" s="15"/>
      <c r="NP144" s="15"/>
      <c r="NQ144" s="15"/>
      <c r="NR144" s="15"/>
      <c r="NS144" s="15"/>
      <c r="NT144" s="15"/>
      <c r="NU144" s="15"/>
      <c r="NV144" s="15"/>
      <c r="NW144" s="15"/>
      <c r="NX144" s="15"/>
      <c r="NY144" s="15"/>
      <c r="NZ144" s="15"/>
    </row>
    <row r="145" spans="2:390" ht="19.5" customHeight="1" x14ac:dyDescent="0.45">
      <c r="B145" s="1">
        <f t="shared" si="126"/>
        <v>4</v>
      </c>
      <c r="C145" s="1">
        <f>+C144</f>
        <v>5</v>
      </c>
      <c r="D145" s="1">
        <f>+D144+1</f>
        <v>1</v>
      </c>
      <c r="E145" s="59" t="str">
        <f t="shared" si="125"/>
        <v>4.5.1</v>
      </c>
      <c r="F145" s="23" t="s">
        <v>47</v>
      </c>
      <c r="G145" s="191">
        <v>1</v>
      </c>
      <c r="H145" s="52" t="s">
        <v>117</v>
      </c>
      <c r="I145" s="52" t="s">
        <v>158</v>
      </c>
      <c r="J145" s="52">
        <v>43</v>
      </c>
      <c r="K145" s="52">
        <v>0</v>
      </c>
      <c r="L145" s="20">
        <f>+J145-K145</f>
        <v>43</v>
      </c>
      <c r="M145" s="52">
        <v>2</v>
      </c>
      <c r="N145" s="52">
        <v>6</v>
      </c>
      <c r="O145" s="51">
        <f t="shared" si="127"/>
        <v>12</v>
      </c>
      <c r="P145" s="51">
        <f>+SUM(AA145:NZ145)</f>
        <v>12</v>
      </c>
      <c r="Q145" s="51">
        <f>+O145-P145</f>
        <v>0</v>
      </c>
      <c r="R145" s="19">
        <v>46132</v>
      </c>
      <c r="S145" s="20">
        <v>5</v>
      </c>
      <c r="T145" s="21">
        <f t="shared" si="129"/>
        <v>46136</v>
      </c>
      <c r="U145" s="22">
        <f>+K145/J145</f>
        <v>0</v>
      </c>
      <c r="V145" s="199">
        <f t="shared" si="130"/>
        <v>0</v>
      </c>
      <c r="W145" s="158">
        <f>SUMIFS($AA145:$NZ145, $AA$8:$NZ$8, $W$13)/$O145</f>
        <v>0</v>
      </c>
      <c r="X145" s="159">
        <f t="shared" si="128"/>
        <v>0</v>
      </c>
      <c r="Y145" s="199">
        <f t="shared" si="131"/>
        <v>0</v>
      </c>
      <c r="Z145" s="36"/>
      <c r="AA145" s="15"/>
      <c r="AB145" s="15"/>
      <c r="AC145" s="15"/>
      <c r="AD145" s="15"/>
      <c r="AE145" s="15"/>
      <c r="AF145" s="15"/>
      <c r="AG145" s="184"/>
      <c r="AH145" s="15"/>
      <c r="AI145" s="15"/>
      <c r="AJ145" s="15"/>
      <c r="AK145" s="15"/>
      <c r="AL145" s="15"/>
      <c r="AM145" s="15"/>
      <c r="AN145" s="184"/>
      <c r="AO145" s="15"/>
      <c r="AP145" s="15"/>
      <c r="AQ145" s="15"/>
      <c r="AR145" s="15"/>
      <c r="AS145" s="15"/>
      <c r="AT145" s="15"/>
      <c r="AU145" s="184"/>
      <c r="AV145" s="15"/>
      <c r="AW145" s="15"/>
      <c r="AX145" s="15"/>
      <c r="AY145" s="15"/>
      <c r="AZ145" s="15"/>
      <c r="BA145" s="15"/>
      <c r="BB145" s="184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84"/>
      <c r="CE145" s="15"/>
      <c r="CF145" s="15"/>
      <c r="CG145" s="15"/>
      <c r="CH145" s="15"/>
      <c r="CI145" s="15"/>
      <c r="CJ145" s="15"/>
      <c r="CK145" s="184"/>
      <c r="CL145" s="15"/>
      <c r="CM145" s="15"/>
      <c r="CN145" s="15"/>
      <c r="CO145" s="15"/>
      <c r="CP145" s="15"/>
      <c r="CQ145" s="15"/>
      <c r="CR145" s="184"/>
      <c r="CS145" s="15"/>
      <c r="CT145" s="15"/>
      <c r="CU145" s="15"/>
      <c r="CV145" s="15"/>
      <c r="CW145" s="15"/>
      <c r="CX145" s="15"/>
      <c r="CY145" s="184"/>
      <c r="CZ145" s="15"/>
      <c r="DA145" s="15"/>
      <c r="DB145" s="15"/>
      <c r="DC145" s="15"/>
      <c r="DD145" s="15"/>
      <c r="DE145" s="15"/>
      <c r="DF145" s="184"/>
      <c r="DG145" s="15"/>
      <c r="DH145" s="15"/>
      <c r="DI145" s="15"/>
      <c r="DJ145" s="15"/>
      <c r="DK145" s="15"/>
      <c r="DL145" s="15"/>
      <c r="DM145" s="184"/>
      <c r="DN145" s="15"/>
      <c r="DO145" s="15"/>
      <c r="DP145" s="15"/>
      <c r="DQ145" s="15"/>
      <c r="DR145" s="15"/>
      <c r="DS145" s="15"/>
      <c r="DT145" s="184"/>
      <c r="DU145" s="15"/>
      <c r="DV145" s="15"/>
      <c r="DW145" s="15"/>
      <c r="DX145" s="15"/>
      <c r="DY145" s="15"/>
      <c r="DZ145" s="15"/>
      <c r="EA145" s="184"/>
      <c r="EB145" s="15"/>
      <c r="EC145" s="15"/>
      <c r="ED145" s="15"/>
      <c r="EE145" s="15"/>
      <c r="EF145" s="15"/>
      <c r="EG145" s="15"/>
      <c r="EH145" s="184"/>
      <c r="EI145" s="15"/>
      <c r="EJ145" s="15"/>
      <c r="EK145" s="15"/>
      <c r="EL145" s="15"/>
      <c r="EM145" s="15"/>
      <c r="EN145" s="15"/>
      <c r="EO145" s="184"/>
      <c r="EP145" s="15"/>
      <c r="EQ145" s="15"/>
      <c r="ER145" s="15"/>
      <c r="ES145" s="15"/>
      <c r="ET145" s="15"/>
      <c r="EU145" s="15"/>
      <c r="EV145" s="184"/>
      <c r="EW145" s="15"/>
      <c r="EX145" s="15"/>
      <c r="EY145" s="15"/>
      <c r="EZ145" s="15"/>
      <c r="FA145" s="15"/>
      <c r="FB145" s="15"/>
      <c r="FC145" s="184"/>
      <c r="FD145" s="15"/>
      <c r="FE145" s="15"/>
      <c r="FF145" s="15"/>
      <c r="FG145" s="15"/>
      <c r="FH145" s="15"/>
      <c r="FI145" s="15"/>
      <c r="FJ145" s="184"/>
      <c r="FK145" s="15"/>
      <c r="FL145" s="15"/>
      <c r="FM145" s="15"/>
      <c r="FN145" s="15"/>
      <c r="FO145" s="15"/>
      <c r="FP145" s="15"/>
      <c r="FQ145" s="184"/>
      <c r="FR145" s="15">
        <v>2</v>
      </c>
      <c r="FS145" s="15">
        <v>2</v>
      </c>
      <c r="FT145" s="15">
        <v>2</v>
      </c>
      <c r="FU145" s="15">
        <v>2</v>
      </c>
      <c r="FV145" s="15">
        <v>2</v>
      </c>
      <c r="FW145" s="178">
        <v>2</v>
      </c>
      <c r="FX145" s="184"/>
      <c r="FY145" s="181"/>
      <c r="FZ145" s="15"/>
      <c r="GA145" s="15"/>
      <c r="GB145" s="15"/>
      <c r="GC145" s="15"/>
      <c r="GD145" s="15"/>
      <c r="GE145" s="184"/>
      <c r="GF145" s="15"/>
      <c r="GG145" s="15"/>
      <c r="GH145" s="15"/>
      <c r="GI145" s="15"/>
      <c r="GJ145" s="15"/>
      <c r="GK145" s="15"/>
      <c r="GL145" s="184"/>
      <c r="GM145" s="15"/>
      <c r="GN145" s="15"/>
      <c r="GO145" s="15"/>
      <c r="GP145" s="15"/>
      <c r="GQ145" s="15"/>
      <c r="GR145" s="15"/>
      <c r="GS145" s="184"/>
      <c r="GT145" s="15"/>
      <c r="GU145" s="15"/>
      <c r="GV145" s="15"/>
      <c r="GW145" s="15"/>
      <c r="GX145" s="15"/>
      <c r="GY145" s="15"/>
      <c r="GZ145" s="184"/>
      <c r="HA145" s="15"/>
      <c r="HB145" s="15"/>
      <c r="HC145" s="15"/>
      <c r="HD145" s="15"/>
      <c r="HE145" s="15"/>
      <c r="HF145" s="15"/>
      <c r="HG145" s="184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/>
      <c r="KE145" s="15"/>
      <c r="KF145" s="15"/>
      <c r="KG145" s="15"/>
      <c r="KH145" s="15"/>
      <c r="KI145" s="15"/>
      <c r="KJ145" s="15"/>
      <c r="KK145" s="15"/>
      <c r="KL145" s="15"/>
      <c r="KM145" s="15"/>
      <c r="KN145" s="15"/>
      <c r="KO145" s="15"/>
      <c r="KP145" s="15"/>
      <c r="KQ145" s="15"/>
      <c r="KR145" s="15"/>
      <c r="KS145" s="15"/>
      <c r="KT145" s="15"/>
      <c r="KU145" s="15"/>
      <c r="KV145" s="15"/>
      <c r="KW145" s="15"/>
      <c r="KX145" s="15"/>
      <c r="KY145" s="15"/>
      <c r="KZ145" s="15"/>
      <c r="LA145" s="15"/>
      <c r="LB145" s="15"/>
      <c r="LC145" s="15"/>
      <c r="LD145" s="15"/>
      <c r="LE145" s="15"/>
      <c r="LF145" s="15"/>
      <c r="LG145" s="15"/>
      <c r="LH145" s="15"/>
      <c r="LI145" s="15"/>
      <c r="LJ145" s="15"/>
      <c r="LK145" s="15"/>
      <c r="LL145" s="15"/>
      <c r="LM145" s="15"/>
      <c r="LN145" s="15"/>
      <c r="LO145" s="15"/>
      <c r="LP145" s="15"/>
      <c r="LQ145" s="15"/>
      <c r="LR145" s="15"/>
      <c r="LS145" s="15"/>
      <c r="LT145" s="15"/>
      <c r="LU145" s="15"/>
      <c r="LV145" s="15"/>
      <c r="LW145" s="15"/>
      <c r="LX145" s="15"/>
      <c r="LY145" s="15"/>
      <c r="LZ145" s="15"/>
      <c r="MA145" s="15"/>
      <c r="MB145" s="15"/>
      <c r="MC145" s="15"/>
      <c r="MD145" s="15"/>
      <c r="ME145" s="15"/>
      <c r="MF145" s="15"/>
      <c r="MG145" s="15"/>
      <c r="MH145" s="15"/>
      <c r="MI145" s="15"/>
      <c r="MJ145" s="15"/>
      <c r="MK145" s="15"/>
      <c r="ML145" s="15"/>
      <c r="MM145" s="15"/>
      <c r="MN145" s="15"/>
      <c r="MO145" s="15"/>
      <c r="MP145" s="15"/>
      <c r="MQ145" s="15"/>
      <c r="MR145" s="15"/>
      <c r="MS145" s="15"/>
      <c r="MT145" s="15"/>
      <c r="MU145" s="15"/>
      <c r="MV145" s="15"/>
      <c r="MW145" s="15"/>
      <c r="MX145" s="15"/>
      <c r="MY145" s="15"/>
      <c r="MZ145" s="15"/>
      <c r="NA145" s="15"/>
      <c r="NB145" s="15"/>
      <c r="NC145" s="15"/>
      <c r="ND145" s="15"/>
      <c r="NE145" s="15"/>
      <c r="NF145" s="15"/>
      <c r="NG145" s="15"/>
      <c r="NH145" s="15"/>
      <c r="NI145" s="15"/>
      <c r="NJ145" s="15"/>
      <c r="NK145" s="15"/>
      <c r="NL145" s="15"/>
      <c r="NM145" s="15"/>
      <c r="NN145" s="15"/>
      <c r="NO145" s="15"/>
      <c r="NP145" s="15"/>
      <c r="NQ145" s="15"/>
      <c r="NR145" s="15"/>
      <c r="NS145" s="15"/>
      <c r="NT145" s="15"/>
      <c r="NU145" s="15"/>
      <c r="NV145" s="15"/>
      <c r="NW145" s="15"/>
      <c r="NX145" s="15"/>
      <c r="NY145" s="15"/>
      <c r="NZ145" s="15"/>
    </row>
    <row r="146" spans="2:390" ht="19.5" customHeight="1" x14ac:dyDescent="0.45">
      <c r="B146" s="1">
        <f t="shared" si="126"/>
        <v>4</v>
      </c>
      <c r="C146" s="1">
        <f>+C145</f>
        <v>5</v>
      </c>
      <c r="D146" s="1">
        <f>+D145+1</f>
        <v>2</v>
      </c>
      <c r="E146" s="59" t="str">
        <f t="shared" si="125"/>
        <v>4.5.2</v>
      </c>
      <c r="F146" s="23" t="s">
        <v>122</v>
      </c>
      <c r="G146" s="191">
        <v>1</v>
      </c>
      <c r="H146" s="52" t="s">
        <v>117</v>
      </c>
      <c r="I146" s="52" t="s">
        <v>158</v>
      </c>
      <c r="J146" s="52">
        <v>43</v>
      </c>
      <c r="K146" s="52">
        <v>0</v>
      </c>
      <c r="L146" s="20">
        <f>+J146-K146</f>
        <v>43</v>
      </c>
      <c r="M146" s="52">
        <v>2</v>
      </c>
      <c r="N146" s="52">
        <v>6</v>
      </c>
      <c r="O146" s="51">
        <f t="shared" si="127"/>
        <v>12</v>
      </c>
      <c r="P146" s="51">
        <f>+SUM(AA146:NZ146)</f>
        <v>12</v>
      </c>
      <c r="Q146" s="51">
        <f>+O146-P146</f>
        <v>0</v>
      </c>
      <c r="R146" s="19">
        <v>46132</v>
      </c>
      <c r="S146" s="20">
        <v>5</v>
      </c>
      <c r="T146" s="21">
        <f t="shared" si="129"/>
        <v>46136</v>
      </c>
      <c r="U146" s="22">
        <f>+K146/J146</f>
        <v>0</v>
      </c>
      <c r="V146" s="199">
        <f t="shared" si="130"/>
        <v>0</v>
      </c>
      <c r="W146" s="158">
        <f>SUMIFS($AA146:$NZ146, $AA$8:$NZ$8, $W$13)/$O146</f>
        <v>0</v>
      </c>
      <c r="X146" s="159">
        <f t="shared" si="128"/>
        <v>0</v>
      </c>
      <c r="Y146" s="199">
        <f t="shared" si="131"/>
        <v>0</v>
      </c>
      <c r="Z146" s="36"/>
      <c r="AA146" s="15"/>
      <c r="AB146" s="15"/>
      <c r="AC146" s="15"/>
      <c r="AD146" s="15"/>
      <c r="AE146" s="15"/>
      <c r="AF146" s="15"/>
      <c r="AG146" s="184"/>
      <c r="AH146" s="15"/>
      <c r="AI146" s="15"/>
      <c r="AJ146" s="15"/>
      <c r="AK146" s="15"/>
      <c r="AL146" s="15"/>
      <c r="AM146" s="15"/>
      <c r="AN146" s="184"/>
      <c r="AO146" s="15"/>
      <c r="AP146" s="15"/>
      <c r="AQ146" s="15"/>
      <c r="AR146" s="15"/>
      <c r="AS146" s="15"/>
      <c r="AT146" s="15"/>
      <c r="AU146" s="184"/>
      <c r="AV146" s="15"/>
      <c r="AW146" s="15"/>
      <c r="AX146" s="15"/>
      <c r="AY146" s="15"/>
      <c r="AZ146" s="15"/>
      <c r="BA146" s="15"/>
      <c r="BB146" s="184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84"/>
      <c r="CE146" s="15"/>
      <c r="CF146" s="15"/>
      <c r="CG146" s="15"/>
      <c r="CH146" s="15"/>
      <c r="CI146" s="15"/>
      <c r="CJ146" s="15"/>
      <c r="CK146" s="184"/>
      <c r="CL146" s="15"/>
      <c r="CM146" s="15"/>
      <c r="CN146" s="15"/>
      <c r="CO146" s="15"/>
      <c r="CP146" s="15"/>
      <c r="CQ146" s="15"/>
      <c r="CR146" s="184"/>
      <c r="CS146" s="15"/>
      <c r="CT146" s="15"/>
      <c r="CU146" s="15"/>
      <c r="CV146" s="15"/>
      <c r="CW146" s="15"/>
      <c r="CX146" s="15"/>
      <c r="CY146" s="184"/>
      <c r="CZ146" s="15"/>
      <c r="DA146" s="15"/>
      <c r="DB146" s="15"/>
      <c r="DC146" s="15"/>
      <c r="DD146" s="15"/>
      <c r="DE146" s="15"/>
      <c r="DF146" s="184"/>
      <c r="DG146" s="15"/>
      <c r="DH146" s="15"/>
      <c r="DI146" s="15"/>
      <c r="DJ146" s="15"/>
      <c r="DK146" s="15"/>
      <c r="DL146" s="15"/>
      <c r="DM146" s="184"/>
      <c r="DN146" s="15"/>
      <c r="DO146" s="15"/>
      <c r="DP146" s="15"/>
      <c r="DQ146" s="15"/>
      <c r="DR146" s="15"/>
      <c r="DS146" s="15"/>
      <c r="DT146" s="184"/>
      <c r="DU146" s="15"/>
      <c r="DV146" s="15"/>
      <c r="DW146" s="15"/>
      <c r="DX146" s="15"/>
      <c r="DY146" s="15"/>
      <c r="DZ146" s="15"/>
      <c r="EA146" s="184"/>
      <c r="EB146" s="15"/>
      <c r="EC146" s="15"/>
      <c r="ED146" s="15"/>
      <c r="EE146" s="15"/>
      <c r="EF146" s="15"/>
      <c r="EG146" s="15"/>
      <c r="EH146" s="184"/>
      <c r="EI146" s="15"/>
      <c r="EJ146" s="15"/>
      <c r="EK146" s="15"/>
      <c r="EL146" s="15"/>
      <c r="EM146" s="15"/>
      <c r="EN146" s="15"/>
      <c r="EO146" s="184"/>
      <c r="EP146" s="15"/>
      <c r="EQ146" s="15"/>
      <c r="ER146" s="15"/>
      <c r="ES146" s="15"/>
      <c r="ET146" s="15"/>
      <c r="EU146" s="15"/>
      <c r="EV146" s="184"/>
      <c r="EW146" s="15"/>
      <c r="EX146" s="15"/>
      <c r="EY146" s="15"/>
      <c r="EZ146" s="15"/>
      <c r="FA146" s="15"/>
      <c r="FB146" s="15"/>
      <c r="FC146" s="184"/>
      <c r="FD146" s="15"/>
      <c r="FE146" s="15"/>
      <c r="FF146" s="15"/>
      <c r="FG146" s="15"/>
      <c r="FH146" s="15"/>
      <c r="FI146" s="15"/>
      <c r="FJ146" s="184"/>
      <c r="FK146" s="15"/>
      <c r="FL146" s="15"/>
      <c r="FM146" s="15"/>
      <c r="FN146" s="15"/>
      <c r="FO146" s="15"/>
      <c r="FP146" s="15"/>
      <c r="FQ146" s="184"/>
      <c r="FR146" s="15">
        <v>2</v>
      </c>
      <c r="FS146" s="15">
        <v>2</v>
      </c>
      <c r="FT146" s="15">
        <v>2</v>
      </c>
      <c r="FU146" s="15">
        <v>2</v>
      </c>
      <c r="FV146" s="15">
        <v>2</v>
      </c>
      <c r="FW146" s="178">
        <v>2</v>
      </c>
      <c r="FX146" s="184"/>
      <c r="FY146" s="181"/>
      <c r="FZ146" s="15"/>
      <c r="GA146" s="15"/>
      <c r="GB146" s="15"/>
      <c r="GC146" s="15"/>
      <c r="GD146" s="15"/>
      <c r="GE146" s="184"/>
      <c r="GF146" s="15"/>
      <c r="GG146" s="15"/>
      <c r="GH146" s="15"/>
      <c r="GI146" s="15"/>
      <c r="GJ146" s="15"/>
      <c r="GK146" s="15"/>
      <c r="GL146" s="184"/>
      <c r="GM146" s="15"/>
      <c r="GN146" s="15"/>
      <c r="GO146" s="15"/>
      <c r="GP146" s="15"/>
      <c r="GQ146" s="15"/>
      <c r="GR146" s="15"/>
      <c r="GS146" s="184"/>
      <c r="GT146" s="15"/>
      <c r="GU146" s="15"/>
      <c r="GV146" s="15"/>
      <c r="GW146" s="15"/>
      <c r="GX146" s="15"/>
      <c r="GY146" s="15"/>
      <c r="GZ146" s="184"/>
      <c r="HA146" s="15"/>
      <c r="HB146" s="15"/>
      <c r="HC146" s="15"/>
      <c r="HD146" s="15"/>
      <c r="HE146" s="15"/>
      <c r="HF146" s="15"/>
      <c r="HG146" s="184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  <c r="MG146" s="15"/>
      <c r="MH146" s="15"/>
      <c r="MI146" s="15"/>
      <c r="MJ146" s="15"/>
      <c r="MK146" s="15"/>
      <c r="ML146" s="15"/>
      <c r="MM146" s="15"/>
      <c r="MN146" s="15"/>
      <c r="MO146" s="15"/>
      <c r="MP146" s="15"/>
      <c r="MQ146" s="15"/>
      <c r="MR146" s="15"/>
      <c r="MS146" s="15"/>
      <c r="MT146" s="15"/>
      <c r="MU146" s="15"/>
      <c r="MV146" s="15"/>
      <c r="MW146" s="15"/>
      <c r="MX146" s="15"/>
      <c r="MY146" s="15"/>
      <c r="MZ146" s="15"/>
      <c r="NA146" s="15"/>
      <c r="NB146" s="15"/>
      <c r="NC146" s="15"/>
      <c r="ND146" s="15"/>
      <c r="NE146" s="15"/>
      <c r="NF146" s="15"/>
      <c r="NG146" s="15"/>
      <c r="NH146" s="15"/>
      <c r="NI146" s="15"/>
      <c r="NJ146" s="15"/>
      <c r="NK146" s="15"/>
      <c r="NL146" s="15"/>
      <c r="NM146" s="15"/>
      <c r="NN146" s="15"/>
      <c r="NO146" s="15"/>
      <c r="NP146" s="15"/>
      <c r="NQ146" s="15"/>
      <c r="NR146" s="15"/>
      <c r="NS146" s="15"/>
      <c r="NT146" s="15"/>
      <c r="NU146" s="15"/>
      <c r="NV146" s="15"/>
      <c r="NW146" s="15"/>
      <c r="NX146" s="15"/>
      <c r="NY146" s="15"/>
      <c r="NZ146" s="15"/>
    </row>
    <row r="147" spans="2:390" ht="19.5" customHeight="1" x14ac:dyDescent="0.45">
      <c r="B147" s="1">
        <f t="shared" si="126"/>
        <v>4</v>
      </c>
      <c r="C147" s="1">
        <f>+C146+1</f>
        <v>6</v>
      </c>
      <c r="D147" s="1">
        <v>0</v>
      </c>
      <c r="E147" s="93" t="str">
        <f t="shared" si="125"/>
        <v>4.6.0</v>
      </c>
      <c r="F147" s="94" t="s">
        <v>14</v>
      </c>
      <c r="G147" s="94"/>
      <c r="H147" s="95"/>
      <c r="I147" s="95"/>
      <c r="J147" s="97"/>
      <c r="K147" s="97"/>
      <c r="L147" s="98"/>
      <c r="M147" s="97"/>
      <c r="N147" s="97"/>
      <c r="O147" s="95">
        <f>SUM(O148)</f>
        <v>24</v>
      </c>
      <c r="P147" s="95"/>
      <c r="Q147" s="95"/>
      <c r="R147" s="168"/>
      <c r="S147" s="98"/>
      <c r="T147" s="163" t="str">
        <f t="shared" si="129"/>
        <v/>
      </c>
      <c r="U147" s="164">
        <f>+SUMPRODUCT(U148,O148)/O147</f>
        <v>0</v>
      </c>
      <c r="V147" s="200">
        <f t="shared" si="130"/>
        <v>0</v>
      </c>
      <c r="W147" s="158">
        <f>SUMIFS($AA147:$NZ147, $AA$8:$NZ$8, $W$13)/$O147</f>
        <v>0</v>
      </c>
      <c r="X147" s="159">
        <f t="shared" si="128"/>
        <v>0</v>
      </c>
      <c r="Y147" s="199">
        <f t="shared" si="131"/>
        <v>0</v>
      </c>
      <c r="Z147" s="36"/>
      <c r="AA147" s="15"/>
      <c r="AB147" s="15"/>
      <c r="AC147" s="15"/>
      <c r="AD147" s="15"/>
      <c r="AE147" s="15"/>
      <c r="AF147" s="15"/>
      <c r="AG147" s="184"/>
      <c r="AH147" s="15"/>
      <c r="AI147" s="15"/>
      <c r="AJ147" s="15"/>
      <c r="AK147" s="15"/>
      <c r="AL147" s="15"/>
      <c r="AM147" s="15"/>
      <c r="AN147" s="184"/>
      <c r="AO147" s="15"/>
      <c r="AP147" s="15"/>
      <c r="AQ147" s="15"/>
      <c r="AR147" s="15"/>
      <c r="AS147" s="15"/>
      <c r="AT147" s="15"/>
      <c r="AU147" s="184"/>
      <c r="AV147" s="15"/>
      <c r="AW147" s="15"/>
      <c r="AX147" s="15"/>
      <c r="AY147" s="15"/>
      <c r="AZ147" s="15"/>
      <c r="BA147" s="15"/>
      <c r="BB147" s="184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84"/>
      <c r="CE147" s="15"/>
      <c r="CF147" s="15"/>
      <c r="CG147" s="15"/>
      <c r="CH147" s="15"/>
      <c r="CI147" s="15"/>
      <c r="CJ147" s="15"/>
      <c r="CK147" s="184"/>
      <c r="CL147" s="15"/>
      <c r="CM147" s="15"/>
      <c r="CN147" s="15"/>
      <c r="CO147" s="15"/>
      <c r="CP147" s="15"/>
      <c r="CQ147" s="15"/>
      <c r="CR147" s="184"/>
      <c r="CS147" s="15"/>
      <c r="CT147" s="15"/>
      <c r="CU147" s="15"/>
      <c r="CV147" s="15"/>
      <c r="CW147" s="15"/>
      <c r="CX147" s="15"/>
      <c r="CY147" s="184"/>
      <c r="CZ147" s="15"/>
      <c r="DA147" s="15"/>
      <c r="DB147" s="15"/>
      <c r="DC147" s="15"/>
      <c r="DD147" s="15"/>
      <c r="DE147" s="15"/>
      <c r="DF147" s="184"/>
      <c r="DG147" s="15"/>
      <c r="DH147" s="15"/>
      <c r="DI147" s="15"/>
      <c r="DJ147" s="15"/>
      <c r="DK147" s="15"/>
      <c r="DL147" s="15"/>
      <c r="DM147" s="184"/>
      <c r="DN147" s="15"/>
      <c r="DO147" s="15"/>
      <c r="DP147" s="15"/>
      <c r="DQ147" s="15"/>
      <c r="DR147" s="15"/>
      <c r="DS147" s="15"/>
      <c r="DT147" s="184"/>
      <c r="DU147" s="15"/>
      <c r="DV147" s="15"/>
      <c r="DW147" s="15"/>
      <c r="DX147" s="15"/>
      <c r="DY147" s="15"/>
      <c r="DZ147" s="15"/>
      <c r="EA147" s="184"/>
      <c r="EB147" s="15"/>
      <c r="EC147" s="15"/>
      <c r="ED147" s="15"/>
      <c r="EE147" s="15"/>
      <c r="EF147" s="15"/>
      <c r="EG147" s="15"/>
      <c r="EH147" s="184"/>
      <c r="EI147" s="15"/>
      <c r="EJ147" s="15"/>
      <c r="EK147" s="15"/>
      <c r="EL147" s="15"/>
      <c r="EM147" s="15"/>
      <c r="EN147" s="15"/>
      <c r="EO147" s="184"/>
      <c r="EP147" s="15"/>
      <c r="EQ147" s="15"/>
      <c r="ER147" s="15"/>
      <c r="ES147" s="15"/>
      <c r="ET147" s="15"/>
      <c r="EU147" s="15"/>
      <c r="EV147" s="184"/>
      <c r="EW147" s="15"/>
      <c r="EX147" s="15"/>
      <c r="EY147" s="15"/>
      <c r="EZ147" s="15"/>
      <c r="FA147" s="15"/>
      <c r="FB147" s="15"/>
      <c r="FC147" s="184"/>
      <c r="FD147" s="15"/>
      <c r="FE147" s="15"/>
      <c r="FF147" s="15"/>
      <c r="FG147" s="15"/>
      <c r="FH147" s="15"/>
      <c r="FI147" s="15"/>
      <c r="FJ147" s="184"/>
      <c r="FK147" s="15"/>
      <c r="FL147" s="15"/>
      <c r="FM147" s="15"/>
      <c r="FN147" s="15"/>
      <c r="FO147" s="15"/>
      <c r="FP147" s="15"/>
      <c r="FQ147" s="184"/>
      <c r="FR147" s="15"/>
      <c r="FS147" s="15"/>
      <c r="FT147" s="15"/>
      <c r="FU147" s="15"/>
      <c r="FV147" s="15"/>
      <c r="FW147" s="178"/>
      <c r="FX147" s="184"/>
      <c r="FY147" s="181"/>
      <c r="FZ147" s="15"/>
      <c r="GA147" s="15"/>
      <c r="GB147" s="15"/>
      <c r="GC147" s="15"/>
      <c r="GD147" s="15"/>
      <c r="GE147" s="184"/>
      <c r="GF147" s="15"/>
      <c r="GG147" s="15"/>
      <c r="GH147" s="15"/>
      <c r="GI147" s="15"/>
      <c r="GJ147" s="15"/>
      <c r="GK147" s="15"/>
      <c r="GL147" s="184"/>
      <c r="GM147" s="15"/>
      <c r="GN147" s="15"/>
      <c r="GO147" s="15"/>
      <c r="GP147" s="15"/>
      <c r="GQ147" s="15"/>
      <c r="GR147" s="15"/>
      <c r="GS147" s="184"/>
      <c r="GT147" s="15"/>
      <c r="GU147" s="15"/>
      <c r="GV147" s="15"/>
      <c r="GW147" s="15"/>
      <c r="GX147" s="15"/>
      <c r="GY147" s="15"/>
      <c r="GZ147" s="184"/>
      <c r="HA147" s="15"/>
      <c r="HB147" s="15"/>
      <c r="HC147" s="15"/>
      <c r="HD147" s="15"/>
      <c r="HE147" s="15"/>
      <c r="HF147" s="15"/>
      <c r="HG147" s="184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/>
      <c r="LI147" s="15"/>
      <c r="LJ147" s="15"/>
      <c r="LK147" s="15"/>
      <c r="LL147" s="15"/>
      <c r="LM147" s="15"/>
      <c r="LN147" s="15"/>
      <c r="LO147" s="15"/>
      <c r="LP147" s="15"/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  <c r="MG147" s="15"/>
      <c r="MH147" s="15"/>
      <c r="MI147" s="15"/>
      <c r="MJ147" s="15"/>
      <c r="MK147" s="15"/>
      <c r="ML147" s="15"/>
      <c r="MM147" s="15"/>
      <c r="MN147" s="15"/>
      <c r="MO147" s="15"/>
      <c r="MP147" s="15"/>
      <c r="MQ147" s="15"/>
      <c r="MR147" s="15"/>
      <c r="MS147" s="15"/>
      <c r="MT147" s="15"/>
      <c r="MU147" s="15"/>
      <c r="MV147" s="15"/>
      <c r="MW147" s="15"/>
      <c r="MX147" s="15"/>
      <c r="MY147" s="15"/>
      <c r="MZ147" s="15"/>
      <c r="NA147" s="15"/>
      <c r="NB147" s="15"/>
      <c r="NC147" s="15"/>
      <c r="ND147" s="15"/>
      <c r="NE147" s="15"/>
      <c r="NF147" s="15"/>
      <c r="NG147" s="15"/>
      <c r="NH147" s="15"/>
      <c r="NI147" s="15"/>
      <c r="NJ147" s="15"/>
      <c r="NK147" s="15"/>
      <c r="NL147" s="15"/>
      <c r="NM147" s="15"/>
      <c r="NN147" s="15"/>
      <c r="NO147" s="15"/>
      <c r="NP147" s="15"/>
      <c r="NQ147" s="15"/>
      <c r="NR147" s="15"/>
      <c r="NS147" s="15"/>
      <c r="NT147" s="15"/>
      <c r="NU147" s="15"/>
      <c r="NV147" s="15"/>
      <c r="NW147" s="15"/>
      <c r="NX147" s="15"/>
      <c r="NY147" s="15"/>
      <c r="NZ147" s="15"/>
    </row>
    <row r="148" spans="2:390" ht="19.5" customHeight="1" x14ac:dyDescent="0.45">
      <c r="B148" s="1">
        <f t="shared" si="126"/>
        <v>4</v>
      </c>
      <c r="C148" s="1">
        <f>+C147</f>
        <v>6</v>
      </c>
      <c r="D148" s="1">
        <f>+D147+1</f>
        <v>1</v>
      </c>
      <c r="E148" s="59" t="str">
        <f t="shared" si="125"/>
        <v>4.6.1</v>
      </c>
      <c r="F148" s="23" t="s">
        <v>97</v>
      </c>
      <c r="G148" s="191">
        <v>1</v>
      </c>
      <c r="H148" s="52" t="s">
        <v>117</v>
      </c>
      <c r="I148" s="52" t="s">
        <v>156</v>
      </c>
      <c r="J148" s="52">
        <v>18</v>
      </c>
      <c r="K148" s="52">
        <v>0</v>
      </c>
      <c r="L148" s="20">
        <f>+J148-K148</f>
        <v>18</v>
      </c>
      <c r="M148" s="52">
        <v>2</v>
      </c>
      <c r="N148" s="52">
        <v>12</v>
      </c>
      <c r="O148" s="51">
        <f t="shared" si="127"/>
        <v>24</v>
      </c>
      <c r="P148" s="51">
        <f>+SUM(AA148:NZ148)</f>
        <v>24</v>
      </c>
      <c r="Q148" s="51">
        <f>+O148-P148</f>
        <v>0</v>
      </c>
      <c r="R148" s="19">
        <v>46125</v>
      </c>
      <c r="S148" s="20">
        <v>10</v>
      </c>
      <c r="T148" s="21">
        <f t="shared" si="129"/>
        <v>46136</v>
      </c>
      <c r="U148" s="22">
        <f>+K148/J148</f>
        <v>0</v>
      </c>
      <c r="V148" s="199">
        <f t="shared" si="130"/>
        <v>0</v>
      </c>
      <c r="W148" s="158">
        <f>SUMIFS($AA148:$NZ148, $AA$8:$NZ$8, $W$13)/$O148</f>
        <v>0</v>
      </c>
      <c r="X148" s="159">
        <f t="shared" si="128"/>
        <v>0</v>
      </c>
      <c r="Y148" s="199">
        <f t="shared" si="131"/>
        <v>0</v>
      </c>
      <c r="Z148" s="36"/>
      <c r="AA148" s="15"/>
      <c r="AB148" s="15"/>
      <c r="AC148" s="15"/>
      <c r="AD148" s="15"/>
      <c r="AE148" s="15"/>
      <c r="AF148" s="15"/>
      <c r="AG148" s="184"/>
      <c r="AH148" s="15"/>
      <c r="AI148" s="15"/>
      <c r="AJ148" s="15"/>
      <c r="AK148" s="15"/>
      <c r="AL148" s="15"/>
      <c r="AM148" s="15"/>
      <c r="AN148" s="184"/>
      <c r="AO148" s="15"/>
      <c r="AP148" s="15"/>
      <c r="AQ148" s="15"/>
      <c r="AR148" s="15"/>
      <c r="AS148" s="15"/>
      <c r="AT148" s="15"/>
      <c r="AU148" s="184"/>
      <c r="AV148" s="15"/>
      <c r="AW148" s="15"/>
      <c r="AX148" s="15"/>
      <c r="AY148" s="15"/>
      <c r="AZ148" s="15"/>
      <c r="BA148" s="15"/>
      <c r="BB148" s="184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84"/>
      <c r="CE148" s="15"/>
      <c r="CF148" s="15"/>
      <c r="CG148" s="15"/>
      <c r="CH148" s="15"/>
      <c r="CI148" s="15"/>
      <c r="CJ148" s="15"/>
      <c r="CK148" s="184"/>
      <c r="CL148" s="15"/>
      <c r="CM148" s="15"/>
      <c r="CN148" s="15"/>
      <c r="CO148" s="15"/>
      <c r="CP148" s="15"/>
      <c r="CQ148" s="15"/>
      <c r="CR148" s="184"/>
      <c r="CS148" s="15"/>
      <c r="CT148" s="15"/>
      <c r="CU148" s="15"/>
      <c r="CV148" s="15"/>
      <c r="CW148" s="15"/>
      <c r="CX148" s="15"/>
      <c r="CY148" s="184"/>
      <c r="CZ148" s="15"/>
      <c r="DA148" s="15"/>
      <c r="DB148" s="15"/>
      <c r="DC148" s="15"/>
      <c r="DD148" s="15"/>
      <c r="DE148" s="15"/>
      <c r="DF148" s="184"/>
      <c r="DG148" s="15"/>
      <c r="DH148" s="15"/>
      <c r="DI148" s="15"/>
      <c r="DJ148" s="15"/>
      <c r="DK148" s="15"/>
      <c r="DL148" s="15"/>
      <c r="DM148" s="184"/>
      <c r="DN148" s="15"/>
      <c r="DO148" s="15"/>
      <c r="DP148" s="15"/>
      <c r="DQ148" s="15"/>
      <c r="DR148" s="15"/>
      <c r="DS148" s="15"/>
      <c r="DT148" s="184"/>
      <c r="DU148" s="15"/>
      <c r="DV148" s="15"/>
      <c r="DW148" s="15"/>
      <c r="DX148" s="15"/>
      <c r="DY148" s="15"/>
      <c r="DZ148" s="15"/>
      <c r="EA148" s="184"/>
      <c r="EB148" s="15"/>
      <c r="EC148" s="15"/>
      <c r="ED148" s="15"/>
      <c r="EE148" s="15"/>
      <c r="EF148" s="15"/>
      <c r="EG148" s="15"/>
      <c r="EH148" s="184"/>
      <c r="EI148" s="15"/>
      <c r="EJ148" s="15"/>
      <c r="EK148" s="15"/>
      <c r="EL148" s="15"/>
      <c r="EM148" s="15"/>
      <c r="EN148" s="15"/>
      <c r="EO148" s="184"/>
      <c r="EP148" s="15"/>
      <c r="EQ148" s="15"/>
      <c r="ER148" s="15"/>
      <c r="ES148" s="15"/>
      <c r="ET148" s="15"/>
      <c r="EU148" s="15"/>
      <c r="EV148" s="184"/>
      <c r="EW148" s="15"/>
      <c r="EX148" s="15"/>
      <c r="EY148" s="15"/>
      <c r="EZ148" s="15"/>
      <c r="FA148" s="15"/>
      <c r="FB148" s="15"/>
      <c r="FC148" s="184"/>
      <c r="FD148" s="15"/>
      <c r="FE148" s="15"/>
      <c r="FF148" s="15"/>
      <c r="FG148" s="15"/>
      <c r="FH148" s="15"/>
      <c r="FI148" s="15"/>
      <c r="FJ148" s="184"/>
      <c r="FK148" s="15">
        <v>2</v>
      </c>
      <c r="FL148" s="15">
        <v>2</v>
      </c>
      <c r="FM148" s="15">
        <v>2</v>
      </c>
      <c r="FN148" s="15">
        <v>2</v>
      </c>
      <c r="FO148" s="15">
        <v>2</v>
      </c>
      <c r="FP148" s="15">
        <v>2</v>
      </c>
      <c r="FQ148" s="184"/>
      <c r="FR148" s="15">
        <v>2</v>
      </c>
      <c r="FS148" s="15">
        <v>2</v>
      </c>
      <c r="FT148" s="15">
        <v>2</v>
      </c>
      <c r="FU148" s="15">
        <v>2</v>
      </c>
      <c r="FV148" s="15">
        <v>2</v>
      </c>
      <c r="FW148" s="178">
        <v>2</v>
      </c>
      <c r="FX148" s="184"/>
      <c r="FY148" s="181"/>
      <c r="FZ148" s="15"/>
      <c r="GA148" s="15"/>
      <c r="GB148" s="15"/>
      <c r="GC148" s="15"/>
      <c r="GD148" s="15"/>
      <c r="GE148" s="184"/>
      <c r="GF148" s="15"/>
      <c r="GG148" s="15"/>
      <c r="GH148" s="15"/>
      <c r="GI148" s="15"/>
      <c r="GJ148" s="15"/>
      <c r="GK148" s="15"/>
      <c r="GL148" s="184"/>
      <c r="GM148" s="15"/>
      <c r="GN148" s="15"/>
      <c r="GO148" s="15"/>
      <c r="GP148" s="15"/>
      <c r="GQ148" s="15"/>
      <c r="GR148" s="15"/>
      <c r="GS148" s="184"/>
      <c r="GT148" s="15"/>
      <c r="GU148" s="15"/>
      <c r="GV148" s="15"/>
      <c r="GW148" s="15"/>
      <c r="GX148" s="15"/>
      <c r="GY148" s="15"/>
      <c r="GZ148" s="184"/>
      <c r="HA148" s="15"/>
      <c r="HB148" s="15"/>
      <c r="HC148" s="15"/>
      <c r="HD148" s="15"/>
      <c r="HE148" s="15"/>
      <c r="HF148" s="15"/>
      <c r="HG148" s="184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/>
      <c r="KE148" s="15"/>
      <c r="KF148" s="15"/>
      <c r="KG148" s="15"/>
      <c r="KH148" s="15"/>
      <c r="KI148" s="15"/>
      <c r="KJ148" s="15"/>
      <c r="KK148" s="15"/>
      <c r="KL148" s="15"/>
      <c r="KM148" s="15"/>
      <c r="KN148" s="15"/>
      <c r="KO148" s="15"/>
      <c r="KP148" s="15"/>
      <c r="KQ148" s="15"/>
      <c r="KR148" s="15"/>
      <c r="KS148" s="15"/>
      <c r="KT148" s="15"/>
      <c r="KU148" s="15"/>
      <c r="KV148" s="15"/>
      <c r="KW148" s="15"/>
      <c r="KX148" s="15"/>
      <c r="KY148" s="15"/>
      <c r="KZ148" s="15"/>
      <c r="LA148" s="15"/>
      <c r="LB148" s="15"/>
      <c r="LC148" s="15"/>
      <c r="LD148" s="15"/>
      <c r="LE148" s="15"/>
      <c r="LF148" s="15"/>
      <c r="LG148" s="15"/>
      <c r="LH148" s="15"/>
      <c r="LI148" s="15"/>
      <c r="LJ148" s="15"/>
      <c r="LK148" s="15"/>
      <c r="LL148" s="15"/>
      <c r="LM148" s="15"/>
      <c r="LN148" s="15"/>
      <c r="LO148" s="15"/>
      <c r="LP148" s="15"/>
      <c r="LQ148" s="15"/>
      <c r="LR148" s="15"/>
      <c r="LS148" s="15"/>
      <c r="LT148" s="15"/>
      <c r="LU148" s="15"/>
      <c r="LV148" s="15"/>
      <c r="LW148" s="15"/>
      <c r="LX148" s="15"/>
      <c r="LY148" s="15"/>
      <c r="LZ148" s="15"/>
      <c r="MA148" s="15"/>
      <c r="MB148" s="15"/>
      <c r="MC148" s="15"/>
      <c r="MD148" s="15"/>
      <c r="ME148" s="15"/>
      <c r="MF148" s="15"/>
      <c r="MG148" s="15"/>
      <c r="MH148" s="15"/>
      <c r="MI148" s="15"/>
      <c r="MJ148" s="15"/>
      <c r="MK148" s="15"/>
      <c r="ML148" s="15"/>
      <c r="MM148" s="15"/>
      <c r="MN148" s="15"/>
      <c r="MO148" s="15"/>
      <c r="MP148" s="15"/>
      <c r="MQ148" s="15"/>
      <c r="MR148" s="15"/>
      <c r="MS148" s="15"/>
      <c r="MT148" s="15"/>
      <c r="MU148" s="15"/>
      <c r="MV148" s="15"/>
      <c r="MW148" s="15"/>
      <c r="MX148" s="15"/>
      <c r="MY148" s="15"/>
      <c r="MZ148" s="15"/>
      <c r="NA148" s="15"/>
      <c r="NB148" s="15"/>
      <c r="NC148" s="15"/>
      <c r="ND148" s="15"/>
      <c r="NE148" s="15"/>
      <c r="NF148" s="15"/>
      <c r="NG148" s="15"/>
      <c r="NH148" s="15"/>
      <c r="NI148" s="15"/>
      <c r="NJ148" s="15"/>
      <c r="NK148" s="15"/>
      <c r="NL148" s="15"/>
      <c r="NM148" s="15"/>
      <c r="NN148" s="15"/>
      <c r="NO148" s="15"/>
      <c r="NP148" s="15"/>
      <c r="NQ148" s="15"/>
      <c r="NR148" s="15"/>
      <c r="NS148" s="15"/>
      <c r="NT148" s="15"/>
      <c r="NU148" s="15"/>
      <c r="NV148" s="15"/>
      <c r="NW148" s="15"/>
      <c r="NX148" s="15"/>
      <c r="NY148" s="15"/>
      <c r="NZ148" s="15"/>
    </row>
    <row r="149" spans="2:390" ht="19.5" customHeight="1" x14ac:dyDescent="0.45">
      <c r="B149" s="1">
        <f t="shared" si="126"/>
        <v>4</v>
      </c>
      <c r="C149" s="1">
        <f>+C148+1</f>
        <v>7</v>
      </c>
      <c r="D149" s="1">
        <v>0</v>
      </c>
      <c r="E149" s="93" t="str">
        <f t="shared" si="125"/>
        <v>4.7.0</v>
      </c>
      <c r="F149" s="94" t="s">
        <v>38</v>
      </c>
      <c r="G149" s="94"/>
      <c r="H149" s="95"/>
      <c r="I149" s="95"/>
      <c r="J149" s="96"/>
      <c r="K149" s="96"/>
      <c r="L149" s="97"/>
      <c r="M149" s="95"/>
      <c r="N149" s="95"/>
      <c r="O149" s="95">
        <f>SUM(O150:O152)</f>
        <v>84</v>
      </c>
      <c r="P149" s="95"/>
      <c r="Q149" s="95"/>
      <c r="R149" s="168"/>
      <c r="S149" s="98"/>
      <c r="T149" s="163" t="str">
        <f t="shared" si="129"/>
        <v/>
      </c>
      <c r="U149" s="164">
        <f>+SUMPRODUCT(U150:U152,O150:O152)/O149</f>
        <v>0</v>
      </c>
      <c r="V149" s="200">
        <f t="shared" si="130"/>
        <v>0</v>
      </c>
      <c r="W149" s="158">
        <f>SUMIFS($AA149:$NZ149, $AA$8:$NZ$8, $W$13)/$O149</f>
        <v>0</v>
      </c>
      <c r="X149" s="159">
        <f t="shared" si="128"/>
        <v>0</v>
      </c>
      <c r="Y149" s="199">
        <f t="shared" si="131"/>
        <v>0</v>
      </c>
      <c r="Z149" s="36"/>
      <c r="AA149" s="15"/>
      <c r="AB149" s="15"/>
      <c r="AC149" s="15"/>
      <c r="AD149" s="15"/>
      <c r="AE149" s="15"/>
      <c r="AF149" s="15"/>
      <c r="AG149" s="184"/>
      <c r="AH149" s="15"/>
      <c r="AI149" s="15"/>
      <c r="AJ149" s="15"/>
      <c r="AK149" s="15"/>
      <c r="AL149" s="15"/>
      <c r="AM149" s="15"/>
      <c r="AN149" s="184"/>
      <c r="AO149" s="15"/>
      <c r="AP149" s="15"/>
      <c r="AQ149" s="15"/>
      <c r="AR149" s="15"/>
      <c r="AS149" s="15"/>
      <c r="AT149" s="15"/>
      <c r="AU149" s="184"/>
      <c r="AV149" s="15"/>
      <c r="AW149" s="15"/>
      <c r="AX149" s="15"/>
      <c r="AY149" s="15"/>
      <c r="AZ149" s="15"/>
      <c r="BA149" s="15"/>
      <c r="BB149" s="184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84"/>
      <c r="CE149" s="15"/>
      <c r="CF149" s="15"/>
      <c r="CG149" s="15"/>
      <c r="CH149" s="15"/>
      <c r="CI149" s="15"/>
      <c r="CJ149" s="15"/>
      <c r="CK149" s="184"/>
      <c r="CL149" s="15"/>
      <c r="CM149" s="15"/>
      <c r="CN149" s="15"/>
      <c r="CO149" s="15"/>
      <c r="CP149" s="15"/>
      <c r="CQ149" s="15"/>
      <c r="CR149" s="184"/>
      <c r="CS149" s="15"/>
      <c r="CT149" s="15"/>
      <c r="CU149" s="15"/>
      <c r="CV149" s="15"/>
      <c r="CW149" s="15"/>
      <c r="CX149" s="15"/>
      <c r="CY149" s="184"/>
      <c r="CZ149" s="15"/>
      <c r="DA149" s="15"/>
      <c r="DB149" s="15"/>
      <c r="DC149" s="15"/>
      <c r="DD149" s="15"/>
      <c r="DE149" s="15"/>
      <c r="DF149" s="184"/>
      <c r="DG149" s="15"/>
      <c r="DH149" s="15"/>
      <c r="DI149" s="15"/>
      <c r="DJ149" s="15"/>
      <c r="DK149" s="15"/>
      <c r="DL149" s="15"/>
      <c r="DM149" s="184"/>
      <c r="DN149" s="15"/>
      <c r="DO149" s="15"/>
      <c r="DP149" s="15"/>
      <c r="DQ149" s="15"/>
      <c r="DR149" s="15"/>
      <c r="DS149" s="15"/>
      <c r="DT149" s="184"/>
      <c r="DU149" s="15"/>
      <c r="DV149" s="15"/>
      <c r="DW149" s="15"/>
      <c r="DX149" s="15"/>
      <c r="DY149" s="15"/>
      <c r="DZ149" s="15"/>
      <c r="EA149" s="184"/>
      <c r="EB149" s="15"/>
      <c r="EC149" s="15"/>
      <c r="ED149" s="15"/>
      <c r="EE149" s="15"/>
      <c r="EF149" s="15"/>
      <c r="EG149" s="15"/>
      <c r="EH149" s="184"/>
      <c r="EI149" s="15"/>
      <c r="EJ149" s="15"/>
      <c r="EK149" s="15"/>
      <c r="EL149" s="15"/>
      <c r="EM149" s="15"/>
      <c r="EN149" s="15"/>
      <c r="EO149" s="184"/>
      <c r="EP149" s="15"/>
      <c r="EQ149" s="15"/>
      <c r="ER149" s="15"/>
      <c r="ES149" s="15"/>
      <c r="ET149" s="15"/>
      <c r="EU149" s="15"/>
      <c r="EV149" s="184"/>
      <c r="EW149" s="15"/>
      <c r="EX149" s="15"/>
      <c r="EY149" s="15"/>
      <c r="EZ149" s="15"/>
      <c r="FA149" s="15"/>
      <c r="FB149" s="15"/>
      <c r="FC149" s="184"/>
      <c r="FD149" s="15"/>
      <c r="FE149" s="15"/>
      <c r="FF149" s="15"/>
      <c r="FG149" s="15"/>
      <c r="FH149" s="15"/>
      <c r="FI149" s="15"/>
      <c r="FJ149" s="184"/>
      <c r="FK149" s="15"/>
      <c r="FL149" s="15"/>
      <c r="FM149" s="15"/>
      <c r="FN149" s="15"/>
      <c r="FO149" s="15"/>
      <c r="FP149" s="15"/>
      <c r="FQ149" s="184"/>
      <c r="FR149" s="15"/>
      <c r="FS149" s="15"/>
      <c r="FT149" s="15"/>
      <c r="FU149" s="15"/>
      <c r="FV149" s="15"/>
      <c r="FW149" s="178"/>
      <c r="FX149" s="184"/>
      <c r="FY149" s="181"/>
      <c r="FZ149" s="15"/>
      <c r="GA149" s="15"/>
      <c r="GB149" s="15"/>
      <c r="GC149" s="15"/>
      <c r="GD149" s="15"/>
      <c r="GE149" s="184"/>
      <c r="GF149" s="15"/>
      <c r="GG149" s="15"/>
      <c r="GH149" s="15"/>
      <c r="GI149" s="15"/>
      <c r="GJ149" s="15"/>
      <c r="GK149" s="15"/>
      <c r="GL149" s="184"/>
      <c r="GM149" s="15"/>
      <c r="GN149" s="15"/>
      <c r="GO149" s="15"/>
      <c r="GP149" s="15"/>
      <c r="GQ149" s="15"/>
      <c r="GR149" s="15"/>
      <c r="GS149" s="184"/>
      <c r="GT149" s="15"/>
      <c r="GU149" s="15"/>
      <c r="GV149" s="15"/>
      <c r="GW149" s="15"/>
      <c r="GX149" s="15"/>
      <c r="GY149" s="15"/>
      <c r="GZ149" s="184"/>
      <c r="HA149" s="15"/>
      <c r="HB149" s="15"/>
      <c r="HC149" s="15"/>
      <c r="HD149" s="15"/>
      <c r="HE149" s="15"/>
      <c r="HF149" s="15"/>
      <c r="HG149" s="184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/>
      <c r="LI149" s="15"/>
      <c r="LJ149" s="15"/>
      <c r="LK149" s="15"/>
      <c r="LL149" s="15"/>
      <c r="LM149" s="15"/>
      <c r="LN149" s="15"/>
      <c r="LO149" s="15"/>
      <c r="LP149" s="15"/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  <c r="MG149" s="15"/>
      <c r="MH149" s="15"/>
      <c r="MI149" s="15"/>
      <c r="MJ149" s="15"/>
      <c r="MK149" s="15"/>
      <c r="ML149" s="15"/>
      <c r="MM149" s="15"/>
      <c r="MN149" s="15"/>
      <c r="MO149" s="15"/>
      <c r="MP149" s="15"/>
      <c r="MQ149" s="15"/>
      <c r="MR149" s="15"/>
      <c r="MS149" s="15"/>
      <c r="MT149" s="15"/>
      <c r="MU149" s="15"/>
      <c r="MV149" s="15"/>
      <c r="MW149" s="15"/>
      <c r="MX149" s="15"/>
      <c r="MY149" s="15"/>
      <c r="MZ149" s="15"/>
      <c r="NA149" s="15"/>
      <c r="NB149" s="15"/>
      <c r="NC149" s="15"/>
      <c r="ND149" s="15"/>
      <c r="NE149" s="15"/>
      <c r="NF149" s="15"/>
      <c r="NG149" s="15"/>
      <c r="NH149" s="15"/>
      <c r="NI149" s="15"/>
      <c r="NJ149" s="15"/>
      <c r="NK149" s="15"/>
      <c r="NL149" s="15"/>
      <c r="NM149" s="15"/>
      <c r="NN149" s="15"/>
      <c r="NO149" s="15"/>
      <c r="NP149" s="15"/>
      <c r="NQ149" s="15"/>
      <c r="NR149" s="15"/>
      <c r="NS149" s="15"/>
      <c r="NT149" s="15"/>
      <c r="NU149" s="15"/>
      <c r="NV149" s="15"/>
      <c r="NW149" s="15"/>
      <c r="NX149" s="15"/>
      <c r="NY149" s="15"/>
      <c r="NZ149" s="15"/>
    </row>
    <row r="150" spans="2:390" ht="19.5" customHeight="1" x14ac:dyDescent="0.45">
      <c r="B150" s="1">
        <f t="shared" si="126"/>
        <v>4</v>
      </c>
      <c r="C150" s="1">
        <f>+C149</f>
        <v>7</v>
      </c>
      <c r="D150" s="1">
        <f>+D149+1</f>
        <v>1</v>
      </c>
      <c r="E150" s="59" t="str">
        <f t="shared" si="125"/>
        <v>4.7.1</v>
      </c>
      <c r="F150" s="23" t="s">
        <v>47</v>
      </c>
      <c r="G150" s="191">
        <v>1</v>
      </c>
      <c r="H150" s="52" t="s">
        <v>117</v>
      </c>
      <c r="I150" s="52" t="s">
        <v>158</v>
      </c>
      <c r="J150" s="92">
        <v>107</v>
      </c>
      <c r="K150" s="92">
        <v>0</v>
      </c>
      <c r="L150" s="55">
        <f>+J150-K150</f>
        <v>107</v>
      </c>
      <c r="M150" s="52">
        <v>2</v>
      </c>
      <c r="N150" s="52">
        <v>12</v>
      </c>
      <c r="O150" s="51">
        <f t="shared" si="127"/>
        <v>24</v>
      </c>
      <c r="P150" s="51">
        <f>+SUM(AA150:NZ150)</f>
        <v>24</v>
      </c>
      <c r="Q150" s="51">
        <f>+O150-P150</f>
        <v>0</v>
      </c>
      <c r="R150" s="19">
        <v>46125</v>
      </c>
      <c r="S150" s="20">
        <v>10</v>
      </c>
      <c r="T150" s="21">
        <f t="shared" si="129"/>
        <v>46136</v>
      </c>
      <c r="U150" s="22">
        <f>+K150/J150</f>
        <v>0</v>
      </c>
      <c r="V150" s="199">
        <f t="shared" si="130"/>
        <v>0</v>
      </c>
      <c r="W150" s="158">
        <f>SUMIFS($AA150:$NZ150, $AA$8:$NZ$8, $W$13)/$O150</f>
        <v>0</v>
      </c>
      <c r="X150" s="159">
        <f t="shared" si="128"/>
        <v>0</v>
      </c>
      <c r="Y150" s="199">
        <f t="shared" si="131"/>
        <v>0</v>
      </c>
      <c r="Z150" s="36"/>
      <c r="AA150" s="15"/>
      <c r="AB150" s="15"/>
      <c r="AC150" s="15"/>
      <c r="AD150" s="15"/>
      <c r="AE150" s="15"/>
      <c r="AF150" s="15"/>
      <c r="AG150" s="184"/>
      <c r="AH150" s="15"/>
      <c r="AI150" s="15"/>
      <c r="AJ150" s="15"/>
      <c r="AK150" s="15"/>
      <c r="AL150" s="15"/>
      <c r="AM150" s="15"/>
      <c r="AN150" s="184"/>
      <c r="AO150" s="15"/>
      <c r="AP150" s="15"/>
      <c r="AQ150" s="15"/>
      <c r="AR150" s="15"/>
      <c r="AS150" s="15"/>
      <c r="AT150" s="15"/>
      <c r="AU150" s="184"/>
      <c r="AV150" s="15"/>
      <c r="AW150" s="15"/>
      <c r="AX150" s="15"/>
      <c r="AY150" s="15"/>
      <c r="AZ150" s="15"/>
      <c r="BA150" s="15"/>
      <c r="BB150" s="184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84"/>
      <c r="CE150" s="15"/>
      <c r="CF150" s="15"/>
      <c r="CG150" s="15"/>
      <c r="CH150" s="15"/>
      <c r="CI150" s="15"/>
      <c r="CJ150" s="15"/>
      <c r="CK150" s="184"/>
      <c r="CL150" s="15"/>
      <c r="CM150" s="15"/>
      <c r="CN150" s="15"/>
      <c r="CO150" s="15"/>
      <c r="CP150" s="15"/>
      <c r="CQ150" s="15"/>
      <c r="CR150" s="184"/>
      <c r="CS150" s="15"/>
      <c r="CT150" s="15"/>
      <c r="CU150" s="15"/>
      <c r="CV150" s="15"/>
      <c r="CW150" s="15"/>
      <c r="CX150" s="15"/>
      <c r="CY150" s="184"/>
      <c r="CZ150" s="15"/>
      <c r="DA150" s="15"/>
      <c r="DB150" s="15"/>
      <c r="DC150" s="15"/>
      <c r="DD150" s="15"/>
      <c r="DE150" s="15"/>
      <c r="DF150" s="184"/>
      <c r="DG150" s="15"/>
      <c r="DH150" s="15"/>
      <c r="DI150" s="15"/>
      <c r="DJ150" s="15"/>
      <c r="DK150" s="15"/>
      <c r="DL150" s="15"/>
      <c r="DM150" s="184"/>
      <c r="DN150" s="15"/>
      <c r="DO150" s="15"/>
      <c r="DP150" s="15"/>
      <c r="DQ150" s="15"/>
      <c r="DR150" s="15"/>
      <c r="DS150" s="15"/>
      <c r="DT150" s="184"/>
      <c r="DU150" s="15"/>
      <c r="DV150" s="15"/>
      <c r="DW150" s="15"/>
      <c r="DX150" s="15"/>
      <c r="DY150" s="15"/>
      <c r="DZ150" s="15"/>
      <c r="EA150" s="184"/>
      <c r="EB150" s="15"/>
      <c r="EC150" s="15"/>
      <c r="ED150" s="15"/>
      <c r="EE150" s="15"/>
      <c r="EF150" s="15"/>
      <c r="EG150" s="15"/>
      <c r="EH150" s="184"/>
      <c r="EI150" s="15"/>
      <c r="EJ150" s="15"/>
      <c r="EK150" s="15"/>
      <c r="EL150" s="15"/>
      <c r="EM150" s="15"/>
      <c r="EN150" s="15"/>
      <c r="EO150" s="184"/>
      <c r="EP150" s="15"/>
      <c r="EQ150" s="15"/>
      <c r="ER150" s="15"/>
      <c r="ES150" s="15"/>
      <c r="ET150" s="15"/>
      <c r="EU150" s="15"/>
      <c r="EV150" s="184"/>
      <c r="EW150" s="15"/>
      <c r="EX150" s="15"/>
      <c r="EY150" s="15"/>
      <c r="EZ150" s="15"/>
      <c r="FA150" s="15"/>
      <c r="FB150" s="15"/>
      <c r="FC150" s="184"/>
      <c r="FD150" s="15"/>
      <c r="FE150" s="15"/>
      <c r="FF150" s="15"/>
      <c r="FG150" s="15"/>
      <c r="FH150" s="15"/>
      <c r="FI150" s="15"/>
      <c r="FJ150" s="184"/>
      <c r="FK150" s="15">
        <v>2</v>
      </c>
      <c r="FL150" s="15">
        <v>2</v>
      </c>
      <c r="FM150" s="15">
        <v>2</v>
      </c>
      <c r="FN150" s="15">
        <v>2</v>
      </c>
      <c r="FO150" s="15">
        <v>2</v>
      </c>
      <c r="FP150" s="15">
        <v>2</v>
      </c>
      <c r="FQ150" s="184"/>
      <c r="FR150" s="15">
        <v>2</v>
      </c>
      <c r="FS150" s="15">
        <v>2</v>
      </c>
      <c r="FT150" s="15">
        <v>2</v>
      </c>
      <c r="FU150" s="15">
        <v>2</v>
      </c>
      <c r="FV150" s="15">
        <v>2</v>
      </c>
      <c r="FW150" s="178">
        <v>2</v>
      </c>
      <c r="FX150" s="184"/>
      <c r="FY150" s="181"/>
      <c r="FZ150" s="15"/>
      <c r="GA150" s="15"/>
      <c r="GB150" s="15"/>
      <c r="GC150" s="15"/>
      <c r="GD150" s="15"/>
      <c r="GE150" s="184"/>
      <c r="GF150" s="15"/>
      <c r="GG150" s="15"/>
      <c r="GH150" s="15"/>
      <c r="GI150" s="15"/>
      <c r="GJ150" s="15"/>
      <c r="GK150" s="15"/>
      <c r="GL150" s="184"/>
      <c r="GM150" s="15"/>
      <c r="GN150" s="15"/>
      <c r="GO150" s="15"/>
      <c r="GP150" s="15"/>
      <c r="GQ150" s="15"/>
      <c r="GR150" s="15"/>
      <c r="GS150" s="184"/>
      <c r="GT150" s="15"/>
      <c r="GU150" s="15"/>
      <c r="GV150" s="15"/>
      <c r="GW150" s="15"/>
      <c r="GX150" s="15"/>
      <c r="GY150" s="15"/>
      <c r="GZ150" s="184"/>
      <c r="HA150" s="15"/>
      <c r="HB150" s="15"/>
      <c r="HC150" s="15"/>
      <c r="HD150" s="15"/>
      <c r="HE150" s="15"/>
      <c r="HF150" s="15"/>
      <c r="HG150" s="184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/>
      <c r="KE150" s="15"/>
      <c r="KF150" s="15"/>
      <c r="KG150" s="15"/>
      <c r="KH150" s="15"/>
      <c r="KI150" s="15"/>
      <c r="KJ150" s="15"/>
      <c r="KK150" s="15"/>
      <c r="KL150" s="15"/>
      <c r="KM150" s="15"/>
      <c r="KN150" s="15"/>
      <c r="KO150" s="15"/>
      <c r="KP150" s="15"/>
      <c r="KQ150" s="15"/>
      <c r="KR150" s="15"/>
      <c r="KS150" s="15"/>
      <c r="KT150" s="15"/>
      <c r="KU150" s="15"/>
      <c r="KV150" s="15"/>
      <c r="KW150" s="15"/>
      <c r="KX150" s="15"/>
      <c r="KY150" s="15"/>
      <c r="KZ150" s="15"/>
      <c r="LA150" s="15"/>
      <c r="LB150" s="15"/>
      <c r="LC150" s="15"/>
      <c r="LD150" s="15"/>
      <c r="LE150" s="15"/>
      <c r="LF150" s="15"/>
      <c r="LG150" s="15"/>
      <c r="LH150" s="15"/>
      <c r="LI150" s="15"/>
      <c r="LJ150" s="15"/>
      <c r="LK150" s="15"/>
      <c r="LL150" s="15"/>
      <c r="LM150" s="15"/>
      <c r="LN150" s="15"/>
      <c r="LO150" s="15"/>
      <c r="LP150" s="15"/>
      <c r="LQ150" s="15"/>
      <c r="LR150" s="15"/>
      <c r="LS150" s="15"/>
      <c r="LT150" s="15"/>
      <c r="LU150" s="15"/>
      <c r="LV150" s="15"/>
      <c r="LW150" s="15"/>
      <c r="LX150" s="15"/>
      <c r="LY150" s="15"/>
      <c r="LZ150" s="15"/>
      <c r="MA150" s="15"/>
      <c r="MB150" s="15"/>
      <c r="MC150" s="15"/>
      <c r="MD150" s="15"/>
      <c r="ME150" s="15"/>
      <c r="MF150" s="15"/>
      <c r="MG150" s="15"/>
      <c r="MH150" s="15"/>
      <c r="MI150" s="15"/>
      <c r="MJ150" s="15"/>
      <c r="MK150" s="15"/>
      <c r="ML150" s="15"/>
      <c r="MM150" s="15"/>
      <c r="MN150" s="15"/>
      <c r="MO150" s="15"/>
      <c r="MP150" s="15"/>
      <c r="MQ150" s="15"/>
      <c r="MR150" s="15"/>
      <c r="MS150" s="15"/>
      <c r="MT150" s="15"/>
      <c r="MU150" s="15"/>
      <c r="MV150" s="15"/>
      <c r="MW150" s="15"/>
      <c r="MX150" s="15"/>
      <c r="MY150" s="15"/>
      <c r="MZ150" s="15"/>
      <c r="NA150" s="15"/>
      <c r="NB150" s="15"/>
      <c r="NC150" s="15"/>
      <c r="ND150" s="15"/>
      <c r="NE150" s="15"/>
      <c r="NF150" s="15"/>
      <c r="NG150" s="15"/>
      <c r="NH150" s="15"/>
      <c r="NI150" s="15"/>
      <c r="NJ150" s="15"/>
      <c r="NK150" s="15"/>
      <c r="NL150" s="15"/>
      <c r="NM150" s="15"/>
      <c r="NN150" s="15"/>
      <c r="NO150" s="15"/>
      <c r="NP150" s="15"/>
      <c r="NQ150" s="15"/>
      <c r="NR150" s="15"/>
      <c r="NS150" s="15"/>
      <c r="NT150" s="15"/>
      <c r="NU150" s="15"/>
      <c r="NV150" s="15"/>
      <c r="NW150" s="15"/>
      <c r="NX150" s="15"/>
      <c r="NY150" s="15"/>
      <c r="NZ150" s="15"/>
    </row>
    <row r="151" spans="2:390" ht="19.5" customHeight="1" x14ac:dyDescent="0.45">
      <c r="B151" s="1">
        <f t="shared" si="126"/>
        <v>4</v>
      </c>
      <c r="C151" s="1">
        <f>+C150</f>
        <v>7</v>
      </c>
      <c r="D151" s="1">
        <f>+D150+1</f>
        <v>2</v>
      </c>
      <c r="E151" s="59" t="str">
        <f t="shared" si="125"/>
        <v>4.7.2</v>
      </c>
      <c r="F151" s="85" t="s">
        <v>122</v>
      </c>
      <c r="G151" s="191">
        <v>1</v>
      </c>
      <c r="H151" s="52" t="s">
        <v>117</v>
      </c>
      <c r="I151" s="52" t="s">
        <v>158</v>
      </c>
      <c r="J151" s="92">
        <v>16</v>
      </c>
      <c r="K151" s="92">
        <v>0</v>
      </c>
      <c r="L151" s="55">
        <f>+J151-K151</f>
        <v>16</v>
      </c>
      <c r="M151" s="52">
        <v>2</v>
      </c>
      <c r="N151" s="52">
        <v>6</v>
      </c>
      <c r="O151" s="51">
        <f t="shared" si="127"/>
        <v>12</v>
      </c>
      <c r="P151" s="51">
        <f>+SUM(AA151:NZ151)</f>
        <v>12</v>
      </c>
      <c r="Q151" s="51">
        <f>+O151-P151</f>
        <v>0</v>
      </c>
      <c r="R151" s="19">
        <v>46132</v>
      </c>
      <c r="S151" s="20">
        <v>5</v>
      </c>
      <c r="T151" s="21">
        <f t="shared" si="129"/>
        <v>46136</v>
      </c>
      <c r="U151" s="22">
        <f>+K151/J151</f>
        <v>0</v>
      </c>
      <c r="V151" s="199">
        <f t="shared" si="130"/>
        <v>0</v>
      </c>
      <c r="W151" s="158">
        <f>SUMIFS($AA151:$NZ151, $AA$8:$NZ$8, $W$13)/$O151</f>
        <v>0</v>
      </c>
      <c r="X151" s="159">
        <f t="shared" si="128"/>
        <v>0</v>
      </c>
      <c r="Y151" s="199">
        <f t="shared" si="131"/>
        <v>0</v>
      </c>
      <c r="Z151" s="36"/>
      <c r="AA151" s="15"/>
      <c r="AB151" s="15"/>
      <c r="AC151" s="15"/>
      <c r="AD151" s="15"/>
      <c r="AE151" s="15"/>
      <c r="AF151" s="15"/>
      <c r="AG151" s="184"/>
      <c r="AH151" s="15"/>
      <c r="AI151" s="15"/>
      <c r="AJ151" s="15"/>
      <c r="AK151" s="15"/>
      <c r="AL151" s="15"/>
      <c r="AM151" s="15"/>
      <c r="AN151" s="184"/>
      <c r="AO151" s="15"/>
      <c r="AP151" s="15"/>
      <c r="AQ151" s="15"/>
      <c r="AR151" s="15"/>
      <c r="AS151" s="15"/>
      <c r="AT151" s="15"/>
      <c r="AU151" s="184"/>
      <c r="AV151" s="15"/>
      <c r="AW151" s="15"/>
      <c r="AX151" s="15"/>
      <c r="AY151" s="15"/>
      <c r="AZ151" s="15"/>
      <c r="BA151" s="15"/>
      <c r="BB151" s="184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84"/>
      <c r="CE151" s="15"/>
      <c r="CF151" s="15"/>
      <c r="CG151" s="15"/>
      <c r="CH151" s="15"/>
      <c r="CI151" s="15"/>
      <c r="CJ151" s="15"/>
      <c r="CK151" s="184"/>
      <c r="CL151" s="15"/>
      <c r="CM151" s="15"/>
      <c r="CN151" s="15"/>
      <c r="CO151" s="15"/>
      <c r="CP151" s="15"/>
      <c r="CQ151" s="15"/>
      <c r="CR151" s="184"/>
      <c r="CS151" s="15"/>
      <c r="CT151" s="15"/>
      <c r="CU151" s="15"/>
      <c r="CV151" s="15"/>
      <c r="CW151" s="15"/>
      <c r="CX151" s="15"/>
      <c r="CY151" s="184"/>
      <c r="CZ151" s="15"/>
      <c r="DA151" s="15"/>
      <c r="DB151" s="15"/>
      <c r="DC151" s="15"/>
      <c r="DD151" s="15"/>
      <c r="DE151" s="15"/>
      <c r="DF151" s="184"/>
      <c r="DG151" s="15"/>
      <c r="DH151" s="15"/>
      <c r="DI151" s="15"/>
      <c r="DJ151" s="15"/>
      <c r="DK151" s="15"/>
      <c r="DL151" s="15"/>
      <c r="DM151" s="184"/>
      <c r="DN151" s="15"/>
      <c r="DO151" s="15"/>
      <c r="DP151" s="15"/>
      <c r="DQ151" s="15"/>
      <c r="DR151" s="15"/>
      <c r="DS151" s="15"/>
      <c r="DT151" s="184"/>
      <c r="DU151" s="15"/>
      <c r="DV151" s="15"/>
      <c r="DW151" s="15"/>
      <c r="DX151" s="15"/>
      <c r="DY151" s="15"/>
      <c r="DZ151" s="15"/>
      <c r="EA151" s="184"/>
      <c r="EB151" s="15"/>
      <c r="EC151" s="15"/>
      <c r="ED151" s="15"/>
      <c r="EE151" s="15"/>
      <c r="EF151" s="15"/>
      <c r="EG151" s="15"/>
      <c r="EH151" s="184"/>
      <c r="EI151" s="15"/>
      <c r="EJ151" s="15"/>
      <c r="EK151" s="15"/>
      <c r="EL151" s="15"/>
      <c r="EM151" s="15"/>
      <c r="EN151" s="15"/>
      <c r="EO151" s="184"/>
      <c r="EP151" s="15"/>
      <c r="EQ151" s="15"/>
      <c r="ER151" s="15"/>
      <c r="ES151" s="15"/>
      <c r="ET151" s="15"/>
      <c r="EU151" s="15"/>
      <c r="EV151" s="184"/>
      <c r="EW151" s="15"/>
      <c r="EX151" s="15"/>
      <c r="EY151" s="15"/>
      <c r="EZ151" s="15"/>
      <c r="FA151" s="15"/>
      <c r="FB151" s="15"/>
      <c r="FC151" s="184"/>
      <c r="FD151" s="15"/>
      <c r="FE151" s="15"/>
      <c r="FF151" s="15"/>
      <c r="FG151" s="15"/>
      <c r="FH151" s="15"/>
      <c r="FI151" s="15"/>
      <c r="FJ151" s="184"/>
      <c r="FK151" s="15"/>
      <c r="FL151" s="15"/>
      <c r="FM151" s="15"/>
      <c r="FN151" s="15"/>
      <c r="FO151" s="15"/>
      <c r="FP151" s="15"/>
      <c r="FQ151" s="184"/>
      <c r="FR151" s="15">
        <v>2</v>
      </c>
      <c r="FS151" s="15">
        <v>2</v>
      </c>
      <c r="FT151" s="15">
        <v>2</v>
      </c>
      <c r="FU151" s="15">
        <v>2</v>
      </c>
      <c r="FV151" s="15">
        <v>2</v>
      </c>
      <c r="FW151" s="178">
        <v>2</v>
      </c>
      <c r="FX151" s="184"/>
      <c r="FY151" s="181"/>
      <c r="FZ151" s="15"/>
      <c r="GA151" s="15"/>
      <c r="GB151" s="15"/>
      <c r="GC151" s="15"/>
      <c r="GD151" s="15"/>
      <c r="GE151" s="184"/>
      <c r="GF151" s="15"/>
      <c r="GG151" s="15"/>
      <c r="GH151" s="15"/>
      <c r="GI151" s="15"/>
      <c r="GJ151" s="15"/>
      <c r="GK151" s="15"/>
      <c r="GL151" s="184"/>
      <c r="GM151" s="15"/>
      <c r="GN151" s="15"/>
      <c r="GO151" s="15"/>
      <c r="GP151" s="15"/>
      <c r="GQ151" s="15"/>
      <c r="GR151" s="15"/>
      <c r="GS151" s="184"/>
      <c r="GT151" s="15"/>
      <c r="GU151" s="15"/>
      <c r="GV151" s="15"/>
      <c r="GW151" s="15"/>
      <c r="GX151" s="15"/>
      <c r="GY151" s="15"/>
      <c r="GZ151" s="184"/>
      <c r="HA151" s="15"/>
      <c r="HB151" s="15"/>
      <c r="HC151" s="15"/>
      <c r="HD151" s="15"/>
      <c r="HE151" s="15"/>
      <c r="HF151" s="15"/>
      <c r="HG151" s="184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  <c r="JU151" s="15"/>
      <c r="JV151" s="15"/>
      <c r="JW151" s="15"/>
      <c r="JX151" s="15"/>
      <c r="JY151" s="15"/>
      <c r="JZ151" s="15"/>
      <c r="KA151" s="15"/>
      <c r="KB151" s="15"/>
      <c r="KC151" s="15"/>
      <c r="KD151" s="15"/>
      <c r="KE151" s="15"/>
      <c r="KF151" s="15"/>
      <c r="KG151" s="15"/>
      <c r="KH151" s="15"/>
      <c r="KI151" s="15"/>
      <c r="KJ151" s="15"/>
      <c r="KK151" s="15"/>
      <c r="KL151" s="15"/>
      <c r="KM151" s="15"/>
      <c r="KN151" s="15"/>
      <c r="KO151" s="15"/>
      <c r="KP151" s="15"/>
      <c r="KQ151" s="15"/>
      <c r="KR151" s="15"/>
      <c r="KS151" s="15"/>
      <c r="KT151" s="15"/>
      <c r="KU151" s="15"/>
      <c r="KV151" s="15"/>
      <c r="KW151" s="15"/>
      <c r="KX151" s="15"/>
      <c r="KY151" s="15"/>
      <c r="KZ151" s="15"/>
      <c r="LA151" s="15"/>
      <c r="LB151" s="15"/>
      <c r="LC151" s="15"/>
      <c r="LD151" s="15"/>
      <c r="LE151" s="15"/>
      <c r="LF151" s="15"/>
      <c r="LG151" s="15"/>
      <c r="LH151" s="15"/>
      <c r="LI151" s="15"/>
      <c r="LJ151" s="15"/>
      <c r="LK151" s="15"/>
      <c r="LL151" s="15"/>
      <c r="LM151" s="15"/>
      <c r="LN151" s="15"/>
      <c r="LO151" s="15"/>
      <c r="LP151" s="15"/>
      <c r="LQ151" s="15"/>
      <c r="LR151" s="15"/>
      <c r="LS151" s="15"/>
      <c r="LT151" s="15"/>
      <c r="LU151" s="15"/>
      <c r="LV151" s="15"/>
      <c r="LW151" s="15"/>
      <c r="LX151" s="15"/>
      <c r="LY151" s="15"/>
      <c r="LZ151" s="15"/>
      <c r="MA151" s="15"/>
      <c r="MB151" s="15"/>
      <c r="MC151" s="15"/>
      <c r="MD151" s="15"/>
      <c r="ME151" s="15"/>
      <c r="MF151" s="15"/>
      <c r="MG151" s="15"/>
      <c r="MH151" s="15"/>
      <c r="MI151" s="15"/>
      <c r="MJ151" s="15"/>
      <c r="MK151" s="15"/>
      <c r="ML151" s="15"/>
      <c r="MM151" s="15"/>
      <c r="MN151" s="15"/>
      <c r="MO151" s="15"/>
      <c r="MP151" s="15"/>
      <c r="MQ151" s="15"/>
      <c r="MR151" s="15"/>
      <c r="MS151" s="15"/>
      <c r="MT151" s="15"/>
      <c r="MU151" s="15"/>
      <c r="MV151" s="15"/>
      <c r="MW151" s="15"/>
      <c r="MX151" s="15"/>
      <c r="MY151" s="15"/>
      <c r="MZ151" s="15"/>
      <c r="NA151" s="15"/>
      <c r="NB151" s="15"/>
      <c r="NC151" s="15"/>
      <c r="ND151" s="15"/>
      <c r="NE151" s="15"/>
      <c r="NF151" s="15"/>
      <c r="NG151" s="15"/>
      <c r="NH151" s="15"/>
      <c r="NI151" s="15"/>
      <c r="NJ151" s="15"/>
      <c r="NK151" s="15"/>
      <c r="NL151" s="15"/>
      <c r="NM151" s="15"/>
      <c r="NN151" s="15"/>
      <c r="NO151" s="15"/>
      <c r="NP151" s="15"/>
      <c r="NQ151" s="15"/>
      <c r="NR151" s="15"/>
      <c r="NS151" s="15"/>
      <c r="NT151" s="15"/>
      <c r="NU151" s="15"/>
      <c r="NV151" s="15"/>
      <c r="NW151" s="15"/>
      <c r="NX151" s="15"/>
      <c r="NY151" s="15"/>
      <c r="NZ151" s="15"/>
    </row>
    <row r="152" spans="2:390" ht="19.5" customHeight="1" x14ac:dyDescent="0.45">
      <c r="B152" s="1">
        <f t="shared" si="126"/>
        <v>4</v>
      </c>
      <c r="C152" s="1">
        <f>+C151</f>
        <v>7</v>
      </c>
      <c r="D152" s="1">
        <f>+D151+1</f>
        <v>3</v>
      </c>
      <c r="E152" s="59" t="str">
        <f t="shared" si="125"/>
        <v>4.7.3</v>
      </c>
      <c r="F152" s="23" t="s">
        <v>121</v>
      </c>
      <c r="G152" s="191">
        <v>1</v>
      </c>
      <c r="H152" s="52" t="s">
        <v>117</v>
      </c>
      <c r="I152" s="52" t="s">
        <v>156</v>
      </c>
      <c r="J152" s="92">
        <v>107</v>
      </c>
      <c r="K152" s="92">
        <v>0</v>
      </c>
      <c r="L152" s="55">
        <f>+J152-K152</f>
        <v>107</v>
      </c>
      <c r="M152" s="52">
        <v>2</v>
      </c>
      <c r="N152" s="52">
        <v>24</v>
      </c>
      <c r="O152" s="51">
        <f t="shared" si="127"/>
        <v>48</v>
      </c>
      <c r="P152" s="51">
        <f>+SUM(AA152:NZ152)</f>
        <v>48</v>
      </c>
      <c r="Q152" s="51">
        <f>+O152-P152</f>
        <v>0</v>
      </c>
      <c r="R152" s="19">
        <v>46111</v>
      </c>
      <c r="S152" s="20">
        <v>20</v>
      </c>
      <c r="T152" s="21">
        <f t="shared" si="129"/>
        <v>46136</v>
      </c>
      <c r="U152" s="22">
        <f>+K152/J152</f>
        <v>0</v>
      </c>
      <c r="V152" s="199">
        <f t="shared" si="130"/>
        <v>0</v>
      </c>
      <c r="W152" s="158">
        <f>SUMIFS($AA152:$NZ152, $AA$8:$NZ$8, $W$13)/$O152</f>
        <v>0</v>
      </c>
      <c r="X152" s="159">
        <f t="shared" si="128"/>
        <v>0</v>
      </c>
      <c r="Y152" s="199">
        <f t="shared" si="131"/>
        <v>0</v>
      </c>
      <c r="Z152" s="36"/>
      <c r="AA152" s="15"/>
      <c r="AB152" s="15"/>
      <c r="AC152" s="15"/>
      <c r="AD152" s="15"/>
      <c r="AE152" s="15"/>
      <c r="AF152" s="15"/>
      <c r="AG152" s="184"/>
      <c r="AH152" s="15"/>
      <c r="AI152" s="15"/>
      <c r="AJ152" s="15"/>
      <c r="AK152" s="15"/>
      <c r="AL152" s="15"/>
      <c r="AM152" s="15"/>
      <c r="AN152" s="184"/>
      <c r="AO152" s="15"/>
      <c r="AP152" s="15"/>
      <c r="AQ152" s="15"/>
      <c r="AR152" s="15"/>
      <c r="AS152" s="15"/>
      <c r="AT152" s="15"/>
      <c r="AU152" s="184"/>
      <c r="AV152" s="15"/>
      <c r="AW152" s="15"/>
      <c r="AX152" s="15"/>
      <c r="AY152" s="15"/>
      <c r="AZ152" s="15"/>
      <c r="BA152" s="15"/>
      <c r="BB152" s="184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84"/>
      <c r="CE152" s="15"/>
      <c r="CF152" s="15"/>
      <c r="CG152" s="15"/>
      <c r="CH152" s="15"/>
      <c r="CI152" s="15"/>
      <c r="CJ152" s="15"/>
      <c r="CK152" s="184"/>
      <c r="CL152" s="15"/>
      <c r="CM152" s="15"/>
      <c r="CN152" s="15"/>
      <c r="CO152" s="15"/>
      <c r="CP152" s="15"/>
      <c r="CQ152" s="15"/>
      <c r="CR152" s="184"/>
      <c r="CS152" s="15"/>
      <c r="CT152" s="15"/>
      <c r="CU152" s="15"/>
      <c r="CV152" s="15"/>
      <c r="CW152" s="15"/>
      <c r="CX152" s="15"/>
      <c r="CY152" s="184"/>
      <c r="CZ152" s="15"/>
      <c r="DA152" s="15"/>
      <c r="DB152" s="15"/>
      <c r="DC152" s="15"/>
      <c r="DD152" s="15"/>
      <c r="DE152" s="15"/>
      <c r="DF152" s="184"/>
      <c r="DG152" s="15"/>
      <c r="DH152" s="15"/>
      <c r="DI152" s="15"/>
      <c r="DJ152" s="15"/>
      <c r="DK152" s="15"/>
      <c r="DL152" s="15"/>
      <c r="DM152" s="184"/>
      <c r="DN152" s="15"/>
      <c r="DO152" s="15"/>
      <c r="DP152" s="15"/>
      <c r="DQ152" s="15"/>
      <c r="DR152" s="15"/>
      <c r="DS152" s="15"/>
      <c r="DT152" s="184"/>
      <c r="DU152" s="15"/>
      <c r="DV152" s="15"/>
      <c r="DW152" s="15"/>
      <c r="DX152" s="15"/>
      <c r="DY152" s="15"/>
      <c r="DZ152" s="15"/>
      <c r="EA152" s="184"/>
      <c r="EB152" s="15"/>
      <c r="EC152" s="15"/>
      <c r="ED152" s="15"/>
      <c r="EE152" s="15"/>
      <c r="EF152" s="15"/>
      <c r="EG152" s="15"/>
      <c r="EH152" s="184"/>
      <c r="EI152" s="15"/>
      <c r="EJ152" s="15"/>
      <c r="EK152" s="15"/>
      <c r="EL152" s="15"/>
      <c r="EM152" s="15"/>
      <c r="EN152" s="15"/>
      <c r="EO152" s="184"/>
      <c r="EP152" s="15"/>
      <c r="EQ152" s="15"/>
      <c r="ER152" s="15"/>
      <c r="ES152" s="15"/>
      <c r="ET152" s="15"/>
      <c r="EU152" s="15"/>
      <c r="EV152" s="184"/>
      <c r="EW152" s="15">
        <v>2</v>
      </c>
      <c r="EX152" s="15">
        <v>2</v>
      </c>
      <c r="EY152" s="15">
        <v>2</v>
      </c>
      <c r="EZ152" s="15">
        <v>2</v>
      </c>
      <c r="FA152" s="15">
        <v>2</v>
      </c>
      <c r="FB152" s="15">
        <v>2</v>
      </c>
      <c r="FC152" s="184"/>
      <c r="FD152" s="15">
        <v>2</v>
      </c>
      <c r="FE152" s="15">
        <v>2</v>
      </c>
      <c r="FF152" s="15">
        <v>2</v>
      </c>
      <c r="FG152" s="15">
        <v>2</v>
      </c>
      <c r="FH152" s="15">
        <v>2</v>
      </c>
      <c r="FI152" s="15">
        <v>2</v>
      </c>
      <c r="FJ152" s="184"/>
      <c r="FK152" s="15">
        <v>2</v>
      </c>
      <c r="FL152" s="15">
        <v>2</v>
      </c>
      <c r="FM152" s="15">
        <v>2</v>
      </c>
      <c r="FN152" s="15">
        <v>2</v>
      </c>
      <c r="FO152" s="15">
        <v>2</v>
      </c>
      <c r="FP152" s="15">
        <v>2</v>
      </c>
      <c r="FQ152" s="184"/>
      <c r="FR152" s="15">
        <v>2</v>
      </c>
      <c r="FS152" s="15">
        <v>2</v>
      </c>
      <c r="FT152" s="15">
        <v>2</v>
      </c>
      <c r="FU152" s="15">
        <v>2</v>
      </c>
      <c r="FV152" s="15">
        <v>2</v>
      </c>
      <c r="FW152" s="178">
        <v>2</v>
      </c>
      <c r="FX152" s="184"/>
      <c r="FY152" s="181"/>
      <c r="FZ152" s="15"/>
      <c r="GA152" s="15"/>
      <c r="GB152" s="15"/>
      <c r="GC152" s="15"/>
      <c r="GD152" s="15"/>
      <c r="GE152" s="184"/>
      <c r="GF152" s="15"/>
      <c r="GG152" s="15"/>
      <c r="GH152" s="15"/>
      <c r="GI152" s="15"/>
      <c r="GJ152" s="15"/>
      <c r="GK152" s="15"/>
      <c r="GL152" s="184"/>
      <c r="GM152" s="15"/>
      <c r="GN152" s="15"/>
      <c r="GO152" s="15"/>
      <c r="GP152" s="15"/>
      <c r="GQ152" s="15"/>
      <c r="GR152" s="15"/>
      <c r="GS152" s="184"/>
      <c r="GT152" s="15"/>
      <c r="GU152" s="15"/>
      <c r="GV152" s="15"/>
      <c r="GW152" s="15"/>
      <c r="GX152" s="15"/>
      <c r="GY152" s="15"/>
      <c r="GZ152" s="184"/>
      <c r="HA152" s="15"/>
      <c r="HB152" s="15"/>
      <c r="HC152" s="15"/>
      <c r="HD152" s="15"/>
      <c r="HE152" s="15"/>
      <c r="HF152" s="15"/>
      <c r="HG152" s="184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  <c r="JU152" s="15"/>
      <c r="JV152" s="15"/>
      <c r="JW152" s="15"/>
      <c r="JX152" s="15"/>
      <c r="JY152" s="15"/>
      <c r="JZ152" s="15"/>
      <c r="KA152" s="15"/>
      <c r="KB152" s="15"/>
      <c r="KC152" s="15"/>
      <c r="KD152" s="15"/>
      <c r="KE152" s="15"/>
      <c r="KF152" s="15"/>
      <c r="KG152" s="15"/>
      <c r="KH152" s="15"/>
      <c r="KI152" s="15"/>
      <c r="KJ152" s="15"/>
      <c r="KK152" s="15"/>
      <c r="KL152" s="15"/>
      <c r="KM152" s="15"/>
      <c r="KN152" s="15"/>
      <c r="KO152" s="15"/>
      <c r="KP152" s="15"/>
      <c r="KQ152" s="15"/>
      <c r="KR152" s="15"/>
      <c r="KS152" s="15"/>
      <c r="KT152" s="15"/>
      <c r="KU152" s="15"/>
      <c r="KV152" s="15"/>
      <c r="KW152" s="15"/>
      <c r="KX152" s="15"/>
      <c r="KY152" s="15"/>
      <c r="KZ152" s="15"/>
      <c r="LA152" s="15"/>
      <c r="LB152" s="15"/>
      <c r="LC152" s="15"/>
      <c r="LD152" s="15"/>
      <c r="LE152" s="15"/>
      <c r="LF152" s="15"/>
      <c r="LG152" s="15"/>
      <c r="LH152" s="15"/>
      <c r="LI152" s="15"/>
      <c r="LJ152" s="15"/>
      <c r="LK152" s="15"/>
      <c r="LL152" s="15"/>
      <c r="LM152" s="15"/>
      <c r="LN152" s="15"/>
      <c r="LO152" s="15"/>
      <c r="LP152" s="15"/>
      <c r="LQ152" s="15"/>
      <c r="LR152" s="15"/>
      <c r="LS152" s="15"/>
      <c r="LT152" s="15"/>
      <c r="LU152" s="15"/>
      <c r="LV152" s="15"/>
      <c r="LW152" s="15"/>
      <c r="LX152" s="15"/>
      <c r="LY152" s="15"/>
      <c r="LZ152" s="15"/>
      <c r="MA152" s="15"/>
      <c r="MB152" s="15"/>
      <c r="MC152" s="15"/>
      <c r="MD152" s="15"/>
      <c r="ME152" s="15"/>
      <c r="MF152" s="15"/>
      <c r="MG152" s="15"/>
      <c r="MH152" s="15"/>
      <c r="MI152" s="15"/>
      <c r="MJ152" s="15"/>
      <c r="MK152" s="15"/>
      <c r="ML152" s="15"/>
      <c r="MM152" s="15"/>
      <c r="MN152" s="15"/>
      <c r="MO152" s="15"/>
      <c r="MP152" s="15"/>
      <c r="MQ152" s="15"/>
      <c r="MR152" s="15"/>
      <c r="MS152" s="15"/>
      <c r="MT152" s="15"/>
      <c r="MU152" s="15"/>
      <c r="MV152" s="15"/>
      <c r="MW152" s="15"/>
      <c r="MX152" s="15"/>
      <c r="MY152" s="15"/>
      <c r="MZ152" s="15"/>
      <c r="NA152" s="15"/>
      <c r="NB152" s="15"/>
      <c r="NC152" s="15"/>
      <c r="ND152" s="15"/>
      <c r="NE152" s="15"/>
      <c r="NF152" s="15"/>
      <c r="NG152" s="15"/>
      <c r="NH152" s="15"/>
      <c r="NI152" s="15"/>
      <c r="NJ152" s="15"/>
      <c r="NK152" s="15"/>
      <c r="NL152" s="15"/>
      <c r="NM152" s="15"/>
      <c r="NN152" s="15"/>
      <c r="NO152" s="15"/>
      <c r="NP152" s="15"/>
      <c r="NQ152" s="15"/>
      <c r="NR152" s="15"/>
      <c r="NS152" s="15"/>
      <c r="NT152" s="15"/>
      <c r="NU152" s="15"/>
      <c r="NV152" s="15"/>
      <c r="NW152" s="15"/>
      <c r="NX152" s="15"/>
      <c r="NY152" s="15"/>
      <c r="NZ152" s="15"/>
    </row>
    <row r="153" spans="2:390" ht="19.5" customHeight="1" x14ac:dyDescent="0.45">
      <c r="B153" s="1">
        <f t="shared" si="126"/>
        <v>4</v>
      </c>
      <c r="C153" s="1">
        <f>+C152+1</f>
        <v>8</v>
      </c>
      <c r="D153" s="1">
        <v>0</v>
      </c>
      <c r="E153" s="93" t="str">
        <f t="shared" si="125"/>
        <v>4.8.0</v>
      </c>
      <c r="F153" s="94" t="s">
        <v>51</v>
      </c>
      <c r="G153" s="94"/>
      <c r="H153" s="95"/>
      <c r="I153" s="95"/>
      <c r="J153" s="96"/>
      <c r="K153" s="96"/>
      <c r="L153" s="97"/>
      <c r="M153" s="95"/>
      <c r="N153" s="95"/>
      <c r="O153" s="95">
        <f>SUM(O154)</f>
        <v>8</v>
      </c>
      <c r="P153" s="95"/>
      <c r="Q153" s="95"/>
      <c r="R153" s="168"/>
      <c r="S153" s="98"/>
      <c r="T153" s="163" t="str">
        <f t="shared" si="129"/>
        <v/>
      </c>
      <c r="U153" s="164">
        <f>+SUMPRODUCT(U154,O154)/O153</f>
        <v>0</v>
      </c>
      <c r="V153" s="200">
        <f t="shared" si="130"/>
        <v>0</v>
      </c>
      <c r="W153" s="158">
        <f>SUMIFS($AA153:$NZ153, $AA$8:$NZ$8, $W$13)/$O153</f>
        <v>0</v>
      </c>
      <c r="X153" s="159">
        <f t="shared" si="128"/>
        <v>0</v>
      </c>
      <c r="Y153" s="199">
        <f t="shared" si="131"/>
        <v>0</v>
      </c>
      <c r="Z153" s="36"/>
      <c r="AA153" s="15"/>
      <c r="AB153" s="15"/>
      <c r="AC153" s="15"/>
      <c r="AD153" s="15"/>
      <c r="AE153" s="15"/>
      <c r="AF153" s="15"/>
      <c r="AG153" s="184"/>
      <c r="AH153" s="15"/>
      <c r="AI153" s="15"/>
      <c r="AJ153" s="15"/>
      <c r="AK153" s="15"/>
      <c r="AL153" s="15"/>
      <c r="AM153" s="15"/>
      <c r="AN153" s="184"/>
      <c r="AO153" s="15"/>
      <c r="AP153" s="15"/>
      <c r="AQ153" s="15"/>
      <c r="AR153" s="15"/>
      <c r="AS153" s="15"/>
      <c r="AT153" s="15"/>
      <c r="AU153" s="184"/>
      <c r="AV153" s="15"/>
      <c r="AW153" s="15"/>
      <c r="AX153" s="15"/>
      <c r="AY153" s="15"/>
      <c r="AZ153" s="15"/>
      <c r="BA153" s="15"/>
      <c r="BB153" s="184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84"/>
      <c r="CE153" s="15"/>
      <c r="CF153" s="15"/>
      <c r="CG153" s="15"/>
      <c r="CH153" s="15"/>
      <c r="CI153" s="15"/>
      <c r="CJ153" s="15"/>
      <c r="CK153" s="184"/>
      <c r="CL153" s="15"/>
      <c r="CM153" s="15"/>
      <c r="CN153" s="15"/>
      <c r="CO153" s="15"/>
      <c r="CP153" s="15"/>
      <c r="CQ153" s="15"/>
      <c r="CR153" s="184"/>
      <c r="CS153" s="15"/>
      <c r="CT153" s="15"/>
      <c r="CU153" s="15"/>
      <c r="CV153" s="15"/>
      <c r="CW153" s="15"/>
      <c r="CX153" s="15"/>
      <c r="CY153" s="184"/>
      <c r="CZ153" s="15"/>
      <c r="DA153" s="15"/>
      <c r="DB153" s="15"/>
      <c r="DC153" s="15"/>
      <c r="DD153" s="15"/>
      <c r="DE153" s="15"/>
      <c r="DF153" s="184"/>
      <c r="DG153" s="15"/>
      <c r="DH153" s="15"/>
      <c r="DI153" s="15"/>
      <c r="DJ153" s="15"/>
      <c r="DK153" s="15"/>
      <c r="DL153" s="15"/>
      <c r="DM153" s="184"/>
      <c r="DN153" s="15"/>
      <c r="DO153" s="15"/>
      <c r="DP153" s="15"/>
      <c r="DQ153" s="15"/>
      <c r="DR153" s="15"/>
      <c r="DS153" s="15"/>
      <c r="DT153" s="184"/>
      <c r="DU153" s="15"/>
      <c r="DV153" s="15"/>
      <c r="DW153" s="15"/>
      <c r="DX153" s="15"/>
      <c r="DY153" s="15"/>
      <c r="DZ153" s="15"/>
      <c r="EA153" s="184"/>
      <c r="EB153" s="15"/>
      <c r="EC153" s="15"/>
      <c r="ED153" s="15"/>
      <c r="EE153" s="15"/>
      <c r="EF153" s="15"/>
      <c r="EG153" s="15"/>
      <c r="EH153" s="184"/>
      <c r="EI153" s="15"/>
      <c r="EJ153" s="15"/>
      <c r="EK153" s="15"/>
      <c r="EL153" s="15"/>
      <c r="EM153" s="15"/>
      <c r="EN153" s="15"/>
      <c r="EO153" s="184"/>
      <c r="EP153" s="15"/>
      <c r="EQ153" s="15"/>
      <c r="ER153" s="15"/>
      <c r="ES153" s="15"/>
      <c r="ET153" s="15"/>
      <c r="EU153" s="15"/>
      <c r="EV153" s="184"/>
      <c r="EW153" s="15"/>
      <c r="EX153" s="15"/>
      <c r="EY153" s="15"/>
      <c r="EZ153" s="15"/>
      <c r="FA153" s="15"/>
      <c r="FB153" s="15"/>
      <c r="FC153" s="184"/>
      <c r="FD153" s="15"/>
      <c r="FE153" s="15"/>
      <c r="FF153" s="15"/>
      <c r="FG153" s="15"/>
      <c r="FH153" s="15"/>
      <c r="FI153" s="15"/>
      <c r="FJ153" s="184"/>
      <c r="FK153" s="15"/>
      <c r="FL153" s="15"/>
      <c r="FM153" s="15"/>
      <c r="FN153" s="15"/>
      <c r="FO153" s="15"/>
      <c r="FP153" s="15"/>
      <c r="FQ153" s="184"/>
      <c r="FR153" s="15"/>
      <c r="FS153" s="15"/>
      <c r="FT153" s="15"/>
      <c r="FU153" s="15"/>
      <c r="FV153" s="15"/>
      <c r="FW153" s="178"/>
      <c r="FX153" s="184"/>
      <c r="FY153" s="181"/>
      <c r="FZ153" s="15"/>
      <c r="GA153" s="15"/>
      <c r="GB153" s="15"/>
      <c r="GC153" s="15"/>
      <c r="GD153" s="15"/>
      <c r="GE153" s="184"/>
      <c r="GF153" s="15"/>
      <c r="GG153" s="15"/>
      <c r="GH153" s="15"/>
      <c r="GI153" s="15"/>
      <c r="GJ153" s="15"/>
      <c r="GK153" s="15"/>
      <c r="GL153" s="184"/>
      <c r="GM153" s="15"/>
      <c r="GN153" s="15"/>
      <c r="GO153" s="15"/>
      <c r="GP153" s="15"/>
      <c r="GQ153" s="15"/>
      <c r="GR153" s="15"/>
      <c r="GS153" s="184"/>
      <c r="GT153" s="15"/>
      <c r="GU153" s="15"/>
      <c r="GV153" s="15"/>
      <c r="GW153" s="15"/>
      <c r="GX153" s="15"/>
      <c r="GY153" s="15"/>
      <c r="GZ153" s="184"/>
      <c r="HA153" s="15"/>
      <c r="HB153" s="15"/>
      <c r="HC153" s="15"/>
      <c r="HD153" s="15"/>
      <c r="HE153" s="15"/>
      <c r="HF153" s="15"/>
      <c r="HG153" s="184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  <c r="JT153" s="15"/>
      <c r="JU153" s="15"/>
      <c r="JV153" s="15"/>
      <c r="JW153" s="15"/>
      <c r="JX153" s="15"/>
      <c r="JY153" s="15"/>
      <c r="JZ153" s="15"/>
      <c r="KA153" s="15"/>
      <c r="KB153" s="15"/>
      <c r="KC153" s="15"/>
      <c r="KD153" s="15"/>
      <c r="KE153" s="15"/>
      <c r="KF153" s="15"/>
      <c r="KG153" s="15"/>
      <c r="KH153" s="15"/>
      <c r="KI153" s="15"/>
      <c r="KJ153" s="15"/>
      <c r="KK153" s="15"/>
      <c r="KL153" s="15"/>
      <c r="KM153" s="15"/>
      <c r="KN153" s="15"/>
      <c r="KO153" s="15"/>
      <c r="KP153" s="15"/>
      <c r="KQ153" s="15"/>
      <c r="KR153" s="15"/>
      <c r="KS153" s="15"/>
      <c r="KT153" s="15"/>
      <c r="KU153" s="15"/>
      <c r="KV153" s="15"/>
      <c r="KW153" s="15"/>
      <c r="KX153" s="15"/>
      <c r="KY153" s="15"/>
      <c r="KZ153" s="15"/>
      <c r="LA153" s="15"/>
      <c r="LB153" s="15"/>
      <c r="LC153" s="15"/>
      <c r="LD153" s="15"/>
      <c r="LE153" s="15"/>
      <c r="LF153" s="15"/>
      <c r="LG153" s="15"/>
      <c r="LH153" s="15"/>
      <c r="LI153" s="15"/>
      <c r="LJ153" s="15"/>
      <c r="LK153" s="15"/>
      <c r="LL153" s="15"/>
      <c r="LM153" s="15"/>
      <c r="LN153" s="15"/>
      <c r="LO153" s="15"/>
      <c r="LP153" s="15"/>
      <c r="LQ153" s="15"/>
      <c r="LR153" s="15"/>
      <c r="LS153" s="15"/>
      <c r="LT153" s="15"/>
      <c r="LU153" s="15"/>
      <c r="LV153" s="15"/>
      <c r="LW153" s="15"/>
      <c r="LX153" s="15"/>
      <c r="LY153" s="15"/>
      <c r="LZ153" s="15"/>
      <c r="MA153" s="15"/>
      <c r="MB153" s="15"/>
      <c r="MC153" s="15"/>
      <c r="MD153" s="15"/>
      <c r="ME153" s="15"/>
      <c r="MF153" s="15"/>
      <c r="MG153" s="15"/>
      <c r="MH153" s="15"/>
      <c r="MI153" s="15"/>
      <c r="MJ153" s="15"/>
      <c r="MK153" s="15"/>
      <c r="ML153" s="15"/>
      <c r="MM153" s="15"/>
      <c r="MN153" s="15"/>
      <c r="MO153" s="15"/>
      <c r="MP153" s="15"/>
      <c r="MQ153" s="15"/>
      <c r="MR153" s="15"/>
      <c r="MS153" s="15"/>
      <c r="MT153" s="15"/>
      <c r="MU153" s="15"/>
      <c r="MV153" s="15"/>
      <c r="MW153" s="15"/>
      <c r="MX153" s="15"/>
      <c r="MY153" s="15"/>
      <c r="MZ153" s="15"/>
      <c r="NA153" s="15"/>
      <c r="NB153" s="15"/>
      <c r="NC153" s="15"/>
      <c r="ND153" s="15"/>
      <c r="NE153" s="15"/>
      <c r="NF153" s="15"/>
      <c r="NG153" s="15"/>
      <c r="NH153" s="15"/>
      <c r="NI153" s="15"/>
      <c r="NJ153" s="15"/>
      <c r="NK153" s="15"/>
      <c r="NL153" s="15"/>
      <c r="NM153" s="15"/>
      <c r="NN153" s="15"/>
      <c r="NO153" s="15"/>
      <c r="NP153" s="15"/>
      <c r="NQ153" s="15"/>
      <c r="NR153" s="15"/>
      <c r="NS153" s="15"/>
      <c r="NT153" s="15"/>
      <c r="NU153" s="15"/>
      <c r="NV153" s="15"/>
      <c r="NW153" s="15"/>
      <c r="NX153" s="15"/>
      <c r="NY153" s="15"/>
      <c r="NZ153" s="15"/>
    </row>
    <row r="154" spans="2:390" ht="19.5" customHeight="1" x14ac:dyDescent="0.45">
      <c r="B154" s="1">
        <f t="shared" si="126"/>
        <v>4</v>
      </c>
      <c r="C154" s="1">
        <f>+C153</f>
        <v>8</v>
      </c>
      <c r="D154" s="1">
        <f>+D153+1</f>
        <v>1</v>
      </c>
      <c r="E154" s="59" t="str">
        <f t="shared" si="125"/>
        <v>4.8.1</v>
      </c>
      <c r="F154" s="23" t="s">
        <v>97</v>
      </c>
      <c r="G154" s="191">
        <v>1</v>
      </c>
      <c r="H154" s="52" t="s">
        <v>117</v>
      </c>
      <c r="I154" s="52" t="s">
        <v>156</v>
      </c>
      <c r="J154" s="52">
        <v>2</v>
      </c>
      <c r="K154" s="52">
        <v>0</v>
      </c>
      <c r="L154" s="55">
        <f>+J154-K154</f>
        <v>2</v>
      </c>
      <c r="M154" s="52">
        <v>2</v>
      </c>
      <c r="N154" s="52">
        <v>4</v>
      </c>
      <c r="O154" s="51">
        <f t="shared" si="127"/>
        <v>8</v>
      </c>
      <c r="P154" s="51">
        <f>+SUM(AA154:NZ154)</f>
        <v>8</v>
      </c>
      <c r="Q154" s="51">
        <f>+O154-P154</f>
        <v>0</v>
      </c>
      <c r="R154" s="19">
        <v>46118</v>
      </c>
      <c r="S154" s="20">
        <v>4</v>
      </c>
      <c r="T154" s="21">
        <f t="shared" si="129"/>
        <v>46121</v>
      </c>
      <c r="U154" s="22">
        <f>+K154/J154</f>
        <v>0</v>
      </c>
      <c r="V154" s="199">
        <f t="shared" si="130"/>
        <v>0</v>
      </c>
      <c r="W154" s="158">
        <f>SUMIFS($AA154:$NZ154, $AA$8:$NZ$8, $W$13)/$O154</f>
        <v>0</v>
      </c>
      <c r="X154" s="159">
        <f t="shared" si="128"/>
        <v>0</v>
      </c>
      <c r="Y154" s="199">
        <f t="shared" si="131"/>
        <v>0</v>
      </c>
      <c r="Z154" s="36"/>
      <c r="AA154" s="15"/>
      <c r="AB154" s="15"/>
      <c r="AC154" s="15"/>
      <c r="AD154" s="15"/>
      <c r="AE154" s="15"/>
      <c r="AF154" s="15"/>
      <c r="AG154" s="184"/>
      <c r="AH154" s="15"/>
      <c r="AI154" s="15"/>
      <c r="AJ154" s="15"/>
      <c r="AK154" s="15"/>
      <c r="AL154" s="15"/>
      <c r="AM154" s="15"/>
      <c r="AN154" s="184"/>
      <c r="AO154" s="15"/>
      <c r="AP154" s="15"/>
      <c r="AQ154" s="15"/>
      <c r="AR154" s="15"/>
      <c r="AS154" s="15"/>
      <c r="AT154" s="15"/>
      <c r="AU154" s="184"/>
      <c r="AV154" s="15"/>
      <c r="AW154" s="15"/>
      <c r="AX154" s="15"/>
      <c r="AY154" s="15"/>
      <c r="AZ154" s="15"/>
      <c r="BA154" s="15"/>
      <c r="BB154" s="184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84"/>
      <c r="CE154" s="15"/>
      <c r="CF154" s="15"/>
      <c r="CG154" s="15"/>
      <c r="CH154" s="15"/>
      <c r="CI154" s="15"/>
      <c r="CJ154" s="15"/>
      <c r="CK154" s="184"/>
      <c r="CL154" s="15"/>
      <c r="CM154" s="15"/>
      <c r="CN154" s="15"/>
      <c r="CO154" s="15"/>
      <c r="CP154" s="15"/>
      <c r="CQ154" s="15"/>
      <c r="CR154" s="184"/>
      <c r="CS154" s="15"/>
      <c r="CT154" s="15"/>
      <c r="CU154" s="15"/>
      <c r="CV154" s="15"/>
      <c r="CW154" s="15"/>
      <c r="CX154" s="15"/>
      <c r="CY154" s="184"/>
      <c r="CZ154" s="15"/>
      <c r="DA154" s="15"/>
      <c r="DB154" s="15"/>
      <c r="DC154" s="15"/>
      <c r="DD154" s="15"/>
      <c r="DE154" s="15"/>
      <c r="DF154" s="184"/>
      <c r="DG154" s="15"/>
      <c r="DH154" s="15"/>
      <c r="DI154" s="15"/>
      <c r="DJ154" s="15"/>
      <c r="DK154" s="15"/>
      <c r="DL154" s="15"/>
      <c r="DM154" s="184"/>
      <c r="DN154" s="15"/>
      <c r="DO154" s="15"/>
      <c r="DP154" s="15"/>
      <c r="DQ154" s="15"/>
      <c r="DR154" s="15"/>
      <c r="DS154" s="15"/>
      <c r="DT154" s="184"/>
      <c r="DU154" s="15"/>
      <c r="DV154" s="15"/>
      <c r="DW154" s="15"/>
      <c r="DX154" s="15"/>
      <c r="DY154" s="15"/>
      <c r="DZ154" s="15"/>
      <c r="EA154" s="184"/>
      <c r="EB154" s="15"/>
      <c r="EC154" s="15"/>
      <c r="ED154" s="15"/>
      <c r="EE154" s="15"/>
      <c r="EF154" s="15"/>
      <c r="EG154" s="15"/>
      <c r="EH154" s="184"/>
      <c r="EI154" s="15"/>
      <c r="EJ154" s="15"/>
      <c r="EK154" s="15"/>
      <c r="EL154" s="15"/>
      <c r="EM154" s="15"/>
      <c r="EN154" s="15"/>
      <c r="EO154" s="184"/>
      <c r="EP154" s="15"/>
      <c r="EQ154" s="15"/>
      <c r="ER154" s="15"/>
      <c r="ES154" s="15"/>
      <c r="ET154" s="15"/>
      <c r="EU154" s="15"/>
      <c r="EV154" s="184"/>
      <c r="EW154" s="15"/>
      <c r="EX154" s="15"/>
      <c r="EY154" s="15"/>
      <c r="EZ154" s="15"/>
      <c r="FA154" s="15"/>
      <c r="FB154" s="15"/>
      <c r="FC154" s="184"/>
      <c r="FD154" s="15">
        <v>2</v>
      </c>
      <c r="FE154" s="15">
        <v>2</v>
      </c>
      <c r="FF154" s="15">
        <v>2</v>
      </c>
      <c r="FG154" s="15">
        <v>2</v>
      </c>
      <c r="FH154" s="15"/>
      <c r="FI154" s="15"/>
      <c r="FJ154" s="184"/>
      <c r="FK154" s="15"/>
      <c r="FL154" s="15"/>
      <c r="FM154" s="15"/>
      <c r="FN154" s="15"/>
      <c r="FO154" s="15"/>
      <c r="FP154" s="15"/>
      <c r="FQ154" s="184"/>
      <c r="FR154" s="15"/>
      <c r="FS154" s="15"/>
      <c r="FT154" s="15"/>
      <c r="FU154" s="15"/>
      <c r="FV154" s="15"/>
      <c r="FW154" s="178"/>
      <c r="FX154" s="184"/>
      <c r="FY154" s="181"/>
      <c r="FZ154" s="15"/>
      <c r="GA154" s="15"/>
      <c r="GB154" s="15"/>
      <c r="GC154" s="15"/>
      <c r="GD154" s="15"/>
      <c r="GE154" s="184"/>
      <c r="GF154" s="15"/>
      <c r="GG154" s="15"/>
      <c r="GH154" s="15"/>
      <c r="GI154" s="15"/>
      <c r="GJ154" s="15"/>
      <c r="GK154" s="15"/>
      <c r="GL154" s="184"/>
      <c r="GM154" s="15"/>
      <c r="GN154" s="15"/>
      <c r="GO154" s="15"/>
      <c r="GP154" s="15"/>
      <c r="GQ154" s="15"/>
      <c r="GR154" s="15"/>
      <c r="GS154" s="184"/>
      <c r="GT154" s="15"/>
      <c r="GU154" s="15"/>
      <c r="GV154" s="15"/>
      <c r="GW154" s="15"/>
      <c r="GX154" s="15"/>
      <c r="GY154" s="15"/>
      <c r="GZ154" s="184"/>
      <c r="HA154" s="15"/>
      <c r="HB154" s="15"/>
      <c r="HC154" s="15"/>
      <c r="HD154" s="15"/>
      <c r="HE154" s="15"/>
      <c r="HF154" s="15"/>
      <c r="HG154" s="184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/>
      <c r="LI154" s="15"/>
      <c r="LJ154" s="15"/>
      <c r="LK154" s="15"/>
      <c r="LL154" s="15"/>
      <c r="LM154" s="15"/>
      <c r="LN154" s="15"/>
      <c r="LO154" s="15"/>
      <c r="LP154" s="15"/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  <c r="MG154" s="15"/>
      <c r="MH154" s="15"/>
      <c r="MI154" s="15"/>
      <c r="MJ154" s="15"/>
      <c r="MK154" s="15"/>
      <c r="ML154" s="15"/>
      <c r="MM154" s="15"/>
      <c r="MN154" s="15"/>
      <c r="MO154" s="15"/>
      <c r="MP154" s="15"/>
      <c r="MQ154" s="15"/>
      <c r="MR154" s="15"/>
      <c r="MS154" s="15"/>
      <c r="MT154" s="15"/>
      <c r="MU154" s="15"/>
      <c r="MV154" s="15"/>
      <c r="MW154" s="15"/>
      <c r="MX154" s="15"/>
      <c r="MY154" s="15"/>
      <c r="MZ154" s="15"/>
      <c r="NA154" s="15"/>
      <c r="NB154" s="15"/>
      <c r="NC154" s="15"/>
      <c r="ND154" s="15"/>
      <c r="NE154" s="15"/>
      <c r="NF154" s="15"/>
      <c r="NG154" s="15"/>
      <c r="NH154" s="15"/>
      <c r="NI154" s="15"/>
      <c r="NJ154" s="15"/>
      <c r="NK154" s="15"/>
      <c r="NL154" s="15"/>
      <c r="NM154" s="15"/>
      <c r="NN154" s="15"/>
      <c r="NO154" s="15"/>
      <c r="NP154" s="15"/>
      <c r="NQ154" s="15"/>
      <c r="NR154" s="15"/>
      <c r="NS154" s="15"/>
      <c r="NT154" s="15"/>
      <c r="NU154" s="15"/>
      <c r="NV154" s="15"/>
      <c r="NW154" s="15"/>
      <c r="NX154" s="15"/>
      <c r="NY154" s="15"/>
      <c r="NZ154" s="15"/>
    </row>
    <row r="155" spans="2:390" ht="19.5" customHeight="1" x14ac:dyDescent="0.45">
      <c r="B155" s="1">
        <f t="shared" si="126"/>
        <v>4</v>
      </c>
      <c r="C155" s="1">
        <f>+C154+1</f>
        <v>9</v>
      </c>
      <c r="D155" s="1">
        <v>0</v>
      </c>
      <c r="E155" s="93" t="str">
        <f t="shared" si="125"/>
        <v>4.9.0</v>
      </c>
      <c r="F155" s="94" t="s">
        <v>50</v>
      </c>
      <c r="G155" s="94"/>
      <c r="H155" s="95"/>
      <c r="I155" s="95"/>
      <c r="J155" s="96"/>
      <c r="K155" s="96"/>
      <c r="L155" s="97"/>
      <c r="M155" s="95"/>
      <c r="N155" s="95"/>
      <c r="O155" s="95">
        <f>SUM(O156:O159)</f>
        <v>76</v>
      </c>
      <c r="P155" s="95"/>
      <c r="Q155" s="95"/>
      <c r="R155" s="168"/>
      <c r="S155" s="98"/>
      <c r="T155" s="163" t="str">
        <f t="shared" si="129"/>
        <v/>
      </c>
      <c r="U155" s="164">
        <f>+SUMPRODUCT(U156:U159,O156:O159)/O155</f>
        <v>5.2631578947368418E-2</v>
      </c>
      <c r="V155" s="200">
        <f t="shared" si="130"/>
        <v>4</v>
      </c>
      <c r="W155" s="158">
        <f>SUMIFS($AA155:$NZ155, $AA$8:$NZ$8, $W$13)/$O155</f>
        <v>0</v>
      </c>
      <c r="X155" s="159">
        <f t="shared" si="128"/>
        <v>0</v>
      </c>
      <c r="Y155" s="199">
        <f t="shared" si="131"/>
        <v>0</v>
      </c>
      <c r="Z155" s="36"/>
      <c r="AA155" s="15"/>
      <c r="AB155" s="15"/>
      <c r="AC155" s="15"/>
      <c r="AD155" s="15"/>
      <c r="AE155" s="15"/>
      <c r="AF155" s="15"/>
      <c r="AG155" s="184"/>
      <c r="AH155" s="15"/>
      <c r="AI155" s="15"/>
      <c r="AJ155" s="15"/>
      <c r="AK155" s="15"/>
      <c r="AL155" s="15"/>
      <c r="AM155" s="15"/>
      <c r="AN155" s="184"/>
      <c r="AO155" s="15"/>
      <c r="AP155" s="15"/>
      <c r="AQ155" s="15"/>
      <c r="AR155" s="15"/>
      <c r="AS155" s="15"/>
      <c r="AT155" s="15"/>
      <c r="AU155" s="184"/>
      <c r="AV155" s="15"/>
      <c r="AW155" s="15"/>
      <c r="AX155" s="15"/>
      <c r="AY155" s="15"/>
      <c r="AZ155" s="15"/>
      <c r="BA155" s="15"/>
      <c r="BB155" s="184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84"/>
      <c r="CE155" s="15"/>
      <c r="CF155" s="15"/>
      <c r="CG155" s="15"/>
      <c r="CH155" s="15"/>
      <c r="CI155" s="15"/>
      <c r="CJ155" s="15"/>
      <c r="CK155" s="184"/>
      <c r="CL155" s="15"/>
      <c r="CM155" s="15"/>
      <c r="CN155" s="15"/>
      <c r="CO155" s="15"/>
      <c r="CP155" s="15"/>
      <c r="CQ155" s="15"/>
      <c r="CR155" s="184"/>
      <c r="CS155" s="15"/>
      <c r="CT155" s="15"/>
      <c r="CU155" s="15"/>
      <c r="CV155" s="15"/>
      <c r="CW155" s="15"/>
      <c r="CX155" s="15"/>
      <c r="CY155" s="184"/>
      <c r="CZ155" s="15"/>
      <c r="DA155" s="15"/>
      <c r="DB155" s="15"/>
      <c r="DC155" s="15"/>
      <c r="DD155" s="15"/>
      <c r="DE155" s="15"/>
      <c r="DF155" s="184"/>
      <c r="DG155" s="15"/>
      <c r="DH155" s="15"/>
      <c r="DI155" s="15"/>
      <c r="DJ155" s="15"/>
      <c r="DK155" s="15"/>
      <c r="DL155" s="15"/>
      <c r="DM155" s="184"/>
      <c r="DN155" s="15"/>
      <c r="DO155" s="15"/>
      <c r="DP155" s="15"/>
      <c r="DQ155" s="15"/>
      <c r="DR155" s="15"/>
      <c r="DS155" s="15"/>
      <c r="DT155" s="184"/>
      <c r="DU155" s="15"/>
      <c r="DV155" s="15"/>
      <c r="DW155" s="15"/>
      <c r="DX155" s="15"/>
      <c r="DY155" s="15"/>
      <c r="DZ155" s="15"/>
      <c r="EA155" s="184"/>
      <c r="EB155" s="15"/>
      <c r="EC155" s="15"/>
      <c r="ED155" s="15"/>
      <c r="EE155" s="15"/>
      <c r="EF155" s="15"/>
      <c r="EG155" s="15"/>
      <c r="EH155" s="184"/>
      <c r="EI155" s="15"/>
      <c r="EJ155" s="15"/>
      <c r="EK155" s="15"/>
      <c r="EL155" s="15"/>
      <c r="EM155" s="15"/>
      <c r="EN155" s="15"/>
      <c r="EO155" s="184"/>
      <c r="EP155" s="15"/>
      <c r="EQ155" s="15"/>
      <c r="ER155" s="15"/>
      <c r="ES155" s="15"/>
      <c r="ET155" s="15"/>
      <c r="EU155" s="15"/>
      <c r="EV155" s="184"/>
      <c r="EW155" s="15"/>
      <c r="EX155" s="15"/>
      <c r="EY155" s="15"/>
      <c r="EZ155" s="15"/>
      <c r="FA155" s="15"/>
      <c r="FB155" s="15"/>
      <c r="FC155" s="184"/>
      <c r="FD155" s="15"/>
      <c r="FE155" s="15"/>
      <c r="FF155" s="15"/>
      <c r="FG155" s="15"/>
      <c r="FH155" s="15"/>
      <c r="FI155" s="15"/>
      <c r="FJ155" s="184"/>
      <c r="FK155" s="15"/>
      <c r="FL155" s="15"/>
      <c r="FM155" s="15"/>
      <c r="FN155" s="15"/>
      <c r="FO155" s="15"/>
      <c r="FP155" s="15"/>
      <c r="FQ155" s="184"/>
      <c r="FR155" s="15"/>
      <c r="FS155" s="15"/>
      <c r="FT155" s="15"/>
      <c r="FU155" s="15"/>
      <c r="FV155" s="15"/>
      <c r="FW155" s="178"/>
      <c r="FX155" s="184"/>
      <c r="FY155" s="181"/>
      <c r="FZ155" s="15"/>
      <c r="GA155" s="15"/>
      <c r="GB155" s="15"/>
      <c r="GC155" s="15"/>
      <c r="GD155" s="15"/>
      <c r="GE155" s="184"/>
      <c r="GF155" s="15"/>
      <c r="GG155" s="15"/>
      <c r="GH155" s="15"/>
      <c r="GI155" s="15"/>
      <c r="GJ155" s="15"/>
      <c r="GK155" s="15"/>
      <c r="GL155" s="184"/>
      <c r="GM155" s="15"/>
      <c r="GN155" s="15"/>
      <c r="GO155" s="15"/>
      <c r="GP155" s="15"/>
      <c r="GQ155" s="15"/>
      <c r="GR155" s="15"/>
      <c r="GS155" s="184"/>
      <c r="GT155" s="15"/>
      <c r="GU155" s="15"/>
      <c r="GV155" s="15"/>
      <c r="GW155" s="15"/>
      <c r="GX155" s="15"/>
      <c r="GY155" s="15"/>
      <c r="GZ155" s="184"/>
      <c r="HA155" s="15"/>
      <c r="HB155" s="15"/>
      <c r="HC155" s="15"/>
      <c r="HD155" s="15"/>
      <c r="HE155" s="15"/>
      <c r="HF155" s="15"/>
      <c r="HG155" s="184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  <c r="JT155" s="15"/>
      <c r="JU155" s="15"/>
      <c r="JV155" s="15"/>
      <c r="JW155" s="15"/>
      <c r="JX155" s="15"/>
      <c r="JY155" s="15"/>
      <c r="JZ155" s="15"/>
      <c r="KA155" s="15"/>
      <c r="KB155" s="15"/>
      <c r="KC155" s="15"/>
      <c r="KD155" s="15"/>
      <c r="KE155" s="15"/>
      <c r="KF155" s="15"/>
      <c r="KG155" s="15"/>
      <c r="KH155" s="15"/>
      <c r="KI155" s="15"/>
      <c r="KJ155" s="15"/>
      <c r="KK155" s="15"/>
      <c r="KL155" s="15"/>
      <c r="KM155" s="15"/>
      <c r="KN155" s="15"/>
      <c r="KO155" s="15"/>
      <c r="KP155" s="15"/>
      <c r="KQ155" s="15"/>
      <c r="KR155" s="15"/>
      <c r="KS155" s="15"/>
      <c r="KT155" s="15"/>
      <c r="KU155" s="15"/>
      <c r="KV155" s="15"/>
      <c r="KW155" s="15"/>
      <c r="KX155" s="15"/>
      <c r="KY155" s="15"/>
      <c r="KZ155" s="15"/>
      <c r="LA155" s="15"/>
      <c r="LB155" s="15"/>
      <c r="LC155" s="15"/>
      <c r="LD155" s="15"/>
      <c r="LE155" s="15"/>
      <c r="LF155" s="15"/>
      <c r="LG155" s="15"/>
      <c r="LH155" s="15"/>
      <c r="LI155" s="15"/>
      <c r="LJ155" s="15"/>
      <c r="LK155" s="15"/>
      <c r="LL155" s="15"/>
      <c r="LM155" s="15"/>
      <c r="LN155" s="15"/>
      <c r="LO155" s="15"/>
      <c r="LP155" s="15"/>
      <c r="LQ155" s="15"/>
      <c r="LR155" s="15"/>
      <c r="LS155" s="15"/>
      <c r="LT155" s="15"/>
      <c r="LU155" s="15"/>
      <c r="LV155" s="15"/>
      <c r="LW155" s="15"/>
      <c r="LX155" s="15"/>
      <c r="LY155" s="15"/>
      <c r="LZ155" s="15"/>
      <c r="MA155" s="15"/>
      <c r="MB155" s="15"/>
      <c r="MC155" s="15"/>
      <c r="MD155" s="15"/>
      <c r="ME155" s="15"/>
      <c r="MF155" s="15"/>
      <c r="MG155" s="15"/>
      <c r="MH155" s="15"/>
      <c r="MI155" s="15"/>
      <c r="MJ155" s="15"/>
      <c r="MK155" s="15"/>
      <c r="ML155" s="15"/>
      <c r="MM155" s="15"/>
      <c r="MN155" s="15"/>
      <c r="MO155" s="15"/>
      <c r="MP155" s="15"/>
      <c r="MQ155" s="15"/>
      <c r="MR155" s="15"/>
      <c r="MS155" s="15"/>
      <c r="MT155" s="15"/>
      <c r="MU155" s="15"/>
      <c r="MV155" s="15"/>
      <c r="MW155" s="15"/>
      <c r="MX155" s="15"/>
      <c r="MY155" s="15"/>
      <c r="MZ155" s="15"/>
      <c r="NA155" s="15"/>
      <c r="NB155" s="15"/>
      <c r="NC155" s="15"/>
      <c r="ND155" s="15"/>
      <c r="NE155" s="15"/>
      <c r="NF155" s="15"/>
      <c r="NG155" s="15"/>
      <c r="NH155" s="15"/>
      <c r="NI155" s="15"/>
      <c r="NJ155" s="15"/>
      <c r="NK155" s="15"/>
      <c r="NL155" s="15"/>
      <c r="NM155" s="15"/>
      <c r="NN155" s="15"/>
      <c r="NO155" s="15"/>
      <c r="NP155" s="15"/>
      <c r="NQ155" s="15"/>
      <c r="NR155" s="15"/>
      <c r="NS155" s="15"/>
      <c r="NT155" s="15"/>
      <c r="NU155" s="15"/>
      <c r="NV155" s="15"/>
      <c r="NW155" s="15"/>
      <c r="NX155" s="15"/>
      <c r="NY155" s="15"/>
      <c r="NZ155" s="15"/>
    </row>
    <row r="156" spans="2:390" ht="19.5" customHeight="1" x14ac:dyDescent="0.45">
      <c r="B156" s="1">
        <f t="shared" si="126"/>
        <v>4</v>
      </c>
      <c r="C156" s="1">
        <f>+C155</f>
        <v>9</v>
      </c>
      <c r="D156" s="1">
        <f>+D155+1</f>
        <v>1</v>
      </c>
      <c r="E156" s="59" t="str">
        <f t="shared" si="125"/>
        <v>4.9.1</v>
      </c>
      <c r="F156" s="23" t="s">
        <v>94</v>
      </c>
      <c r="G156" s="191">
        <v>1.5</v>
      </c>
      <c r="H156" s="52" t="s">
        <v>117</v>
      </c>
      <c r="I156" s="52"/>
      <c r="J156" s="52">
        <v>1</v>
      </c>
      <c r="K156" s="52">
        <v>1</v>
      </c>
      <c r="L156" s="55">
        <f>+J156-K156</f>
        <v>0</v>
      </c>
      <c r="M156" s="52">
        <v>2</v>
      </c>
      <c r="N156" s="52">
        <v>2</v>
      </c>
      <c r="O156" s="51">
        <f t="shared" si="127"/>
        <v>4</v>
      </c>
      <c r="P156" s="51">
        <f>+SUM(AA156:NZ156)</f>
        <v>4</v>
      </c>
      <c r="Q156" s="51">
        <f>+O156-P156</f>
        <v>0</v>
      </c>
      <c r="R156" s="19">
        <v>45987</v>
      </c>
      <c r="S156" s="20">
        <v>2</v>
      </c>
      <c r="T156" s="21">
        <f t="shared" si="129"/>
        <v>45988</v>
      </c>
      <c r="U156" s="22">
        <f>+K156/J156</f>
        <v>1</v>
      </c>
      <c r="V156" s="199">
        <f t="shared" si="130"/>
        <v>4</v>
      </c>
      <c r="W156" s="158">
        <f>SUMIFS($AA156:$NZ156, $AA$8:$NZ$8, $W$13)/$O156</f>
        <v>0</v>
      </c>
      <c r="X156" s="159">
        <f t="shared" si="128"/>
        <v>1</v>
      </c>
      <c r="Y156" s="199">
        <f t="shared" si="131"/>
        <v>4</v>
      </c>
      <c r="Z156" s="36"/>
      <c r="AA156" s="15"/>
      <c r="AB156" s="15"/>
      <c r="AC156" s="15">
        <v>2</v>
      </c>
      <c r="AD156" s="15">
        <v>2</v>
      </c>
      <c r="AE156" s="15"/>
      <c r="AF156" s="15"/>
      <c r="AG156" s="184"/>
      <c r="AH156" s="15"/>
      <c r="AI156" s="15"/>
      <c r="AJ156" s="15"/>
      <c r="AK156" s="15"/>
      <c r="AL156" s="15"/>
      <c r="AM156" s="15"/>
      <c r="AN156" s="184"/>
      <c r="AO156" s="15"/>
      <c r="AP156" s="15"/>
      <c r="AQ156" s="15"/>
      <c r="AR156" s="15"/>
      <c r="AS156" s="15"/>
      <c r="AT156" s="15"/>
      <c r="AU156" s="184"/>
      <c r="AV156" s="15"/>
      <c r="AW156" s="15"/>
      <c r="AX156" s="15"/>
      <c r="AY156" s="15"/>
      <c r="AZ156" s="15"/>
      <c r="BA156" s="15"/>
      <c r="BB156" s="184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84"/>
      <c r="CE156" s="15"/>
      <c r="CF156" s="15"/>
      <c r="CG156" s="15"/>
      <c r="CH156" s="15"/>
      <c r="CI156" s="15"/>
      <c r="CJ156" s="15"/>
      <c r="CK156" s="184"/>
      <c r="CL156" s="15"/>
      <c r="CM156" s="15"/>
      <c r="CN156" s="15"/>
      <c r="CO156" s="15"/>
      <c r="CP156" s="15"/>
      <c r="CQ156" s="15"/>
      <c r="CR156" s="184"/>
      <c r="CS156" s="15"/>
      <c r="CT156" s="15"/>
      <c r="CU156" s="15"/>
      <c r="CV156" s="15"/>
      <c r="CW156" s="15"/>
      <c r="CX156" s="15"/>
      <c r="CY156" s="184"/>
      <c r="CZ156" s="15"/>
      <c r="DA156" s="15"/>
      <c r="DB156" s="15"/>
      <c r="DC156" s="15"/>
      <c r="DD156" s="15"/>
      <c r="DE156" s="15"/>
      <c r="DF156" s="184"/>
      <c r="DG156" s="15"/>
      <c r="DH156" s="15"/>
      <c r="DI156" s="15"/>
      <c r="DJ156" s="15"/>
      <c r="DK156" s="15"/>
      <c r="DL156" s="15"/>
      <c r="DM156" s="184"/>
      <c r="DN156" s="15"/>
      <c r="DO156" s="15"/>
      <c r="DP156" s="15"/>
      <c r="DQ156" s="15"/>
      <c r="DR156" s="15"/>
      <c r="DS156" s="15"/>
      <c r="DT156" s="184"/>
      <c r="DU156" s="15"/>
      <c r="DV156" s="15"/>
      <c r="DW156" s="15"/>
      <c r="DX156" s="15"/>
      <c r="DY156" s="15"/>
      <c r="DZ156" s="15"/>
      <c r="EA156" s="184"/>
      <c r="EB156" s="15"/>
      <c r="EC156" s="15"/>
      <c r="ED156" s="15"/>
      <c r="EE156" s="15"/>
      <c r="EF156" s="15"/>
      <c r="EG156" s="15"/>
      <c r="EH156" s="184"/>
      <c r="EI156" s="15"/>
      <c r="EJ156" s="15"/>
      <c r="EK156" s="15"/>
      <c r="EL156" s="15"/>
      <c r="EM156" s="15"/>
      <c r="EN156" s="15"/>
      <c r="EO156" s="184"/>
      <c r="EP156" s="15"/>
      <c r="EQ156" s="15"/>
      <c r="ER156" s="15"/>
      <c r="ES156" s="15"/>
      <c r="ET156" s="15"/>
      <c r="EU156" s="15"/>
      <c r="EV156" s="184"/>
      <c r="EW156" s="15"/>
      <c r="EX156" s="15"/>
      <c r="EY156" s="15"/>
      <c r="EZ156" s="15"/>
      <c r="FA156" s="15"/>
      <c r="FB156" s="15"/>
      <c r="FC156" s="184"/>
      <c r="FD156" s="15"/>
      <c r="FE156" s="15"/>
      <c r="FF156" s="15"/>
      <c r="FG156" s="15"/>
      <c r="FH156" s="15"/>
      <c r="FI156" s="15"/>
      <c r="FJ156" s="184"/>
      <c r="FK156" s="15"/>
      <c r="FL156" s="15"/>
      <c r="FM156" s="15"/>
      <c r="FN156" s="15"/>
      <c r="FO156" s="15"/>
      <c r="FP156" s="15"/>
      <c r="FQ156" s="184"/>
      <c r="FR156" s="15"/>
      <c r="FS156" s="15"/>
      <c r="FT156" s="15"/>
      <c r="FU156" s="15"/>
      <c r="FV156" s="15"/>
      <c r="FW156" s="178"/>
      <c r="FX156" s="184"/>
      <c r="FY156" s="181"/>
      <c r="FZ156" s="15"/>
      <c r="GA156" s="15"/>
      <c r="GB156" s="15"/>
      <c r="GC156" s="15"/>
      <c r="GD156" s="15"/>
      <c r="GE156" s="184"/>
      <c r="GF156" s="15"/>
      <c r="GG156" s="15"/>
      <c r="GH156" s="15"/>
      <c r="GI156" s="15"/>
      <c r="GJ156" s="15"/>
      <c r="GK156" s="15"/>
      <c r="GL156" s="184"/>
      <c r="GM156" s="15"/>
      <c r="GN156" s="15"/>
      <c r="GO156" s="15"/>
      <c r="GP156" s="15"/>
      <c r="GQ156" s="15"/>
      <c r="GR156" s="15"/>
      <c r="GS156" s="184"/>
      <c r="GT156" s="15"/>
      <c r="GU156" s="15"/>
      <c r="GV156" s="15"/>
      <c r="GW156" s="15"/>
      <c r="GX156" s="15"/>
      <c r="GY156" s="15"/>
      <c r="GZ156" s="184"/>
      <c r="HA156" s="15"/>
      <c r="HB156" s="15"/>
      <c r="HC156" s="15"/>
      <c r="HD156" s="15"/>
      <c r="HE156" s="15"/>
      <c r="HF156" s="15"/>
      <c r="HG156" s="184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/>
      <c r="LI156" s="15"/>
      <c r="LJ156" s="15"/>
      <c r="LK156" s="15"/>
      <c r="LL156" s="15"/>
      <c r="LM156" s="15"/>
      <c r="LN156" s="15"/>
      <c r="LO156" s="15"/>
      <c r="LP156" s="15"/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  <c r="MG156" s="15"/>
      <c r="MH156" s="15"/>
      <c r="MI156" s="15"/>
      <c r="MJ156" s="15"/>
      <c r="MK156" s="15"/>
      <c r="ML156" s="15"/>
      <c r="MM156" s="15"/>
      <c r="MN156" s="15"/>
      <c r="MO156" s="15"/>
      <c r="MP156" s="15"/>
      <c r="MQ156" s="15"/>
      <c r="MR156" s="15"/>
      <c r="MS156" s="15"/>
      <c r="MT156" s="15"/>
      <c r="MU156" s="15"/>
      <c r="MV156" s="15"/>
      <c r="MW156" s="15"/>
      <c r="MX156" s="15"/>
      <c r="MY156" s="15"/>
      <c r="MZ156" s="15"/>
      <c r="NA156" s="15"/>
      <c r="NB156" s="15"/>
      <c r="NC156" s="15"/>
      <c r="ND156" s="15"/>
      <c r="NE156" s="15"/>
      <c r="NF156" s="15"/>
      <c r="NG156" s="15"/>
      <c r="NH156" s="15"/>
      <c r="NI156" s="15"/>
      <c r="NJ156" s="15"/>
      <c r="NK156" s="15"/>
      <c r="NL156" s="15"/>
      <c r="NM156" s="15"/>
      <c r="NN156" s="15"/>
      <c r="NO156" s="15"/>
      <c r="NP156" s="15"/>
      <c r="NQ156" s="15"/>
      <c r="NR156" s="15"/>
      <c r="NS156" s="15"/>
      <c r="NT156" s="15"/>
      <c r="NU156" s="15"/>
      <c r="NV156" s="15"/>
      <c r="NW156" s="15"/>
      <c r="NX156" s="15"/>
      <c r="NY156" s="15"/>
      <c r="NZ156" s="15"/>
    </row>
    <row r="157" spans="2:390" ht="19.5" customHeight="1" x14ac:dyDescent="0.45">
      <c r="B157" s="1">
        <f t="shared" si="126"/>
        <v>4</v>
      </c>
      <c r="C157" s="1">
        <f>+C156</f>
        <v>9</v>
      </c>
      <c r="D157" s="1">
        <f>+D156+1</f>
        <v>2</v>
      </c>
      <c r="E157" s="59" t="str">
        <f t="shared" si="125"/>
        <v>4.9.2</v>
      </c>
      <c r="F157" s="23" t="s">
        <v>95</v>
      </c>
      <c r="G157" s="23"/>
      <c r="H157" s="73" t="s">
        <v>120</v>
      </c>
      <c r="I157" s="196"/>
      <c r="J157" s="135"/>
      <c r="K157" s="136"/>
      <c r="L157" s="136"/>
      <c r="M157" s="137"/>
      <c r="N157" s="137"/>
      <c r="O157" s="138"/>
      <c r="P157" s="138"/>
      <c r="Q157" s="138"/>
      <c r="R157" s="187"/>
      <c r="S157" s="64"/>
      <c r="T157" s="155" t="str">
        <f t="shared" si="129"/>
        <v/>
      </c>
      <c r="U157" s="22"/>
      <c r="V157" s="199">
        <f t="shared" si="130"/>
        <v>0</v>
      </c>
      <c r="W157" s="158"/>
      <c r="X157" s="159"/>
      <c r="Y157" s="199">
        <f t="shared" si="131"/>
        <v>0</v>
      </c>
      <c r="Z157" s="36"/>
      <c r="AA157" s="15"/>
      <c r="AB157" s="15"/>
      <c r="AC157" s="15"/>
      <c r="AD157" s="15"/>
      <c r="AE157" s="15"/>
      <c r="AF157" s="15"/>
      <c r="AG157" s="184"/>
      <c r="AH157" s="15"/>
      <c r="AI157" s="15"/>
      <c r="AJ157" s="15"/>
      <c r="AK157" s="15"/>
      <c r="AL157" s="15"/>
      <c r="AM157" s="15"/>
      <c r="AN157" s="184"/>
      <c r="AO157" s="15"/>
      <c r="AP157" s="15"/>
      <c r="AQ157" s="15"/>
      <c r="AR157" s="15"/>
      <c r="AS157" s="15"/>
      <c r="AT157" s="15"/>
      <c r="AU157" s="184"/>
      <c r="AV157" s="15"/>
      <c r="AW157" s="15"/>
      <c r="AX157" s="15"/>
      <c r="AY157" s="15"/>
      <c r="AZ157" s="15"/>
      <c r="BA157" s="15"/>
      <c r="BB157" s="184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84"/>
      <c r="CE157" s="15"/>
      <c r="CF157" s="15"/>
      <c r="CG157" s="15"/>
      <c r="CH157" s="15"/>
      <c r="CI157" s="15"/>
      <c r="CJ157" s="15"/>
      <c r="CK157" s="184"/>
      <c r="CL157" s="15"/>
      <c r="CM157" s="15"/>
      <c r="CN157" s="15"/>
      <c r="CO157" s="15"/>
      <c r="CP157" s="15"/>
      <c r="CQ157" s="15"/>
      <c r="CR157" s="184"/>
      <c r="CS157" s="15"/>
      <c r="CT157" s="15"/>
      <c r="CU157" s="15"/>
      <c r="CV157" s="15"/>
      <c r="CW157" s="15"/>
      <c r="CX157" s="15"/>
      <c r="CY157" s="184"/>
      <c r="CZ157" s="15"/>
      <c r="DA157" s="15"/>
      <c r="DB157" s="15"/>
      <c r="DC157" s="15"/>
      <c r="DD157" s="15"/>
      <c r="DE157" s="15"/>
      <c r="DF157" s="184"/>
      <c r="DG157" s="15"/>
      <c r="DH157" s="15"/>
      <c r="DI157" s="15"/>
      <c r="DJ157" s="15"/>
      <c r="DK157" s="15"/>
      <c r="DL157" s="15"/>
      <c r="DM157" s="184"/>
      <c r="DN157" s="15"/>
      <c r="DO157" s="15"/>
      <c r="DP157" s="15"/>
      <c r="DQ157" s="15"/>
      <c r="DR157" s="15"/>
      <c r="DS157" s="15"/>
      <c r="DT157" s="184"/>
      <c r="DU157" s="15"/>
      <c r="DV157" s="15"/>
      <c r="DW157" s="15"/>
      <c r="DX157" s="15"/>
      <c r="DY157" s="15"/>
      <c r="DZ157" s="15"/>
      <c r="EA157" s="184"/>
      <c r="EB157" s="15"/>
      <c r="EC157" s="15"/>
      <c r="ED157" s="15"/>
      <c r="EE157" s="15"/>
      <c r="EF157" s="15"/>
      <c r="EG157" s="15"/>
      <c r="EH157" s="184"/>
      <c r="EI157" s="15"/>
      <c r="EJ157" s="15"/>
      <c r="EK157" s="15"/>
      <c r="EL157" s="15"/>
      <c r="EM157" s="15"/>
      <c r="EN157" s="15"/>
      <c r="EO157" s="184"/>
      <c r="EP157" s="15"/>
      <c r="EQ157" s="15"/>
      <c r="ER157" s="15"/>
      <c r="ES157" s="15"/>
      <c r="ET157" s="15"/>
      <c r="EU157" s="15"/>
      <c r="EV157" s="184"/>
      <c r="EW157" s="15"/>
      <c r="EX157" s="15"/>
      <c r="EY157" s="15"/>
      <c r="EZ157" s="15"/>
      <c r="FA157" s="15"/>
      <c r="FB157" s="15"/>
      <c r="FC157" s="184"/>
      <c r="FD157" s="15"/>
      <c r="FE157" s="15"/>
      <c r="FF157" s="15"/>
      <c r="FG157" s="15"/>
      <c r="FH157" s="15"/>
      <c r="FI157" s="15"/>
      <c r="FJ157" s="184"/>
      <c r="FK157" s="15"/>
      <c r="FL157" s="15"/>
      <c r="FM157" s="15"/>
      <c r="FN157" s="15"/>
      <c r="FO157" s="15"/>
      <c r="FP157" s="15"/>
      <c r="FQ157" s="184"/>
      <c r="FR157" s="15"/>
      <c r="FS157" s="15"/>
      <c r="FT157" s="15"/>
      <c r="FU157" s="15"/>
      <c r="FV157" s="15"/>
      <c r="FW157" s="178"/>
      <c r="FX157" s="184"/>
      <c r="FY157" s="181"/>
      <c r="FZ157" s="15"/>
      <c r="GA157" s="15"/>
      <c r="GB157" s="15"/>
      <c r="GC157" s="15"/>
      <c r="GD157" s="15"/>
      <c r="GE157" s="184"/>
      <c r="GF157" s="15"/>
      <c r="GG157" s="15"/>
      <c r="GH157" s="15"/>
      <c r="GI157" s="15"/>
      <c r="GJ157" s="15"/>
      <c r="GK157" s="15"/>
      <c r="GL157" s="184"/>
      <c r="GM157" s="15"/>
      <c r="GN157" s="15"/>
      <c r="GO157" s="15"/>
      <c r="GP157" s="15"/>
      <c r="GQ157" s="15"/>
      <c r="GR157" s="15"/>
      <c r="GS157" s="184"/>
      <c r="GT157" s="15"/>
      <c r="GU157" s="15"/>
      <c r="GV157" s="15"/>
      <c r="GW157" s="15"/>
      <c r="GX157" s="15"/>
      <c r="GY157" s="15"/>
      <c r="GZ157" s="184"/>
      <c r="HA157" s="15"/>
      <c r="HB157" s="15"/>
      <c r="HC157" s="15"/>
      <c r="HD157" s="15"/>
      <c r="HE157" s="15"/>
      <c r="HF157" s="15"/>
      <c r="HG157" s="184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/>
      <c r="LI157" s="15"/>
      <c r="LJ157" s="15"/>
      <c r="LK157" s="15"/>
      <c r="LL157" s="15"/>
      <c r="LM157" s="15"/>
      <c r="LN157" s="15"/>
      <c r="LO157" s="15"/>
      <c r="LP157" s="15"/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  <c r="MG157" s="15"/>
      <c r="MH157" s="15"/>
      <c r="MI157" s="15"/>
      <c r="MJ157" s="15"/>
      <c r="MK157" s="15"/>
      <c r="ML157" s="15"/>
      <c r="MM157" s="15"/>
      <c r="MN157" s="15"/>
      <c r="MO157" s="15"/>
      <c r="MP157" s="15"/>
      <c r="MQ157" s="15"/>
      <c r="MR157" s="15"/>
      <c r="MS157" s="15"/>
      <c r="MT157" s="15"/>
      <c r="MU157" s="15"/>
      <c r="MV157" s="15"/>
      <c r="MW157" s="15"/>
      <c r="MX157" s="15"/>
      <c r="MY157" s="15"/>
      <c r="MZ157" s="15"/>
      <c r="NA157" s="15"/>
      <c r="NB157" s="15"/>
      <c r="NC157" s="15"/>
      <c r="ND157" s="15"/>
      <c r="NE157" s="15"/>
      <c r="NF157" s="15"/>
      <c r="NG157" s="15"/>
      <c r="NH157" s="15"/>
      <c r="NI157" s="15"/>
      <c r="NJ157" s="15"/>
      <c r="NK157" s="15"/>
      <c r="NL157" s="15"/>
      <c r="NM157" s="15"/>
      <c r="NN157" s="15"/>
      <c r="NO157" s="15"/>
      <c r="NP157" s="15"/>
      <c r="NQ157" s="15"/>
      <c r="NR157" s="15"/>
      <c r="NS157" s="15"/>
      <c r="NT157" s="15"/>
      <c r="NU157" s="15"/>
      <c r="NV157" s="15"/>
      <c r="NW157" s="15"/>
      <c r="NX157" s="15"/>
      <c r="NY157" s="15"/>
      <c r="NZ157" s="15"/>
    </row>
    <row r="158" spans="2:390" ht="19.5" customHeight="1" x14ac:dyDescent="0.45">
      <c r="B158" s="1">
        <f t="shared" si="126"/>
        <v>4</v>
      </c>
      <c r="C158" s="1">
        <f>+C157</f>
        <v>9</v>
      </c>
      <c r="D158" s="1">
        <f>+D157+1</f>
        <v>3</v>
      </c>
      <c r="E158" s="59" t="str">
        <f t="shared" si="125"/>
        <v>4.9.3</v>
      </c>
      <c r="F158" s="23" t="s">
        <v>90</v>
      </c>
      <c r="G158" s="191"/>
      <c r="H158" s="52" t="s">
        <v>117</v>
      </c>
      <c r="I158" s="52"/>
      <c r="J158" s="52">
        <v>18</v>
      </c>
      <c r="K158" s="52">
        <v>0</v>
      </c>
      <c r="L158" s="55">
        <f>+J158-K158</f>
        <v>18</v>
      </c>
      <c r="M158" s="126"/>
      <c r="N158" s="127"/>
      <c r="O158" s="139"/>
      <c r="P158" s="139"/>
      <c r="Q158" s="139"/>
      <c r="R158" s="187"/>
      <c r="S158" s="64"/>
      <c r="T158" s="155" t="str">
        <f t="shared" si="129"/>
        <v/>
      </c>
      <c r="U158" s="22">
        <f>+K158/J158</f>
        <v>0</v>
      </c>
      <c r="V158" s="199">
        <f t="shared" si="130"/>
        <v>0</v>
      </c>
      <c r="W158" s="158"/>
      <c r="X158" s="159"/>
      <c r="Y158" s="199">
        <f t="shared" si="131"/>
        <v>0</v>
      </c>
      <c r="Z158" s="36"/>
      <c r="AA158" s="15"/>
      <c r="AB158" s="15"/>
      <c r="AC158" s="15"/>
      <c r="AD158" s="15"/>
      <c r="AE158" s="15"/>
      <c r="AF158" s="15"/>
      <c r="AG158" s="184"/>
      <c r="AH158" s="15"/>
      <c r="AI158" s="15"/>
      <c r="AJ158" s="15"/>
      <c r="AK158" s="15"/>
      <c r="AL158" s="15"/>
      <c r="AM158" s="15"/>
      <c r="AN158" s="184"/>
      <c r="AO158" s="15"/>
      <c r="AP158" s="15"/>
      <c r="AQ158" s="15"/>
      <c r="AR158" s="15"/>
      <c r="AS158" s="15"/>
      <c r="AT158" s="15"/>
      <c r="AU158" s="184"/>
      <c r="AV158" s="15"/>
      <c r="AW158" s="15"/>
      <c r="AX158" s="15"/>
      <c r="AY158" s="15"/>
      <c r="AZ158" s="15"/>
      <c r="BA158" s="15"/>
      <c r="BB158" s="184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84"/>
      <c r="CE158" s="15"/>
      <c r="CF158" s="15"/>
      <c r="CG158" s="15"/>
      <c r="CH158" s="15"/>
      <c r="CI158" s="15"/>
      <c r="CJ158" s="15"/>
      <c r="CK158" s="184"/>
      <c r="CL158" s="15"/>
      <c r="CM158" s="15"/>
      <c r="CN158" s="15"/>
      <c r="CO158" s="15"/>
      <c r="CP158" s="15"/>
      <c r="CQ158" s="15"/>
      <c r="CR158" s="184"/>
      <c r="CS158" s="15"/>
      <c r="CT158" s="15"/>
      <c r="CU158" s="15"/>
      <c r="CV158" s="15"/>
      <c r="CW158" s="15"/>
      <c r="CX158" s="15"/>
      <c r="CY158" s="184"/>
      <c r="CZ158" s="15"/>
      <c r="DA158" s="15"/>
      <c r="DB158" s="15"/>
      <c r="DC158" s="15"/>
      <c r="DD158" s="15"/>
      <c r="DE158" s="15"/>
      <c r="DF158" s="184"/>
      <c r="DG158" s="15"/>
      <c r="DH158" s="15"/>
      <c r="DI158" s="15"/>
      <c r="DJ158" s="15"/>
      <c r="DK158" s="15"/>
      <c r="DL158" s="15"/>
      <c r="DM158" s="184"/>
      <c r="DN158" s="15"/>
      <c r="DO158" s="15"/>
      <c r="DP158" s="15"/>
      <c r="DQ158" s="15"/>
      <c r="DR158" s="15"/>
      <c r="DS158" s="15"/>
      <c r="DT158" s="184"/>
      <c r="DU158" s="15"/>
      <c r="DV158" s="15"/>
      <c r="DW158" s="15"/>
      <c r="DX158" s="15"/>
      <c r="DY158" s="15"/>
      <c r="DZ158" s="15"/>
      <c r="EA158" s="184"/>
      <c r="EB158" s="15"/>
      <c r="EC158" s="15"/>
      <c r="ED158" s="15"/>
      <c r="EE158" s="15"/>
      <c r="EF158" s="15"/>
      <c r="EG158" s="15"/>
      <c r="EH158" s="184"/>
      <c r="EI158" s="15"/>
      <c r="EJ158" s="15"/>
      <c r="EK158" s="15"/>
      <c r="EL158" s="15"/>
      <c r="EM158" s="15"/>
      <c r="EN158" s="15"/>
      <c r="EO158" s="184"/>
      <c r="EP158" s="15"/>
      <c r="EQ158" s="15"/>
      <c r="ER158" s="15"/>
      <c r="ES158" s="15"/>
      <c r="ET158" s="15"/>
      <c r="EU158" s="15"/>
      <c r="EV158" s="184"/>
      <c r="EW158" s="15"/>
      <c r="EX158" s="15"/>
      <c r="EY158" s="15"/>
      <c r="EZ158" s="15"/>
      <c r="FA158" s="15"/>
      <c r="FB158" s="15"/>
      <c r="FC158" s="184"/>
      <c r="FD158" s="15"/>
      <c r="FE158" s="15"/>
      <c r="FF158" s="15"/>
      <c r="FG158" s="15"/>
      <c r="FH158" s="15"/>
      <c r="FI158" s="15"/>
      <c r="FJ158" s="184"/>
      <c r="FK158" s="15"/>
      <c r="FL158" s="15"/>
      <c r="FM158" s="15"/>
      <c r="FN158" s="15"/>
      <c r="FO158" s="15"/>
      <c r="FP158" s="15"/>
      <c r="FQ158" s="184"/>
      <c r="FR158" s="15"/>
      <c r="FS158" s="15"/>
      <c r="FT158" s="15"/>
      <c r="FU158" s="15"/>
      <c r="FV158" s="15"/>
      <c r="FW158" s="178"/>
      <c r="FX158" s="184"/>
      <c r="FY158" s="181"/>
      <c r="FZ158" s="15"/>
      <c r="GA158" s="15"/>
      <c r="GB158" s="15"/>
      <c r="GC158" s="15"/>
      <c r="GD158" s="15"/>
      <c r="GE158" s="184"/>
      <c r="GF158" s="15"/>
      <c r="GG158" s="15"/>
      <c r="GH158" s="15"/>
      <c r="GI158" s="15"/>
      <c r="GJ158" s="15"/>
      <c r="GK158" s="15"/>
      <c r="GL158" s="184"/>
      <c r="GM158" s="15"/>
      <c r="GN158" s="15"/>
      <c r="GO158" s="15"/>
      <c r="GP158" s="15"/>
      <c r="GQ158" s="15"/>
      <c r="GR158" s="15"/>
      <c r="GS158" s="184"/>
      <c r="GT158" s="15"/>
      <c r="GU158" s="15"/>
      <c r="GV158" s="15"/>
      <c r="GW158" s="15"/>
      <c r="GX158" s="15"/>
      <c r="GY158" s="15"/>
      <c r="GZ158" s="184"/>
      <c r="HA158" s="15"/>
      <c r="HB158" s="15"/>
      <c r="HC158" s="15"/>
      <c r="HD158" s="15"/>
      <c r="HE158" s="15"/>
      <c r="HF158" s="15"/>
      <c r="HG158" s="184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/>
      <c r="LI158" s="15"/>
      <c r="LJ158" s="15"/>
      <c r="LK158" s="15"/>
      <c r="LL158" s="15"/>
      <c r="LM158" s="15"/>
      <c r="LN158" s="15"/>
      <c r="LO158" s="15"/>
      <c r="LP158" s="15"/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  <c r="MG158" s="15"/>
      <c r="MH158" s="15"/>
      <c r="MI158" s="15"/>
      <c r="MJ158" s="15"/>
      <c r="MK158" s="15"/>
      <c r="ML158" s="15"/>
      <c r="MM158" s="15"/>
      <c r="MN158" s="15"/>
      <c r="MO158" s="15"/>
      <c r="MP158" s="15"/>
      <c r="MQ158" s="15"/>
      <c r="MR158" s="15"/>
      <c r="MS158" s="15"/>
      <c r="MT158" s="15"/>
      <c r="MU158" s="15"/>
      <c r="MV158" s="15"/>
      <c r="MW158" s="15"/>
      <c r="MX158" s="15"/>
      <c r="MY158" s="15"/>
      <c r="MZ158" s="15"/>
      <c r="NA158" s="15"/>
      <c r="NB158" s="15"/>
      <c r="NC158" s="15"/>
      <c r="ND158" s="15"/>
      <c r="NE158" s="15"/>
      <c r="NF158" s="15"/>
      <c r="NG158" s="15"/>
      <c r="NH158" s="15"/>
      <c r="NI158" s="15"/>
      <c r="NJ158" s="15"/>
      <c r="NK158" s="15"/>
      <c r="NL158" s="15"/>
      <c r="NM158" s="15"/>
      <c r="NN158" s="15"/>
      <c r="NO158" s="15"/>
      <c r="NP158" s="15"/>
      <c r="NQ158" s="15"/>
      <c r="NR158" s="15"/>
      <c r="NS158" s="15"/>
      <c r="NT158" s="15"/>
      <c r="NU158" s="15"/>
      <c r="NV158" s="15"/>
      <c r="NW158" s="15"/>
      <c r="NX158" s="15"/>
      <c r="NY158" s="15"/>
      <c r="NZ158" s="15"/>
    </row>
    <row r="159" spans="2:390" ht="19.5" customHeight="1" x14ac:dyDescent="0.45">
      <c r="B159" s="1">
        <f t="shared" si="126"/>
        <v>4</v>
      </c>
      <c r="C159" s="1">
        <f>+C158</f>
        <v>9</v>
      </c>
      <c r="D159" s="1">
        <f>+D158+1</f>
        <v>4</v>
      </c>
      <c r="E159" s="59" t="str">
        <f t="shared" si="125"/>
        <v>4.9.4</v>
      </c>
      <c r="F159" s="23" t="s">
        <v>91</v>
      </c>
      <c r="G159" s="191">
        <v>1.5</v>
      </c>
      <c r="H159" s="52" t="s">
        <v>117</v>
      </c>
      <c r="I159" s="52" t="s">
        <v>156</v>
      </c>
      <c r="J159" s="52">
        <v>18</v>
      </c>
      <c r="K159" s="52">
        <v>0</v>
      </c>
      <c r="L159" s="55">
        <f>+J159-K159</f>
        <v>18</v>
      </c>
      <c r="M159" s="52">
        <v>4</v>
      </c>
      <c r="N159" s="52">
        <v>18</v>
      </c>
      <c r="O159" s="51">
        <f t="shared" si="127"/>
        <v>72</v>
      </c>
      <c r="P159" s="51">
        <f>+SUM(AA159:NZ159)</f>
        <v>72</v>
      </c>
      <c r="Q159" s="51">
        <f>+O159-P159</f>
        <v>0</v>
      </c>
      <c r="R159" s="19">
        <v>46118</v>
      </c>
      <c r="S159" s="20">
        <v>11</v>
      </c>
      <c r="T159" s="21">
        <f t="shared" si="129"/>
        <v>46132</v>
      </c>
      <c r="U159" s="22">
        <f>+K159/J159</f>
        <v>0</v>
      </c>
      <c r="V159" s="199">
        <f t="shared" si="130"/>
        <v>0</v>
      </c>
      <c r="W159" s="158">
        <f>SUMIFS($AA159:$NZ159, $AA$8:$NZ$8, $W$13)/$O159</f>
        <v>0</v>
      </c>
      <c r="X159" s="159">
        <f>SUMIF($AA$9:$NZ$9, "&lt;=" &amp; $W$11,$AA159:$NZ159)/$O159</f>
        <v>0</v>
      </c>
      <c r="Y159" s="199">
        <f t="shared" si="131"/>
        <v>0</v>
      </c>
      <c r="Z159" s="36"/>
      <c r="AA159" s="15"/>
      <c r="AB159" s="15"/>
      <c r="AC159" s="15"/>
      <c r="AD159" s="15"/>
      <c r="AE159" s="15"/>
      <c r="AF159" s="15"/>
      <c r="AG159" s="184"/>
      <c r="AH159" s="15"/>
      <c r="AI159" s="15"/>
      <c r="AJ159" s="15"/>
      <c r="AK159" s="15"/>
      <c r="AL159" s="15"/>
      <c r="AM159" s="15"/>
      <c r="AN159" s="184"/>
      <c r="AO159" s="15"/>
      <c r="AP159" s="15"/>
      <c r="AQ159" s="15"/>
      <c r="AR159" s="15"/>
      <c r="AS159" s="15"/>
      <c r="AT159" s="15"/>
      <c r="AU159" s="184"/>
      <c r="AV159" s="15"/>
      <c r="AW159" s="15"/>
      <c r="AX159" s="15"/>
      <c r="AY159" s="15"/>
      <c r="AZ159" s="15"/>
      <c r="BA159" s="15"/>
      <c r="BB159" s="184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84"/>
      <c r="CE159" s="15"/>
      <c r="CF159" s="15"/>
      <c r="CG159" s="15"/>
      <c r="CH159" s="15"/>
      <c r="CI159" s="15"/>
      <c r="CJ159" s="15"/>
      <c r="CK159" s="184"/>
      <c r="CL159" s="15"/>
      <c r="CM159" s="15"/>
      <c r="CN159" s="15"/>
      <c r="CO159" s="15"/>
      <c r="CP159" s="15"/>
      <c r="CQ159" s="15"/>
      <c r="CR159" s="184"/>
      <c r="CS159" s="15"/>
      <c r="CT159" s="15"/>
      <c r="CU159" s="15"/>
      <c r="CV159" s="15"/>
      <c r="CW159" s="15"/>
      <c r="CX159" s="15"/>
      <c r="CY159" s="184"/>
      <c r="CZ159" s="15"/>
      <c r="DA159" s="15"/>
      <c r="DB159" s="15"/>
      <c r="DC159" s="15"/>
      <c r="DD159" s="15"/>
      <c r="DE159" s="15"/>
      <c r="DF159" s="184"/>
      <c r="DG159" s="15"/>
      <c r="DH159" s="15"/>
      <c r="DI159" s="15"/>
      <c r="DJ159" s="15"/>
      <c r="DK159" s="15"/>
      <c r="DL159" s="15"/>
      <c r="DM159" s="184"/>
      <c r="DN159" s="15"/>
      <c r="DO159" s="15"/>
      <c r="DP159" s="15"/>
      <c r="DQ159" s="15"/>
      <c r="DR159" s="15"/>
      <c r="DS159" s="15"/>
      <c r="DT159" s="184"/>
      <c r="DU159" s="15"/>
      <c r="DV159" s="15"/>
      <c r="DW159" s="15"/>
      <c r="DX159" s="15"/>
      <c r="DY159" s="15"/>
      <c r="DZ159" s="15"/>
      <c r="EA159" s="184"/>
      <c r="EB159" s="15"/>
      <c r="EC159" s="15"/>
      <c r="ED159" s="15"/>
      <c r="EE159" s="15"/>
      <c r="EF159" s="15"/>
      <c r="EG159" s="15"/>
      <c r="EH159" s="184"/>
      <c r="EI159" s="15"/>
      <c r="EJ159" s="15"/>
      <c r="EK159" s="15"/>
      <c r="EL159" s="15"/>
      <c r="EM159" s="15"/>
      <c r="EN159" s="15"/>
      <c r="EO159" s="184"/>
      <c r="EP159" s="15"/>
      <c r="EQ159" s="15"/>
      <c r="ER159" s="15"/>
      <c r="ES159" s="15"/>
      <c r="ET159" s="15"/>
      <c r="EU159" s="15"/>
      <c r="EV159" s="184"/>
      <c r="EW159" s="15"/>
      <c r="EX159" s="15"/>
      <c r="EY159" s="15"/>
      <c r="EZ159" s="15"/>
      <c r="FA159" s="15"/>
      <c r="FB159" s="15"/>
      <c r="FC159" s="184"/>
      <c r="FD159" s="15">
        <v>2</v>
      </c>
      <c r="FE159" s="15">
        <v>2</v>
      </c>
      <c r="FF159" s="15">
        <v>2</v>
      </c>
      <c r="FG159" s="15">
        <v>2</v>
      </c>
      <c r="FH159" s="15">
        <v>2</v>
      </c>
      <c r="FI159" s="15">
        <v>2</v>
      </c>
      <c r="FJ159" s="184"/>
      <c r="FK159" s="15">
        <v>2</v>
      </c>
      <c r="FL159" s="15">
        <v>2</v>
      </c>
      <c r="FM159" s="15">
        <v>2</v>
      </c>
      <c r="FN159" s="15">
        <v>2</v>
      </c>
      <c r="FO159" s="15">
        <v>2</v>
      </c>
      <c r="FP159" s="15">
        <v>2</v>
      </c>
      <c r="FQ159" s="184"/>
      <c r="FR159" s="15">
        <v>6</v>
      </c>
      <c r="FS159" s="15">
        <v>6</v>
      </c>
      <c r="FT159" s="15">
        <v>6</v>
      </c>
      <c r="FU159" s="15">
        <v>10</v>
      </c>
      <c r="FV159" s="15">
        <v>10</v>
      </c>
      <c r="FW159" s="178">
        <v>10</v>
      </c>
      <c r="FX159" s="184"/>
      <c r="FY159" s="181"/>
      <c r="FZ159" s="15"/>
      <c r="GA159" s="15"/>
      <c r="GB159" s="15"/>
      <c r="GC159" s="15"/>
      <c r="GD159" s="15"/>
      <c r="GE159" s="184"/>
      <c r="GF159" s="15"/>
      <c r="GG159" s="15"/>
      <c r="GH159" s="15"/>
      <c r="GI159" s="15"/>
      <c r="GJ159" s="15"/>
      <c r="GK159" s="15"/>
      <c r="GL159" s="184"/>
      <c r="GM159" s="15"/>
      <c r="GN159" s="15"/>
      <c r="GO159" s="15"/>
      <c r="GP159" s="15"/>
      <c r="GQ159" s="15"/>
      <c r="GR159" s="15"/>
      <c r="GS159" s="184"/>
      <c r="GT159" s="15"/>
      <c r="GU159" s="15"/>
      <c r="GV159" s="15"/>
      <c r="GW159" s="15"/>
      <c r="GX159" s="15"/>
      <c r="GY159" s="15"/>
      <c r="GZ159" s="184"/>
      <c r="HA159" s="15"/>
      <c r="HB159" s="15"/>
      <c r="HC159" s="15"/>
      <c r="HD159" s="15"/>
      <c r="HE159" s="15"/>
      <c r="HF159" s="15"/>
      <c r="HG159" s="184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/>
      <c r="LI159" s="15"/>
      <c r="LJ159" s="15"/>
      <c r="LK159" s="15"/>
      <c r="LL159" s="15"/>
      <c r="LM159" s="15"/>
      <c r="LN159" s="15"/>
      <c r="LO159" s="15"/>
      <c r="LP159" s="15"/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  <c r="MG159" s="15"/>
      <c r="MH159" s="15"/>
      <c r="MI159" s="15"/>
      <c r="MJ159" s="15"/>
      <c r="MK159" s="15"/>
      <c r="ML159" s="15"/>
      <c r="MM159" s="15"/>
      <c r="MN159" s="15"/>
      <c r="MO159" s="15"/>
      <c r="MP159" s="15"/>
      <c r="MQ159" s="15"/>
      <c r="MR159" s="15"/>
      <c r="MS159" s="15"/>
      <c r="MT159" s="15"/>
      <c r="MU159" s="15"/>
      <c r="MV159" s="15"/>
      <c r="MW159" s="15"/>
      <c r="MX159" s="15"/>
      <c r="MY159" s="15"/>
      <c r="MZ159" s="15"/>
      <c r="NA159" s="15"/>
      <c r="NB159" s="15"/>
      <c r="NC159" s="15"/>
      <c r="ND159" s="15"/>
      <c r="NE159" s="15"/>
      <c r="NF159" s="15"/>
      <c r="NG159" s="15"/>
      <c r="NH159" s="15"/>
      <c r="NI159" s="15"/>
      <c r="NJ159" s="15"/>
      <c r="NK159" s="15"/>
      <c r="NL159" s="15"/>
      <c r="NM159" s="15"/>
      <c r="NN159" s="15"/>
      <c r="NO159" s="15"/>
      <c r="NP159" s="15"/>
      <c r="NQ159" s="15"/>
      <c r="NR159" s="15"/>
      <c r="NS159" s="15"/>
      <c r="NT159" s="15"/>
      <c r="NU159" s="15"/>
      <c r="NV159" s="15"/>
      <c r="NW159" s="15"/>
      <c r="NX159" s="15"/>
      <c r="NY159" s="15"/>
      <c r="NZ159" s="15"/>
    </row>
    <row r="160" spans="2:390" ht="19.5" customHeight="1" x14ac:dyDescent="0.45">
      <c r="B160" s="1">
        <f t="shared" si="126"/>
        <v>4</v>
      </c>
      <c r="C160" s="1">
        <f>+C159+1</f>
        <v>10</v>
      </c>
      <c r="D160" s="1">
        <v>0</v>
      </c>
      <c r="E160" s="93" t="str">
        <f t="shared" si="125"/>
        <v>4.10.0</v>
      </c>
      <c r="F160" s="94" t="s">
        <v>70</v>
      </c>
      <c r="G160" s="94"/>
      <c r="H160" s="95"/>
      <c r="I160" s="95"/>
      <c r="J160" s="96"/>
      <c r="K160" s="96"/>
      <c r="L160" s="97"/>
      <c r="M160" s="95"/>
      <c r="N160" s="95"/>
      <c r="O160" s="95">
        <f>SUM(O161:O165)</f>
        <v>42</v>
      </c>
      <c r="P160" s="95"/>
      <c r="Q160" s="95"/>
      <c r="R160" s="168"/>
      <c r="S160" s="98"/>
      <c r="T160" s="163" t="str">
        <f t="shared" si="129"/>
        <v/>
      </c>
      <c r="U160" s="164">
        <f>+SUMPRODUCT(U161:U165,O161:O165)/O160</f>
        <v>9.5238095238095233E-2</v>
      </c>
      <c r="V160" s="200">
        <f t="shared" si="130"/>
        <v>4</v>
      </c>
      <c r="W160" s="158">
        <f>SUMIFS($AA160:$NZ160, $AA$8:$NZ$8, $W$13)/$O160</f>
        <v>0</v>
      </c>
      <c r="X160" s="159">
        <f>SUMIF($AA$9:$NZ$9, "&lt;=" &amp; $W$11,$AA160:$NZ160)/$O160</f>
        <v>0</v>
      </c>
      <c r="Y160" s="199">
        <f t="shared" si="131"/>
        <v>0</v>
      </c>
      <c r="Z160" s="36"/>
      <c r="AA160" s="15"/>
      <c r="AB160" s="15"/>
      <c r="AC160" s="15"/>
      <c r="AD160" s="15"/>
      <c r="AE160" s="15"/>
      <c r="AF160" s="15"/>
      <c r="AG160" s="184"/>
      <c r="AH160" s="15"/>
      <c r="AI160" s="15"/>
      <c r="AJ160" s="15"/>
      <c r="AK160" s="15"/>
      <c r="AL160" s="15"/>
      <c r="AM160" s="15"/>
      <c r="AN160" s="184"/>
      <c r="AO160" s="15"/>
      <c r="AP160" s="15"/>
      <c r="AQ160" s="15"/>
      <c r="AR160" s="15"/>
      <c r="AS160" s="15"/>
      <c r="AT160" s="15"/>
      <c r="AU160" s="184"/>
      <c r="AV160" s="15"/>
      <c r="AW160" s="15"/>
      <c r="AX160" s="15"/>
      <c r="AY160" s="15"/>
      <c r="AZ160" s="15"/>
      <c r="BA160" s="15"/>
      <c r="BB160" s="184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84"/>
      <c r="CE160" s="15"/>
      <c r="CF160" s="15"/>
      <c r="CG160" s="15"/>
      <c r="CH160" s="15"/>
      <c r="CI160" s="15"/>
      <c r="CJ160" s="15"/>
      <c r="CK160" s="184"/>
      <c r="CL160" s="15"/>
      <c r="CM160" s="15"/>
      <c r="CN160" s="15"/>
      <c r="CO160" s="15"/>
      <c r="CP160" s="15"/>
      <c r="CQ160" s="15"/>
      <c r="CR160" s="184"/>
      <c r="CS160" s="15"/>
      <c r="CT160" s="15"/>
      <c r="CU160" s="15"/>
      <c r="CV160" s="15"/>
      <c r="CW160" s="15"/>
      <c r="CX160" s="15"/>
      <c r="CY160" s="184"/>
      <c r="CZ160" s="15"/>
      <c r="DA160" s="15"/>
      <c r="DB160" s="15"/>
      <c r="DC160" s="15"/>
      <c r="DD160" s="15"/>
      <c r="DE160" s="15"/>
      <c r="DF160" s="184"/>
      <c r="DG160" s="15"/>
      <c r="DH160" s="15"/>
      <c r="DI160" s="15"/>
      <c r="DJ160" s="15"/>
      <c r="DK160" s="15"/>
      <c r="DL160" s="15"/>
      <c r="DM160" s="184"/>
      <c r="DN160" s="15"/>
      <c r="DO160" s="15"/>
      <c r="DP160" s="15"/>
      <c r="DQ160" s="15"/>
      <c r="DR160" s="15"/>
      <c r="DS160" s="15"/>
      <c r="DT160" s="184"/>
      <c r="DU160" s="15"/>
      <c r="DV160" s="15"/>
      <c r="DW160" s="15"/>
      <c r="DX160" s="15"/>
      <c r="DY160" s="15"/>
      <c r="DZ160" s="15"/>
      <c r="EA160" s="184"/>
      <c r="EB160" s="15"/>
      <c r="EC160" s="15"/>
      <c r="ED160" s="15"/>
      <c r="EE160" s="15"/>
      <c r="EF160" s="15"/>
      <c r="EG160" s="15"/>
      <c r="EH160" s="184"/>
      <c r="EI160" s="15"/>
      <c r="EJ160" s="15"/>
      <c r="EK160" s="15"/>
      <c r="EL160" s="15"/>
      <c r="EM160" s="15"/>
      <c r="EN160" s="15"/>
      <c r="EO160" s="184"/>
      <c r="EP160" s="15"/>
      <c r="EQ160" s="15"/>
      <c r="ER160" s="15"/>
      <c r="ES160" s="15"/>
      <c r="ET160" s="15"/>
      <c r="EU160" s="15"/>
      <c r="EV160" s="184"/>
      <c r="EW160" s="15"/>
      <c r="EX160" s="15"/>
      <c r="EY160" s="15"/>
      <c r="EZ160" s="15"/>
      <c r="FA160" s="15"/>
      <c r="FB160" s="15"/>
      <c r="FC160" s="184"/>
      <c r="FD160" s="15"/>
      <c r="FE160" s="15"/>
      <c r="FF160" s="15"/>
      <c r="FG160" s="15"/>
      <c r="FH160" s="15"/>
      <c r="FI160" s="15"/>
      <c r="FJ160" s="184"/>
      <c r="FK160" s="15"/>
      <c r="FL160" s="15"/>
      <c r="FM160" s="15"/>
      <c r="FN160" s="15"/>
      <c r="FO160" s="15"/>
      <c r="FP160" s="15"/>
      <c r="FQ160" s="184"/>
      <c r="FR160" s="15"/>
      <c r="FS160" s="15"/>
      <c r="FT160" s="15"/>
      <c r="FU160" s="15"/>
      <c r="FV160" s="15"/>
      <c r="FW160" s="178"/>
      <c r="FX160" s="184"/>
      <c r="FY160" s="181"/>
      <c r="FZ160" s="15"/>
      <c r="GA160" s="15"/>
      <c r="GB160" s="15"/>
      <c r="GC160" s="15"/>
      <c r="GD160" s="15"/>
      <c r="GE160" s="184"/>
      <c r="GF160" s="15"/>
      <c r="GG160" s="15"/>
      <c r="GH160" s="15"/>
      <c r="GI160" s="15"/>
      <c r="GJ160" s="15"/>
      <c r="GK160" s="15"/>
      <c r="GL160" s="184"/>
      <c r="GM160" s="15"/>
      <c r="GN160" s="15"/>
      <c r="GO160" s="15"/>
      <c r="GP160" s="15"/>
      <c r="GQ160" s="15"/>
      <c r="GR160" s="15"/>
      <c r="GS160" s="184"/>
      <c r="GT160" s="15"/>
      <c r="GU160" s="15"/>
      <c r="GV160" s="15"/>
      <c r="GW160" s="15"/>
      <c r="GX160" s="15"/>
      <c r="GY160" s="15"/>
      <c r="GZ160" s="184"/>
      <c r="HA160" s="15"/>
      <c r="HB160" s="15"/>
      <c r="HC160" s="15"/>
      <c r="HD160" s="15"/>
      <c r="HE160" s="15"/>
      <c r="HF160" s="15"/>
      <c r="HG160" s="184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/>
      <c r="LI160" s="15"/>
      <c r="LJ160" s="15"/>
      <c r="LK160" s="15"/>
      <c r="LL160" s="15"/>
      <c r="LM160" s="15"/>
      <c r="LN160" s="15"/>
      <c r="LO160" s="15"/>
      <c r="LP160" s="15"/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  <c r="MG160" s="15"/>
      <c r="MH160" s="15"/>
      <c r="MI160" s="15"/>
      <c r="MJ160" s="15"/>
      <c r="MK160" s="15"/>
      <c r="ML160" s="15"/>
      <c r="MM160" s="15"/>
      <c r="MN160" s="15"/>
      <c r="MO160" s="15"/>
      <c r="MP160" s="15"/>
      <c r="MQ160" s="15"/>
      <c r="MR160" s="15"/>
      <c r="MS160" s="15"/>
      <c r="MT160" s="15"/>
      <c r="MU160" s="15"/>
      <c r="MV160" s="15"/>
      <c r="MW160" s="15"/>
      <c r="MX160" s="15"/>
      <c r="MY160" s="15"/>
      <c r="MZ160" s="15"/>
      <c r="NA160" s="15"/>
      <c r="NB160" s="15"/>
      <c r="NC160" s="15"/>
      <c r="ND160" s="15"/>
      <c r="NE160" s="15"/>
      <c r="NF160" s="15"/>
      <c r="NG160" s="15"/>
      <c r="NH160" s="15"/>
      <c r="NI160" s="15"/>
      <c r="NJ160" s="15"/>
      <c r="NK160" s="15"/>
      <c r="NL160" s="15"/>
      <c r="NM160" s="15"/>
      <c r="NN160" s="15"/>
      <c r="NO160" s="15"/>
      <c r="NP160" s="15"/>
      <c r="NQ160" s="15"/>
      <c r="NR160" s="15"/>
      <c r="NS160" s="15"/>
      <c r="NT160" s="15"/>
      <c r="NU160" s="15"/>
      <c r="NV160" s="15"/>
      <c r="NW160" s="15"/>
      <c r="NX160" s="15"/>
      <c r="NY160" s="15"/>
      <c r="NZ160" s="15"/>
    </row>
    <row r="161" spans="2:390" ht="19.5" customHeight="1" x14ac:dyDescent="0.45">
      <c r="B161" s="1">
        <f t="shared" si="126"/>
        <v>4</v>
      </c>
      <c r="C161" s="1">
        <f>+C160</f>
        <v>10</v>
      </c>
      <c r="D161" s="1">
        <f>+D160+1</f>
        <v>1</v>
      </c>
      <c r="E161" s="59" t="str">
        <f t="shared" si="125"/>
        <v>4.10.1</v>
      </c>
      <c r="F161" s="23" t="s">
        <v>94</v>
      </c>
      <c r="G161" s="191">
        <v>1.5</v>
      </c>
      <c r="H161" s="52" t="s">
        <v>117</v>
      </c>
      <c r="I161" s="52"/>
      <c r="J161" s="52">
        <v>1</v>
      </c>
      <c r="K161" s="52">
        <v>1</v>
      </c>
      <c r="L161" s="55">
        <f>+J161-K161</f>
        <v>0</v>
      </c>
      <c r="M161" s="52">
        <v>2</v>
      </c>
      <c r="N161" s="52">
        <v>2</v>
      </c>
      <c r="O161" s="51">
        <f t="shared" si="127"/>
        <v>4</v>
      </c>
      <c r="P161" s="51">
        <f>+SUM(AA161:NZ161)</f>
        <v>4</v>
      </c>
      <c r="Q161" s="51">
        <f>+O161-P161</f>
        <v>0</v>
      </c>
      <c r="R161" s="19">
        <v>45989</v>
      </c>
      <c r="S161" s="20">
        <v>1</v>
      </c>
      <c r="T161" s="21">
        <f t="shared" si="129"/>
        <v>45989</v>
      </c>
      <c r="U161" s="22">
        <f>+K161/J161</f>
        <v>1</v>
      </c>
      <c r="V161" s="199">
        <f t="shared" si="130"/>
        <v>4</v>
      </c>
      <c r="W161" s="158">
        <f>SUMIFS($AA161:$NZ161, $AA$8:$NZ$8, $W$13)/$O161</f>
        <v>0</v>
      </c>
      <c r="X161" s="159">
        <f>SUMIF($AA$9:$NZ$9, "&lt;=" &amp; $W$11,$AA161:$NZ161)/$O161</f>
        <v>1</v>
      </c>
      <c r="Y161" s="199">
        <f t="shared" si="131"/>
        <v>4</v>
      </c>
      <c r="Z161" s="36"/>
      <c r="AA161" s="15"/>
      <c r="AB161" s="15"/>
      <c r="AC161" s="15"/>
      <c r="AD161" s="15"/>
      <c r="AE161" s="15">
        <v>2</v>
      </c>
      <c r="AF161" s="15">
        <v>2</v>
      </c>
      <c r="AG161" s="184"/>
      <c r="AH161" s="15"/>
      <c r="AI161" s="15"/>
      <c r="AJ161" s="15"/>
      <c r="AK161" s="15"/>
      <c r="AL161" s="15"/>
      <c r="AM161" s="15"/>
      <c r="AN161" s="184"/>
      <c r="AO161" s="15"/>
      <c r="AP161" s="15"/>
      <c r="AQ161" s="15"/>
      <c r="AR161" s="15"/>
      <c r="AS161" s="15"/>
      <c r="AT161" s="15"/>
      <c r="AU161" s="184"/>
      <c r="AV161" s="15"/>
      <c r="AW161" s="15"/>
      <c r="AX161" s="15"/>
      <c r="AY161" s="15"/>
      <c r="AZ161" s="15"/>
      <c r="BA161" s="15"/>
      <c r="BB161" s="184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84"/>
      <c r="CE161" s="15"/>
      <c r="CF161" s="15"/>
      <c r="CG161" s="15"/>
      <c r="CH161" s="15"/>
      <c r="CI161" s="15"/>
      <c r="CJ161" s="15"/>
      <c r="CK161" s="184"/>
      <c r="CL161" s="15"/>
      <c r="CM161" s="15"/>
      <c r="CN161" s="15"/>
      <c r="CO161" s="15"/>
      <c r="CP161" s="15"/>
      <c r="CQ161" s="15"/>
      <c r="CR161" s="184"/>
      <c r="CS161" s="15"/>
      <c r="CT161" s="15"/>
      <c r="CU161" s="15"/>
      <c r="CV161" s="15"/>
      <c r="CW161" s="15"/>
      <c r="CX161" s="15"/>
      <c r="CY161" s="184"/>
      <c r="CZ161" s="15"/>
      <c r="DA161" s="15"/>
      <c r="DB161" s="15"/>
      <c r="DC161" s="15"/>
      <c r="DD161" s="15"/>
      <c r="DE161" s="15"/>
      <c r="DF161" s="184"/>
      <c r="DG161" s="15"/>
      <c r="DH161" s="15"/>
      <c r="DI161" s="15"/>
      <c r="DJ161" s="15"/>
      <c r="DK161" s="15"/>
      <c r="DL161" s="15"/>
      <c r="DM161" s="184"/>
      <c r="DN161" s="15"/>
      <c r="DO161" s="15"/>
      <c r="DP161" s="15"/>
      <c r="DQ161" s="15"/>
      <c r="DR161" s="15"/>
      <c r="DS161" s="15"/>
      <c r="DT161" s="184"/>
      <c r="DU161" s="15"/>
      <c r="DV161" s="15"/>
      <c r="DW161" s="15"/>
      <c r="DX161" s="15"/>
      <c r="DY161" s="15"/>
      <c r="DZ161" s="15"/>
      <c r="EA161" s="184"/>
      <c r="EB161" s="15"/>
      <c r="EC161" s="15"/>
      <c r="ED161" s="15"/>
      <c r="EE161" s="15"/>
      <c r="EF161" s="15"/>
      <c r="EG161" s="15"/>
      <c r="EH161" s="184"/>
      <c r="EI161" s="15"/>
      <c r="EJ161" s="15"/>
      <c r="EK161" s="15"/>
      <c r="EL161" s="15"/>
      <c r="EM161" s="15"/>
      <c r="EN161" s="15"/>
      <c r="EO161" s="184"/>
      <c r="EP161" s="15"/>
      <c r="EQ161" s="15"/>
      <c r="ER161" s="15"/>
      <c r="ES161" s="15"/>
      <c r="ET161" s="15"/>
      <c r="EU161" s="15"/>
      <c r="EV161" s="184"/>
      <c r="EW161" s="15"/>
      <c r="EX161" s="15"/>
      <c r="EY161" s="15"/>
      <c r="EZ161" s="15"/>
      <c r="FA161" s="15"/>
      <c r="FB161" s="15"/>
      <c r="FC161" s="184"/>
      <c r="FD161" s="15"/>
      <c r="FE161" s="15"/>
      <c r="FF161" s="15"/>
      <c r="FG161" s="15"/>
      <c r="FH161" s="15"/>
      <c r="FI161" s="15"/>
      <c r="FJ161" s="184"/>
      <c r="FK161" s="15"/>
      <c r="FL161" s="15"/>
      <c r="FM161" s="15"/>
      <c r="FN161" s="15"/>
      <c r="FO161" s="15"/>
      <c r="FP161" s="15"/>
      <c r="FQ161" s="184"/>
      <c r="FR161" s="15"/>
      <c r="FS161" s="15"/>
      <c r="FT161" s="15"/>
      <c r="FU161" s="15"/>
      <c r="FV161" s="15"/>
      <c r="FW161" s="178"/>
      <c r="FX161" s="184"/>
      <c r="FY161" s="181"/>
      <c r="FZ161" s="15"/>
      <c r="GA161" s="15"/>
      <c r="GB161" s="15"/>
      <c r="GC161" s="15"/>
      <c r="GD161" s="15"/>
      <c r="GE161" s="184"/>
      <c r="GF161" s="15"/>
      <c r="GG161" s="15"/>
      <c r="GH161" s="15"/>
      <c r="GI161" s="15"/>
      <c r="GJ161" s="15"/>
      <c r="GK161" s="15"/>
      <c r="GL161" s="184"/>
      <c r="GM161" s="15"/>
      <c r="GN161" s="15"/>
      <c r="GO161" s="15"/>
      <c r="GP161" s="15"/>
      <c r="GQ161" s="15"/>
      <c r="GR161" s="15"/>
      <c r="GS161" s="184"/>
      <c r="GT161" s="15"/>
      <c r="GU161" s="15"/>
      <c r="GV161" s="15"/>
      <c r="GW161" s="15"/>
      <c r="GX161" s="15"/>
      <c r="GY161" s="15"/>
      <c r="GZ161" s="184"/>
      <c r="HA161" s="15"/>
      <c r="HB161" s="15"/>
      <c r="HC161" s="15"/>
      <c r="HD161" s="15"/>
      <c r="HE161" s="15"/>
      <c r="HF161" s="15"/>
      <c r="HG161" s="184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/>
      <c r="KE161" s="15"/>
      <c r="KF161" s="15"/>
      <c r="KG161" s="15"/>
      <c r="KH161" s="15"/>
      <c r="KI161" s="15"/>
      <c r="KJ161" s="15"/>
      <c r="KK161" s="15"/>
      <c r="KL161" s="15"/>
      <c r="KM161" s="15"/>
      <c r="KN161" s="15"/>
      <c r="KO161" s="15"/>
      <c r="KP161" s="15"/>
      <c r="KQ161" s="15"/>
      <c r="KR161" s="15"/>
      <c r="KS161" s="15"/>
      <c r="KT161" s="15"/>
      <c r="KU161" s="15"/>
      <c r="KV161" s="15"/>
      <c r="KW161" s="15"/>
      <c r="KX161" s="15"/>
      <c r="KY161" s="15"/>
      <c r="KZ161" s="15"/>
      <c r="LA161" s="15"/>
      <c r="LB161" s="15"/>
      <c r="LC161" s="15"/>
      <c r="LD161" s="15"/>
      <c r="LE161" s="15"/>
      <c r="LF161" s="15"/>
      <c r="LG161" s="15"/>
      <c r="LH161" s="15"/>
      <c r="LI161" s="15"/>
      <c r="LJ161" s="15"/>
      <c r="LK161" s="15"/>
      <c r="LL161" s="15"/>
      <c r="LM161" s="15"/>
      <c r="LN161" s="15"/>
      <c r="LO161" s="15"/>
      <c r="LP161" s="15"/>
      <c r="LQ161" s="15"/>
      <c r="LR161" s="15"/>
      <c r="LS161" s="15"/>
      <c r="LT161" s="15"/>
      <c r="LU161" s="15"/>
      <c r="LV161" s="15"/>
      <c r="LW161" s="15"/>
      <c r="LX161" s="15"/>
      <c r="LY161" s="15"/>
      <c r="LZ161" s="15"/>
      <c r="MA161" s="15"/>
      <c r="MB161" s="15"/>
      <c r="MC161" s="15"/>
      <c r="MD161" s="15"/>
      <c r="ME161" s="15"/>
      <c r="MF161" s="15"/>
      <c r="MG161" s="15"/>
      <c r="MH161" s="15"/>
      <c r="MI161" s="15"/>
      <c r="MJ161" s="15"/>
      <c r="MK161" s="15"/>
      <c r="ML161" s="15"/>
      <c r="MM161" s="15"/>
      <c r="MN161" s="15"/>
      <c r="MO161" s="15"/>
      <c r="MP161" s="15"/>
      <c r="MQ161" s="15"/>
      <c r="MR161" s="15"/>
      <c r="MS161" s="15"/>
      <c r="MT161" s="15"/>
      <c r="MU161" s="15"/>
      <c r="MV161" s="15"/>
      <c r="MW161" s="15"/>
      <c r="MX161" s="15"/>
      <c r="MY161" s="15"/>
      <c r="MZ161" s="15"/>
      <c r="NA161" s="15"/>
      <c r="NB161" s="15"/>
      <c r="NC161" s="15"/>
      <c r="ND161" s="15"/>
      <c r="NE161" s="15"/>
      <c r="NF161" s="15"/>
      <c r="NG161" s="15"/>
      <c r="NH161" s="15"/>
      <c r="NI161" s="15"/>
      <c r="NJ161" s="15"/>
      <c r="NK161" s="15"/>
      <c r="NL161" s="15"/>
      <c r="NM161" s="15"/>
      <c r="NN161" s="15"/>
      <c r="NO161" s="15"/>
      <c r="NP161" s="15"/>
      <c r="NQ161" s="15"/>
      <c r="NR161" s="15"/>
      <c r="NS161" s="15"/>
      <c r="NT161" s="15"/>
      <c r="NU161" s="15"/>
      <c r="NV161" s="15"/>
      <c r="NW161" s="15"/>
      <c r="NX161" s="15"/>
      <c r="NY161" s="15"/>
      <c r="NZ161" s="15"/>
    </row>
    <row r="162" spans="2:390" ht="19.5" customHeight="1" x14ac:dyDescent="0.45">
      <c r="B162" s="1">
        <f t="shared" si="126"/>
        <v>4</v>
      </c>
      <c r="C162" s="1">
        <f>+C161</f>
        <v>10</v>
      </c>
      <c r="D162" s="1">
        <f>+D161+1</f>
        <v>2</v>
      </c>
      <c r="E162" s="59" t="str">
        <f t="shared" si="125"/>
        <v>4.10.2</v>
      </c>
      <c r="F162" s="23" t="s">
        <v>96</v>
      </c>
      <c r="G162" s="191"/>
      <c r="H162" s="52" t="s">
        <v>117</v>
      </c>
      <c r="I162" s="52"/>
      <c r="J162" s="52">
        <v>1</v>
      </c>
      <c r="K162" s="52">
        <v>0</v>
      </c>
      <c r="L162" s="55">
        <f>+J162-K162</f>
        <v>1</v>
      </c>
      <c r="M162" s="52">
        <v>2</v>
      </c>
      <c r="N162" s="52">
        <v>1</v>
      </c>
      <c r="O162" s="51">
        <f t="shared" si="127"/>
        <v>2</v>
      </c>
      <c r="P162" s="51">
        <f>+SUM(AA162:NZ162)</f>
        <v>0</v>
      </c>
      <c r="Q162" s="51">
        <f>+O162-P162</f>
        <v>2</v>
      </c>
      <c r="R162" s="187"/>
      <c r="S162" s="64"/>
      <c r="T162" s="155" t="str">
        <f t="shared" si="129"/>
        <v/>
      </c>
      <c r="U162" s="22">
        <f>+K162/J162</f>
        <v>0</v>
      </c>
      <c r="V162" s="199">
        <f t="shared" si="130"/>
        <v>0</v>
      </c>
      <c r="W162" s="158">
        <f>SUMIFS($AA162:$NZ162, $AA$8:$NZ$8, $W$13)/$O162</f>
        <v>0</v>
      </c>
      <c r="X162" s="159">
        <f>SUMIF($AA$9:$NZ$9, "&lt;=" &amp; $W$11,$AA162:$NZ162)/$O162</f>
        <v>0</v>
      </c>
      <c r="Y162" s="199">
        <f t="shared" si="131"/>
        <v>0</v>
      </c>
      <c r="Z162" s="36"/>
      <c r="AA162" s="15"/>
      <c r="AB162" s="15"/>
      <c r="AC162" s="15"/>
      <c r="AD162" s="15"/>
      <c r="AE162" s="15"/>
      <c r="AF162" s="15"/>
      <c r="AG162" s="184"/>
      <c r="AH162" s="15"/>
      <c r="AI162" s="15"/>
      <c r="AJ162" s="15"/>
      <c r="AK162" s="15"/>
      <c r="AL162" s="15"/>
      <c r="AM162" s="15"/>
      <c r="AN162" s="184"/>
      <c r="AO162" s="15"/>
      <c r="AP162" s="15"/>
      <c r="AQ162" s="15"/>
      <c r="AR162" s="15"/>
      <c r="AS162" s="15"/>
      <c r="AT162" s="15"/>
      <c r="AU162" s="184"/>
      <c r="AV162" s="15"/>
      <c r="AW162" s="15"/>
      <c r="AX162" s="15"/>
      <c r="AY162" s="15"/>
      <c r="AZ162" s="15"/>
      <c r="BA162" s="15"/>
      <c r="BB162" s="184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84"/>
      <c r="CE162" s="15"/>
      <c r="CF162" s="15"/>
      <c r="CG162" s="15"/>
      <c r="CH162" s="15"/>
      <c r="CI162" s="15"/>
      <c r="CJ162" s="15"/>
      <c r="CK162" s="184"/>
      <c r="CL162" s="15"/>
      <c r="CM162" s="15"/>
      <c r="CN162" s="15"/>
      <c r="CO162" s="15"/>
      <c r="CP162" s="15"/>
      <c r="CQ162" s="15"/>
      <c r="CR162" s="184"/>
      <c r="CS162" s="15"/>
      <c r="CT162" s="15"/>
      <c r="CU162" s="15"/>
      <c r="CV162" s="15"/>
      <c r="CW162" s="15"/>
      <c r="CX162" s="15"/>
      <c r="CY162" s="184"/>
      <c r="CZ162" s="15"/>
      <c r="DA162" s="15"/>
      <c r="DB162" s="15"/>
      <c r="DC162" s="15"/>
      <c r="DD162" s="15"/>
      <c r="DE162" s="15"/>
      <c r="DF162" s="184"/>
      <c r="DG162" s="15"/>
      <c r="DH162" s="15"/>
      <c r="DI162" s="15"/>
      <c r="DJ162" s="15"/>
      <c r="DK162" s="15"/>
      <c r="DL162" s="15"/>
      <c r="DM162" s="184"/>
      <c r="DN162" s="15"/>
      <c r="DO162" s="15"/>
      <c r="DP162" s="15"/>
      <c r="DQ162" s="15"/>
      <c r="DR162" s="15"/>
      <c r="DS162" s="15"/>
      <c r="DT162" s="184"/>
      <c r="DU162" s="15"/>
      <c r="DV162" s="15"/>
      <c r="DW162" s="15"/>
      <c r="DX162" s="15"/>
      <c r="DY162" s="15"/>
      <c r="DZ162" s="15"/>
      <c r="EA162" s="184"/>
      <c r="EB162" s="15"/>
      <c r="EC162" s="15"/>
      <c r="ED162" s="15"/>
      <c r="EE162" s="15"/>
      <c r="EF162" s="15"/>
      <c r="EG162" s="15"/>
      <c r="EH162" s="184"/>
      <c r="EI162" s="15"/>
      <c r="EJ162" s="15"/>
      <c r="EK162" s="15"/>
      <c r="EL162" s="15"/>
      <c r="EM162" s="15"/>
      <c r="EN162" s="15"/>
      <c r="EO162" s="184"/>
      <c r="EP162" s="15"/>
      <c r="EQ162" s="15"/>
      <c r="ER162" s="15"/>
      <c r="ES162" s="15"/>
      <c r="ET162" s="15"/>
      <c r="EU162" s="15"/>
      <c r="EV162" s="184"/>
      <c r="EW162" s="15"/>
      <c r="EX162" s="15"/>
      <c r="EY162" s="15"/>
      <c r="EZ162" s="15"/>
      <c r="FA162" s="15"/>
      <c r="FB162" s="15"/>
      <c r="FC162" s="184"/>
      <c r="FD162" s="15"/>
      <c r="FE162" s="15"/>
      <c r="FF162" s="15"/>
      <c r="FG162" s="15"/>
      <c r="FH162" s="15"/>
      <c r="FI162" s="15"/>
      <c r="FJ162" s="184"/>
      <c r="FK162" s="15"/>
      <c r="FL162" s="15"/>
      <c r="FM162" s="15"/>
      <c r="FN162" s="15"/>
      <c r="FO162" s="15"/>
      <c r="FP162" s="15"/>
      <c r="FQ162" s="184"/>
      <c r="FR162" s="15"/>
      <c r="FS162" s="15"/>
      <c r="FT162" s="15"/>
      <c r="FU162" s="15"/>
      <c r="FV162" s="15"/>
      <c r="FW162" s="178"/>
      <c r="FX162" s="184"/>
      <c r="FY162" s="181"/>
      <c r="FZ162" s="15"/>
      <c r="GA162" s="15"/>
      <c r="GB162" s="15"/>
      <c r="GC162" s="15"/>
      <c r="GD162" s="15"/>
      <c r="GE162" s="184"/>
      <c r="GF162" s="15"/>
      <c r="GG162" s="15"/>
      <c r="GH162" s="15"/>
      <c r="GI162" s="15"/>
      <c r="GJ162" s="15"/>
      <c r="GK162" s="15"/>
      <c r="GL162" s="184"/>
      <c r="GM162" s="15"/>
      <c r="GN162" s="15"/>
      <c r="GO162" s="15"/>
      <c r="GP162" s="15"/>
      <c r="GQ162" s="15"/>
      <c r="GR162" s="15"/>
      <c r="GS162" s="184"/>
      <c r="GT162" s="15"/>
      <c r="GU162" s="15"/>
      <c r="GV162" s="15"/>
      <c r="GW162" s="15"/>
      <c r="GX162" s="15"/>
      <c r="GY162" s="15"/>
      <c r="GZ162" s="184"/>
      <c r="HA162" s="15"/>
      <c r="HB162" s="15"/>
      <c r="HC162" s="15"/>
      <c r="HD162" s="15"/>
      <c r="HE162" s="15"/>
      <c r="HF162" s="15"/>
      <c r="HG162" s="184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/>
      <c r="KE162" s="15"/>
      <c r="KF162" s="15"/>
      <c r="KG162" s="15"/>
      <c r="KH162" s="15"/>
      <c r="KI162" s="15"/>
      <c r="KJ162" s="15"/>
      <c r="KK162" s="15"/>
      <c r="KL162" s="15"/>
      <c r="KM162" s="15"/>
      <c r="KN162" s="15"/>
      <c r="KO162" s="15"/>
      <c r="KP162" s="15"/>
      <c r="KQ162" s="15"/>
      <c r="KR162" s="15"/>
      <c r="KS162" s="15"/>
      <c r="KT162" s="15"/>
      <c r="KU162" s="15"/>
      <c r="KV162" s="15"/>
      <c r="KW162" s="15"/>
      <c r="KX162" s="15"/>
      <c r="KY162" s="15"/>
      <c r="KZ162" s="15"/>
      <c r="LA162" s="15"/>
      <c r="LB162" s="15"/>
      <c r="LC162" s="15"/>
      <c r="LD162" s="15"/>
      <c r="LE162" s="15"/>
      <c r="LF162" s="15"/>
      <c r="LG162" s="15"/>
      <c r="LH162" s="15"/>
      <c r="LI162" s="15"/>
      <c r="LJ162" s="15"/>
      <c r="LK162" s="15"/>
      <c r="LL162" s="15"/>
      <c r="LM162" s="15"/>
      <c r="LN162" s="15"/>
      <c r="LO162" s="15"/>
      <c r="LP162" s="15"/>
      <c r="LQ162" s="15"/>
      <c r="LR162" s="15"/>
      <c r="LS162" s="15"/>
      <c r="LT162" s="15"/>
      <c r="LU162" s="15"/>
      <c r="LV162" s="15"/>
      <c r="LW162" s="15"/>
      <c r="LX162" s="15"/>
      <c r="LY162" s="15"/>
      <c r="LZ162" s="15"/>
      <c r="MA162" s="15"/>
      <c r="MB162" s="15"/>
      <c r="MC162" s="15"/>
      <c r="MD162" s="15"/>
      <c r="ME162" s="15"/>
      <c r="MF162" s="15"/>
      <c r="MG162" s="15"/>
      <c r="MH162" s="15"/>
      <c r="MI162" s="15"/>
      <c r="MJ162" s="15"/>
      <c r="MK162" s="15"/>
      <c r="ML162" s="15"/>
      <c r="MM162" s="15"/>
      <c r="MN162" s="15"/>
      <c r="MO162" s="15"/>
      <c r="MP162" s="15"/>
      <c r="MQ162" s="15"/>
      <c r="MR162" s="15"/>
      <c r="MS162" s="15"/>
      <c r="MT162" s="15"/>
      <c r="MU162" s="15"/>
      <c r="MV162" s="15"/>
      <c r="MW162" s="15"/>
      <c r="MX162" s="15"/>
      <c r="MY162" s="15"/>
      <c r="MZ162" s="15"/>
      <c r="NA162" s="15"/>
      <c r="NB162" s="15"/>
      <c r="NC162" s="15"/>
      <c r="ND162" s="15"/>
      <c r="NE162" s="15"/>
      <c r="NF162" s="15"/>
      <c r="NG162" s="15"/>
      <c r="NH162" s="15"/>
      <c r="NI162" s="15"/>
      <c r="NJ162" s="15"/>
      <c r="NK162" s="15"/>
      <c r="NL162" s="15"/>
      <c r="NM162" s="15"/>
      <c r="NN162" s="15"/>
      <c r="NO162" s="15"/>
      <c r="NP162" s="15"/>
      <c r="NQ162" s="15"/>
      <c r="NR162" s="15"/>
      <c r="NS162" s="15"/>
      <c r="NT162" s="15"/>
      <c r="NU162" s="15"/>
      <c r="NV162" s="15"/>
      <c r="NW162" s="15"/>
      <c r="NX162" s="15"/>
      <c r="NY162" s="15"/>
      <c r="NZ162" s="15"/>
    </row>
    <row r="163" spans="2:390" ht="19.5" customHeight="1" x14ac:dyDescent="0.45">
      <c r="B163" s="1">
        <f t="shared" si="126"/>
        <v>4</v>
      </c>
      <c r="C163" s="1">
        <f>+C162</f>
        <v>10</v>
      </c>
      <c r="D163" s="1">
        <f>+D162+1</f>
        <v>3</v>
      </c>
      <c r="E163" s="59" t="str">
        <f t="shared" si="125"/>
        <v>4.10.3</v>
      </c>
      <c r="F163" s="23" t="s">
        <v>95</v>
      </c>
      <c r="G163" s="191"/>
      <c r="H163" s="73" t="s">
        <v>120</v>
      </c>
      <c r="I163" s="73"/>
      <c r="J163" s="55"/>
      <c r="K163" s="55"/>
      <c r="L163" s="55"/>
      <c r="M163" s="72"/>
      <c r="N163" s="72"/>
      <c r="O163" s="23"/>
      <c r="P163" s="23"/>
      <c r="Q163" s="23"/>
      <c r="R163" s="187"/>
      <c r="S163" s="64"/>
      <c r="T163" s="155" t="str">
        <f t="shared" si="129"/>
        <v/>
      </c>
      <c r="U163" s="22"/>
      <c r="V163" s="199">
        <f t="shared" si="130"/>
        <v>0</v>
      </c>
      <c r="W163" s="158"/>
      <c r="X163" s="159"/>
      <c r="Y163" s="199">
        <f t="shared" si="131"/>
        <v>0</v>
      </c>
      <c r="Z163" s="36"/>
      <c r="AA163" s="15"/>
      <c r="AB163" s="15"/>
      <c r="AC163" s="15"/>
      <c r="AD163" s="15"/>
      <c r="AE163" s="15"/>
      <c r="AF163" s="15"/>
      <c r="AG163" s="184"/>
      <c r="AH163" s="15"/>
      <c r="AI163" s="15"/>
      <c r="AJ163" s="15"/>
      <c r="AK163" s="15"/>
      <c r="AL163" s="15"/>
      <c r="AM163" s="15"/>
      <c r="AN163" s="184"/>
      <c r="AO163" s="15"/>
      <c r="AP163" s="15"/>
      <c r="AQ163" s="15"/>
      <c r="AR163" s="15"/>
      <c r="AS163" s="15"/>
      <c r="AT163" s="15"/>
      <c r="AU163" s="184"/>
      <c r="AV163" s="15"/>
      <c r="AW163" s="15"/>
      <c r="AX163" s="15"/>
      <c r="AY163" s="15"/>
      <c r="AZ163" s="15"/>
      <c r="BA163" s="15"/>
      <c r="BB163" s="184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84"/>
      <c r="CE163" s="15"/>
      <c r="CF163" s="15"/>
      <c r="CG163" s="15"/>
      <c r="CH163" s="15"/>
      <c r="CI163" s="15"/>
      <c r="CJ163" s="15"/>
      <c r="CK163" s="184"/>
      <c r="CL163" s="15"/>
      <c r="CM163" s="15"/>
      <c r="CN163" s="15"/>
      <c r="CO163" s="15"/>
      <c r="CP163" s="15"/>
      <c r="CQ163" s="15"/>
      <c r="CR163" s="184"/>
      <c r="CS163" s="15"/>
      <c r="CT163" s="15"/>
      <c r="CU163" s="15"/>
      <c r="CV163" s="15"/>
      <c r="CW163" s="15"/>
      <c r="CX163" s="15"/>
      <c r="CY163" s="184"/>
      <c r="CZ163" s="15"/>
      <c r="DA163" s="15"/>
      <c r="DB163" s="15"/>
      <c r="DC163" s="15"/>
      <c r="DD163" s="15"/>
      <c r="DE163" s="15"/>
      <c r="DF163" s="184"/>
      <c r="DG163" s="15"/>
      <c r="DH163" s="15"/>
      <c r="DI163" s="15"/>
      <c r="DJ163" s="15"/>
      <c r="DK163" s="15"/>
      <c r="DL163" s="15"/>
      <c r="DM163" s="184"/>
      <c r="DN163" s="15"/>
      <c r="DO163" s="15"/>
      <c r="DP163" s="15"/>
      <c r="DQ163" s="15"/>
      <c r="DR163" s="15"/>
      <c r="DS163" s="15"/>
      <c r="DT163" s="184"/>
      <c r="DU163" s="15"/>
      <c r="DV163" s="15"/>
      <c r="DW163" s="15"/>
      <c r="DX163" s="15"/>
      <c r="DY163" s="15"/>
      <c r="DZ163" s="15"/>
      <c r="EA163" s="184"/>
      <c r="EB163" s="15"/>
      <c r="EC163" s="15"/>
      <c r="ED163" s="15"/>
      <c r="EE163" s="15"/>
      <c r="EF163" s="15"/>
      <c r="EG163" s="15"/>
      <c r="EH163" s="184"/>
      <c r="EI163" s="15"/>
      <c r="EJ163" s="15"/>
      <c r="EK163" s="15"/>
      <c r="EL163" s="15"/>
      <c r="EM163" s="15"/>
      <c r="EN163" s="15"/>
      <c r="EO163" s="184"/>
      <c r="EP163" s="15"/>
      <c r="EQ163" s="15"/>
      <c r="ER163" s="15"/>
      <c r="ES163" s="15"/>
      <c r="ET163" s="15"/>
      <c r="EU163" s="15"/>
      <c r="EV163" s="184"/>
      <c r="EW163" s="15"/>
      <c r="EX163" s="15"/>
      <c r="EY163" s="15"/>
      <c r="EZ163" s="15"/>
      <c r="FA163" s="15"/>
      <c r="FB163" s="15"/>
      <c r="FC163" s="184"/>
      <c r="FD163" s="15"/>
      <c r="FE163" s="15"/>
      <c r="FF163" s="15"/>
      <c r="FG163" s="15"/>
      <c r="FH163" s="15"/>
      <c r="FI163" s="15"/>
      <c r="FJ163" s="184"/>
      <c r="FK163" s="15"/>
      <c r="FL163" s="15"/>
      <c r="FM163" s="15"/>
      <c r="FN163" s="15"/>
      <c r="FO163" s="15"/>
      <c r="FP163" s="15"/>
      <c r="FQ163" s="184"/>
      <c r="FR163" s="15"/>
      <c r="FS163" s="15"/>
      <c r="FT163" s="15"/>
      <c r="FU163" s="15"/>
      <c r="FV163" s="15"/>
      <c r="FW163" s="178"/>
      <c r="FX163" s="184"/>
      <c r="FY163" s="181"/>
      <c r="FZ163" s="15"/>
      <c r="GA163" s="15"/>
      <c r="GB163" s="15"/>
      <c r="GC163" s="15"/>
      <c r="GD163" s="15"/>
      <c r="GE163" s="184"/>
      <c r="GF163" s="15"/>
      <c r="GG163" s="15"/>
      <c r="GH163" s="15"/>
      <c r="GI163" s="15"/>
      <c r="GJ163" s="15"/>
      <c r="GK163" s="15"/>
      <c r="GL163" s="184"/>
      <c r="GM163" s="15"/>
      <c r="GN163" s="15"/>
      <c r="GO163" s="15"/>
      <c r="GP163" s="15"/>
      <c r="GQ163" s="15"/>
      <c r="GR163" s="15"/>
      <c r="GS163" s="184"/>
      <c r="GT163" s="15"/>
      <c r="GU163" s="15"/>
      <c r="GV163" s="15"/>
      <c r="GW163" s="15"/>
      <c r="GX163" s="15"/>
      <c r="GY163" s="15"/>
      <c r="GZ163" s="184"/>
      <c r="HA163" s="15"/>
      <c r="HB163" s="15"/>
      <c r="HC163" s="15"/>
      <c r="HD163" s="15"/>
      <c r="HE163" s="15"/>
      <c r="HF163" s="15"/>
      <c r="HG163" s="184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  <c r="JT163" s="15"/>
      <c r="JU163" s="15"/>
      <c r="JV163" s="15"/>
      <c r="JW163" s="15"/>
      <c r="JX163" s="15"/>
      <c r="JY163" s="15"/>
      <c r="JZ163" s="15"/>
      <c r="KA163" s="15"/>
      <c r="KB163" s="15"/>
      <c r="KC163" s="15"/>
      <c r="KD163" s="15"/>
      <c r="KE163" s="15"/>
      <c r="KF163" s="15"/>
      <c r="KG163" s="15"/>
      <c r="KH163" s="15"/>
      <c r="KI163" s="15"/>
      <c r="KJ163" s="15"/>
      <c r="KK163" s="15"/>
      <c r="KL163" s="15"/>
      <c r="KM163" s="15"/>
      <c r="KN163" s="15"/>
      <c r="KO163" s="15"/>
      <c r="KP163" s="15"/>
      <c r="KQ163" s="15"/>
      <c r="KR163" s="15"/>
      <c r="KS163" s="15"/>
      <c r="KT163" s="15"/>
      <c r="KU163" s="15"/>
      <c r="KV163" s="15"/>
      <c r="KW163" s="15"/>
      <c r="KX163" s="15"/>
      <c r="KY163" s="15"/>
      <c r="KZ163" s="15"/>
      <c r="LA163" s="15"/>
      <c r="LB163" s="15"/>
      <c r="LC163" s="15"/>
      <c r="LD163" s="15"/>
      <c r="LE163" s="15"/>
      <c r="LF163" s="15"/>
      <c r="LG163" s="15"/>
      <c r="LH163" s="15"/>
      <c r="LI163" s="15"/>
      <c r="LJ163" s="15"/>
      <c r="LK163" s="15"/>
      <c r="LL163" s="15"/>
      <c r="LM163" s="15"/>
      <c r="LN163" s="15"/>
      <c r="LO163" s="15"/>
      <c r="LP163" s="15"/>
      <c r="LQ163" s="15"/>
      <c r="LR163" s="15"/>
      <c r="LS163" s="15"/>
      <c r="LT163" s="15"/>
      <c r="LU163" s="15"/>
      <c r="LV163" s="15"/>
      <c r="LW163" s="15"/>
      <c r="LX163" s="15"/>
      <c r="LY163" s="15"/>
      <c r="LZ163" s="15"/>
      <c r="MA163" s="15"/>
      <c r="MB163" s="15"/>
      <c r="MC163" s="15"/>
      <c r="MD163" s="15"/>
      <c r="ME163" s="15"/>
      <c r="MF163" s="15"/>
      <c r="MG163" s="15"/>
      <c r="MH163" s="15"/>
      <c r="MI163" s="15"/>
      <c r="MJ163" s="15"/>
      <c r="MK163" s="15"/>
      <c r="ML163" s="15"/>
      <c r="MM163" s="15"/>
      <c r="MN163" s="15"/>
      <c r="MO163" s="15"/>
      <c r="MP163" s="15"/>
      <c r="MQ163" s="15"/>
      <c r="MR163" s="15"/>
      <c r="MS163" s="15"/>
      <c r="MT163" s="15"/>
      <c r="MU163" s="15"/>
      <c r="MV163" s="15"/>
      <c r="MW163" s="15"/>
      <c r="MX163" s="15"/>
      <c r="MY163" s="15"/>
      <c r="MZ163" s="15"/>
      <c r="NA163" s="15"/>
      <c r="NB163" s="15"/>
      <c r="NC163" s="15"/>
      <c r="ND163" s="15"/>
      <c r="NE163" s="15"/>
      <c r="NF163" s="15"/>
      <c r="NG163" s="15"/>
      <c r="NH163" s="15"/>
      <c r="NI163" s="15"/>
      <c r="NJ163" s="15"/>
      <c r="NK163" s="15"/>
      <c r="NL163" s="15"/>
      <c r="NM163" s="15"/>
      <c r="NN163" s="15"/>
      <c r="NO163" s="15"/>
      <c r="NP163" s="15"/>
      <c r="NQ163" s="15"/>
      <c r="NR163" s="15"/>
      <c r="NS163" s="15"/>
      <c r="NT163" s="15"/>
      <c r="NU163" s="15"/>
      <c r="NV163" s="15"/>
      <c r="NW163" s="15"/>
      <c r="NX163" s="15"/>
      <c r="NY163" s="15"/>
      <c r="NZ163" s="15"/>
    </row>
    <row r="164" spans="2:390" ht="19.5" customHeight="1" x14ac:dyDescent="0.45">
      <c r="B164" s="1">
        <f t="shared" si="126"/>
        <v>4</v>
      </c>
      <c r="C164" s="1">
        <f>+C163</f>
        <v>10</v>
      </c>
      <c r="D164" s="1">
        <f>+D163+1</f>
        <v>4</v>
      </c>
      <c r="E164" s="59" t="str">
        <f t="shared" si="125"/>
        <v>4.10.4</v>
      </c>
      <c r="F164" s="23" t="s">
        <v>90</v>
      </c>
      <c r="G164" s="23"/>
      <c r="H164" s="52" t="s">
        <v>117</v>
      </c>
      <c r="I164" s="52"/>
      <c r="J164" s="61">
        <v>20</v>
      </c>
      <c r="K164" s="61">
        <v>0</v>
      </c>
      <c r="L164" s="55">
        <f>+J164-K164</f>
        <v>20</v>
      </c>
      <c r="M164" s="52"/>
      <c r="N164" s="52"/>
      <c r="O164" s="51"/>
      <c r="P164" s="51">
        <f>+SUM(AA164:NZ164)</f>
        <v>0</v>
      </c>
      <c r="Q164" s="51">
        <f>+O164-P164</f>
        <v>0</v>
      </c>
      <c r="R164" s="187"/>
      <c r="S164" s="64"/>
      <c r="T164" s="155" t="str">
        <f t="shared" si="129"/>
        <v/>
      </c>
      <c r="U164" s="22">
        <f>+K164/J164</f>
        <v>0</v>
      </c>
      <c r="V164" s="199">
        <f t="shared" si="130"/>
        <v>0</v>
      </c>
      <c r="W164" s="158"/>
      <c r="X164" s="159"/>
      <c r="Y164" s="199">
        <f t="shared" si="131"/>
        <v>0</v>
      </c>
      <c r="Z164" s="36"/>
      <c r="AA164" s="15"/>
      <c r="AB164" s="15"/>
      <c r="AC164" s="15"/>
      <c r="AD164" s="15"/>
      <c r="AE164" s="15"/>
      <c r="AF164" s="15"/>
      <c r="AG164" s="184"/>
      <c r="AH164" s="15"/>
      <c r="AI164" s="15"/>
      <c r="AJ164" s="15"/>
      <c r="AK164" s="15"/>
      <c r="AL164" s="15"/>
      <c r="AM164" s="15"/>
      <c r="AN164" s="184"/>
      <c r="AO164" s="15"/>
      <c r="AP164" s="15"/>
      <c r="AQ164" s="15"/>
      <c r="AR164" s="15"/>
      <c r="AS164" s="15"/>
      <c r="AT164" s="15"/>
      <c r="AU164" s="184"/>
      <c r="AV164" s="15"/>
      <c r="AW164" s="15"/>
      <c r="AX164" s="15"/>
      <c r="AY164" s="15"/>
      <c r="AZ164" s="15"/>
      <c r="BA164" s="15"/>
      <c r="BB164" s="184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84"/>
      <c r="CE164" s="15"/>
      <c r="CF164" s="15"/>
      <c r="CG164" s="15"/>
      <c r="CH164" s="15"/>
      <c r="CI164" s="15"/>
      <c r="CJ164" s="15"/>
      <c r="CK164" s="184"/>
      <c r="CL164" s="15"/>
      <c r="CM164" s="15"/>
      <c r="CN164" s="15"/>
      <c r="CO164" s="15"/>
      <c r="CP164" s="15"/>
      <c r="CQ164" s="15"/>
      <c r="CR164" s="184"/>
      <c r="CS164" s="15"/>
      <c r="CT164" s="15"/>
      <c r="CU164" s="15"/>
      <c r="CV164" s="15"/>
      <c r="CW164" s="15"/>
      <c r="CX164" s="15"/>
      <c r="CY164" s="184"/>
      <c r="CZ164" s="15"/>
      <c r="DA164" s="15"/>
      <c r="DB164" s="15"/>
      <c r="DC164" s="15"/>
      <c r="DD164" s="15"/>
      <c r="DE164" s="15"/>
      <c r="DF164" s="184"/>
      <c r="DG164" s="15"/>
      <c r="DH164" s="15"/>
      <c r="DI164" s="15"/>
      <c r="DJ164" s="15"/>
      <c r="DK164" s="15"/>
      <c r="DL164" s="15"/>
      <c r="DM164" s="184"/>
      <c r="DN164" s="15"/>
      <c r="DO164" s="15"/>
      <c r="DP164" s="15"/>
      <c r="DQ164" s="15"/>
      <c r="DR164" s="15"/>
      <c r="DS164" s="15"/>
      <c r="DT164" s="184"/>
      <c r="DU164" s="15"/>
      <c r="DV164" s="15"/>
      <c r="DW164" s="15"/>
      <c r="DX164" s="15"/>
      <c r="DY164" s="15"/>
      <c r="DZ164" s="15"/>
      <c r="EA164" s="184"/>
      <c r="EB164" s="15"/>
      <c r="EC164" s="15"/>
      <c r="ED164" s="15"/>
      <c r="EE164" s="15"/>
      <c r="EF164" s="15"/>
      <c r="EG164" s="15"/>
      <c r="EH164" s="184"/>
      <c r="EI164" s="15"/>
      <c r="EJ164" s="15"/>
      <c r="EK164" s="15"/>
      <c r="EL164" s="15"/>
      <c r="EM164" s="15"/>
      <c r="EN164" s="15"/>
      <c r="EO164" s="184"/>
      <c r="EP164" s="15"/>
      <c r="EQ164" s="15"/>
      <c r="ER164" s="15"/>
      <c r="ES164" s="15"/>
      <c r="ET164" s="15"/>
      <c r="EU164" s="15"/>
      <c r="EV164" s="184"/>
      <c r="EW164" s="15"/>
      <c r="EX164" s="15"/>
      <c r="EY164" s="15"/>
      <c r="EZ164" s="15"/>
      <c r="FA164" s="15"/>
      <c r="FB164" s="15"/>
      <c r="FC164" s="184"/>
      <c r="FD164" s="15"/>
      <c r="FE164" s="15"/>
      <c r="FF164" s="15"/>
      <c r="FG164" s="15"/>
      <c r="FH164" s="15"/>
      <c r="FI164" s="15"/>
      <c r="FJ164" s="184"/>
      <c r="FK164" s="15"/>
      <c r="FL164" s="15"/>
      <c r="FM164" s="15"/>
      <c r="FN164" s="15"/>
      <c r="FO164" s="15"/>
      <c r="FP164" s="15"/>
      <c r="FQ164" s="184"/>
      <c r="FR164" s="15"/>
      <c r="FS164" s="15"/>
      <c r="FT164" s="15"/>
      <c r="FU164" s="15"/>
      <c r="FV164" s="15"/>
      <c r="FW164" s="178"/>
      <c r="FX164" s="184"/>
      <c r="FY164" s="181"/>
      <c r="FZ164" s="15"/>
      <c r="GA164" s="15"/>
      <c r="GB164" s="15"/>
      <c r="GC164" s="15"/>
      <c r="GD164" s="15"/>
      <c r="GE164" s="184"/>
      <c r="GF164" s="15"/>
      <c r="GG164" s="15"/>
      <c r="GH164" s="15"/>
      <c r="GI164" s="15"/>
      <c r="GJ164" s="15"/>
      <c r="GK164" s="15"/>
      <c r="GL164" s="184"/>
      <c r="GM164" s="15"/>
      <c r="GN164" s="15"/>
      <c r="GO164" s="15"/>
      <c r="GP164" s="15"/>
      <c r="GQ164" s="15"/>
      <c r="GR164" s="15"/>
      <c r="GS164" s="184"/>
      <c r="GT164" s="15"/>
      <c r="GU164" s="15"/>
      <c r="GV164" s="15"/>
      <c r="GW164" s="15"/>
      <c r="GX164" s="15"/>
      <c r="GY164" s="15"/>
      <c r="GZ164" s="184"/>
      <c r="HA164" s="15"/>
      <c r="HB164" s="15"/>
      <c r="HC164" s="15"/>
      <c r="HD164" s="15"/>
      <c r="HE164" s="15"/>
      <c r="HF164" s="15"/>
      <c r="HG164" s="184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  <c r="JT164" s="15"/>
      <c r="JU164" s="15"/>
      <c r="JV164" s="15"/>
      <c r="JW164" s="15"/>
      <c r="JX164" s="15"/>
      <c r="JY164" s="15"/>
      <c r="JZ164" s="15"/>
      <c r="KA164" s="15"/>
      <c r="KB164" s="15"/>
      <c r="KC164" s="15"/>
      <c r="KD164" s="15"/>
      <c r="KE164" s="15"/>
      <c r="KF164" s="15"/>
      <c r="KG164" s="15"/>
      <c r="KH164" s="15"/>
      <c r="KI164" s="15"/>
      <c r="KJ164" s="15"/>
      <c r="KK164" s="15"/>
      <c r="KL164" s="15"/>
      <c r="KM164" s="15"/>
      <c r="KN164" s="15"/>
      <c r="KO164" s="15"/>
      <c r="KP164" s="15"/>
      <c r="KQ164" s="15"/>
      <c r="KR164" s="15"/>
      <c r="KS164" s="15"/>
      <c r="KT164" s="15"/>
      <c r="KU164" s="15"/>
      <c r="KV164" s="15"/>
      <c r="KW164" s="15"/>
      <c r="KX164" s="15"/>
      <c r="KY164" s="15"/>
      <c r="KZ164" s="15"/>
      <c r="LA164" s="15"/>
      <c r="LB164" s="15"/>
      <c r="LC164" s="15"/>
      <c r="LD164" s="15"/>
      <c r="LE164" s="15"/>
      <c r="LF164" s="15"/>
      <c r="LG164" s="15"/>
      <c r="LH164" s="15"/>
      <c r="LI164" s="15"/>
      <c r="LJ164" s="15"/>
      <c r="LK164" s="15"/>
      <c r="LL164" s="15"/>
      <c r="LM164" s="15"/>
      <c r="LN164" s="15"/>
      <c r="LO164" s="15"/>
      <c r="LP164" s="15"/>
      <c r="LQ164" s="15"/>
      <c r="LR164" s="15"/>
      <c r="LS164" s="15"/>
      <c r="LT164" s="15"/>
      <c r="LU164" s="15"/>
      <c r="LV164" s="15"/>
      <c r="LW164" s="15"/>
      <c r="LX164" s="15"/>
      <c r="LY164" s="15"/>
      <c r="LZ164" s="15"/>
      <c r="MA164" s="15"/>
      <c r="MB164" s="15"/>
      <c r="MC164" s="15"/>
      <c r="MD164" s="15"/>
      <c r="ME164" s="15"/>
      <c r="MF164" s="15"/>
      <c r="MG164" s="15"/>
      <c r="MH164" s="15"/>
      <c r="MI164" s="15"/>
      <c r="MJ164" s="15"/>
      <c r="MK164" s="15"/>
      <c r="ML164" s="15"/>
      <c r="MM164" s="15"/>
      <c r="MN164" s="15"/>
      <c r="MO164" s="15"/>
      <c r="MP164" s="15"/>
      <c r="MQ164" s="15"/>
      <c r="MR164" s="15"/>
      <c r="MS164" s="15"/>
      <c r="MT164" s="15"/>
      <c r="MU164" s="15"/>
      <c r="MV164" s="15"/>
      <c r="MW164" s="15"/>
      <c r="MX164" s="15"/>
      <c r="MY164" s="15"/>
      <c r="MZ164" s="15"/>
      <c r="NA164" s="15"/>
      <c r="NB164" s="15"/>
      <c r="NC164" s="15"/>
      <c r="ND164" s="15"/>
      <c r="NE164" s="15"/>
      <c r="NF164" s="15"/>
      <c r="NG164" s="15"/>
      <c r="NH164" s="15"/>
      <c r="NI164" s="15"/>
      <c r="NJ164" s="15"/>
      <c r="NK164" s="15"/>
      <c r="NL164" s="15"/>
      <c r="NM164" s="15"/>
      <c r="NN164" s="15"/>
      <c r="NO164" s="15"/>
      <c r="NP164" s="15"/>
      <c r="NQ164" s="15"/>
      <c r="NR164" s="15"/>
      <c r="NS164" s="15"/>
      <c r="NT164" s="15"/>
      <c r="NU164" s="15"/>
      <c r="NV164" s="15"/>
      <c r="NW164" s="15"/>
      <c r="NX164" s="15"/>
      <c r="NY164" s="15"/>
      <c r="NZ164" s="15"/>
    </row>
    <row r="165" spans="2:390" ht="19.5" customHeight="1" x14ac:dyDescent="0.45">
      <c r="B165" s="1">
        <f t="shared" si="126"/>
        <v>4</v>
      </c>
      <c r="C165" s="1">
        <f>+C164</f>
        <v>10</v>
      </c>
      <c r="D165" s="1">
        <f>+D164+1</f>
        <v>5</v>
      </c>
      <c r="E165" s="59" t="str">
        <f t="shared" si="125"/>
        <v>4.10.5</v>
      </c>
      <c r="F165" s="23" t="s">
        <v>91</v>
      </c>
      <c r="G165" s="191">
        <v>1.5</v>
      </c>
      <c r="H165" s="52" t="s">
        <v>117</v>
      </c>
      <c r="I165" s="52" t="s">
        <v>156</v>
      </c>
      <c r="J165" s="61">
        <v>20</v>
      </c>
      <c r="K165" s="61">
        <v>0</v>
      </c>
      <c r="L165" s="55">
        <f>+J165-K165</f>
        <v>20</v>
      </c>
      <c r="M165" s="52">
        <v>2</v>
      </c>
      <c r="N165" s="52">
        <v>18</v>
      </c>
      <c r="O165" s="51">
        <f t="shared" si="127"/>
        <v>36</v>
      </c>
      <c r="P165" s="51">
        <f>+SUM(AA165:NZ165)</f>
        <v>36</v>
      </c>
      <c r="Q165" s="51">
        <f>+O165-P165</f>
        <v>0</v>
      </c>
      <c r="R165" s="19">
        <v>46139</v>
      </c>
      <c r="S165" s="20">
        <v>5</v>
      </c>
      <c r="T165" s="21">
        <f t="shared" si="129"/>
        <v>46143</v>
      </c>
      <c r="U165" s="22">
        <f>+K165/J165</f>
        <v>0</v>
      </c>
      <c r="V165" s="199">
        <f t="shared" si="130"/>
        <v>0</v>
      </c>
      <c r="W165" s="158">
        <f>SUMIFS($AA165:$NZ165, $AA$8:$NZ$8, $W$13)/$O165</f>
        <v>0</v>
      </c>
      <c r="X165" s="159">
        <f>SUMIF($AA$9:$NZ$9, "&lt;=" &amp; $W$11,$AA165:$NZ165)/$O165</f>
        <v>0</v>
      </c>
      <c r="Y165" s="199">
        <f t="shared" si="131"/>
        <v>0</v>
      </c>
      <c r="Z165" s="36"/>
      <c r="AA165" s="15"/>
      <c r="AB165" s="15"/>
      <c r="AC165" s="15"/>
      <c r="AD165" s="15"/>
      <c r="AE165" s="15"/>
      <c r="AF165" s="15"/>
      <c r="AG165" s="184"/>
      <c r="AH165" s="15"/>
      <c r="AI165" s="15"/>
      <c r="AJ165" s="15"/>
      <c r="AK165" s="15"/>
      <c r="AL165" s="15"/>
      <c r="AM165" s="15"/>
      <c r="AN165" s="184"/>
      <c r="AO165" s="15"/>
      <c r="AP165" s="15"/>
      <c r="AQ165" s="15"/>
      <c r="AR165" s="15"/>
      <c r="AS165" s="15"/>
      <c r="AT165" s="15"/>
      <c r="AU165" s="184"/>
      <c r="AV165" s="15"/>
      <c r="AW165" s="15"/>
      <c r="AX165" s="15"/>
      <c r="AY165" s="15"/>
      <c r="AZ165" s="15"/>
      <c r="BA165" s="15"/>
      <c r="BB165" s="184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84"/>
      <c r="CE165" s="15"/>
      <c r="CF165" s="15"/>
      <c r="CG165" s="15"/>
      <c r="CH165" s="15"/>
      <c r="CI165" s="15"/>
      <c r="CJ165" s="15"/>
      <c r="CK165" s="184"/>
      <c r="CL165" s="15"/>
      <c r="CM165" s="15"/>
      <c r="CN165" s="15"/>
      <c r="CO165" s="15"/>
      <c r="CP165" s="15"/>
      <c r="CQ165" s="15"/>
      <c r="CR165" s="184"/>
      <c r="CS165" s="15"/>
      <c r="CT165" s="15"/>
      <c r="CU165" s="15"/>
      <c r="CV165" s="15"/>
      <c r="CW165" s="15"/>
      <c r="CX165" s="15"/>
      <c r="CY165" s="184"/>
      <c r="CZ165" s="15"/>
      <c r="DA165" s="15"/>
      <c r="DB165" s="15"/>
      <c r="DC165" s="15"/>
      <c r="DD165" s="15"/>
      <c r="DE165" s="15"/>
      <c r="DF165" s="184"/>
      <c r="DG165" s="15"/>
      <c r="DH165" s="15"/>
      <c r="DI165" s="15"/>
      <c r="DJ165" s="15"/>
      <c r="DK165" s="15"/>
      <c r="DL165" s="15"/>
      <c r="DM165" s="184"/>
      <c r="DN165" s="15"/>
      <c r="DO165" s="15"/>
      <c r="DP165" s="15"/>
      <c r="DQ165" s="15"/>
      <c r="DR165" s="15"/>
      <c r="DS165" s="15"/>
      <c r="DT165" s="184"/>
      <c r="DU165" s="15"/>
      <c r="DV165" s="15"/>
      <c r="DW165" s="15"/>
      <c r="DX165" s="15"/>
      <c r="DY165" s="15"/>
      <c r="DZ165" s="15"/>
      <c r="EA165" s="184"/>
      <c r="EB165" s="15"/>
      <c r="EC165" s="15"/>
      <c r="ED165" s="15"/>
      <c r="EE165" s="15"/>
      <c r="EF165" s="15"/>
      <c r="EG165" s="15"/>
      <c r="EH165" s="184"/>
      <c r="EI165" s="15"/>
      <c r="EJ165" s="15"/>
      <c r="EK165" s="15"/>
      <c r="EL165" s="15"/>
      <c r="EM165" s="15"/>
      <c r="EN165" s="15"/>
      <c r="EO165" s="184"/>
      <c r="EP165" s="15"/>
      <c r="EQ165" s="15"/>
      <c r="ER165" s="15"/>
      <c r="ES165" s="15"/>
      <c r="ET165" s="15"/>
      <c r="EU165" s="15"/>
      <c r="EV165" s="184"/>
      <c r="EW165" s="15"/>
      <c r="EX165" s="15"/>
      <c r="EY165" s="15"/>
      <c r="EZ165" s="15"/>
      <c r="FA165" s="15"/>
      <c r="FB165" s="15"/>
      <c r="FC165" s="184"/>
      <c r="FD165" s="15"/>
      <c r="FE165" s="15"/>
      <c r="FF165" s="15"/>
      <c r="FG165" s="15"/>
      <c r="FH165" s="15"/>
      <c r="FI165" s="15"/>
      <c r="FJ165" s="184"/>
      <c r="FK165" s="15"/>
      <c r="FL165" s="15"/>
      <c r="FM165" s="15"/>
      <c r="FN165" s="15"/>
      <c r="FO165" s="15"/>
      <c r="FP165" s="15"/>
      <c r="FQ165" s="184"/>
      <c r="FR165" s="15"/>
      <c r="FS165" s="15"/>
      <c r="FT165" s="15"/>
      <c r="FU165" s="15"/>
      <c r="FV165" s="15"/>
      <c r="FW165" s="178"/>
      <c r="FX165" s="184"/>
      <c r="FY165" s="181">
        <v>6</v>
      </c>
      <c r="FZ165" s="15">
        <v>6</v>
      </c>
      <c r="GA165" s="15">
        <v>6</v>
      </c>
      <c r="GB165" s="15">
        <v>6</v>
      </c>
      <c r="GC165" s="15">
        <v>6</v>
      </c>
      <c r="GD165" s="15">
        <v>6</v>
      </c>
      <c r="GE165" s="184"/>
      <c r="GF165" s="15"/>
      <c r="GG165" s="15"/>
      <c r="GH165" s="15"/>
      <c r="GI165" s="15"/>
      <c r="GJ165" s="15"/>
      <c r="GK165" s="15"/>
      <c r="GL165" s="184"/>
      <c r="GM165" s="15"/>
      <c r="GN165" s="15"/>
      <c r="GO165" s="15"/>
      <c r="GP165" s="15"/>
      <c r="GQ165" s="15"/>
      <c r="GR165" s="15"/>
      <c r="GS165" s="184"/>
      <c r="GT165" s="15"/>
      <c r="GU165" s="15"/>
      <c r="GV165" s="15"/>
      <c r="GW165" s="15"/>
      <c r="GX165" s="15"/>
      <c r="GY165" s="15"/>
      <c r="GZ165" s="184"/>
      <c r="HA165" s="15"/>
      <c r="HB165" s="15"/>
      <c r="HC165" s="15"/>
      <c r="HD165" s="15"/>
      <c r="HE165" s="15"/>
      <c r="HF165" s="15"/>
      <c r="HG165" s="184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  <c r="JT165" s="15"/>
      <c r="JU165" s="15"/>
      <c r="JV165" s="15"/>
      <c r="JW165" s="15"/>
      <c r="JX165" s="15"/>
      <c r="JY165" s="15"/>
      <c r="JZ165" s="15"/>
      <c r="KA165" s="15"/>
      <c r="KB165" s="15"/>
      <c r="KC165" s="15"/>
      <c r="KD165" s="15"/>
      <c r="KE165" s="15"/>
      <c r="KF165" s="15"/>
      <c r="KG165" s="15"/>
      <c r="KH165" s="15"/>
      <c r="KI165" s="15"/>
      <c r="KJ165" s="15"/>
      <c r="KK165" s="15"/>
      <c r="KL165" s="15"/>
      <c r="KM165" s="15"/>
      <c r="KN165" s="15"/>
      <c r="KO165" s="15"/>
      <c r="KP165" s="15"/>
      <c r="KQ165" s="15"/>
      <c r="KR165" s="15"/>
      <c r="KS165" s="15"/>
      <c r="KT165" s="15"/>
      <c r="KU165" s="15"/>
      <c r="KV165" s="15"/>
      <c r="KW165" s="15"/>
      <c r="KX165" s="15"/>
      <c r="KY165" s="15"/>
      <c r="KZ165" s="15"/>
      <c r="LA165" s="15"/>
      <c r="LB165" s="15"/>
      <c r="LC165" s="15"/>
      <c r="LD165" s="15"/>
      <c r="LE165" s="15"/>
      <c r="LF165" s="15"/>
      <c r="LG165" s="15"/>
      <c r="LH165" s="15"/>
      <c r="LI165" s="15"/>
      <c r="LJ165" s="15"/>
      <c r="LK165" s="15"/>
      <c r="LL165" s="15"/>
      <c r="LM165" s="15"/>
      <c r="LN165" s="15"/>
      <c r="LO165" s="15"/>
      <c r="LP165" s="15"/>
      <c r="LQ165" s="15"/>
      <c r="LR165" s="15"/>
      <c r="LS165" s="15"/>
      <c r="LT165" s="15"/>
      <c r="LU165" s="15"/>
      <c r="LV165" s="15"/>
      <c r="LW165" s="15"/>
      <c r="LX165" s="15"/>
      <c r="LY165" s="15"/>
      <c r="LZ165" s="15"/>
      <c r="MA165" s="15"/>
      <c r="MB165" s="15"/>
      <c r="MC165" s="15"/>
      <c r="MD165" s="15"/>
      <c r="ME165" s="15"/>
      <c r="MF165" s="15"/>
      <c r="MG165" s="15"/>
      <c r="MH165" s="15"/>
      <c r="MI165" s="15"/>
      <c r="MJ165" s="15"/>
      <c r="MK165" s="15"/>
      <c r="ML165" s="15"/>
      <c r="MM165" s="15"/>
      <c r="MN165" s="15"/>
      <c r="MO165" s="15"/>
      <c r="MP165" s="15"/>
      <c r="MQ165" s="15"/>
      <c r="MR165" s="15"/>
      <c r="MS165" s="15"/>
      <c r="MT165" s="15"/>
      <c r="MU165" s="15"/>
      <c r="MV165" s="15"/>
      <c r="MW165" s="15"/>
      <c r="MX165" s="15"/>
      <c r="MY165" s="15"/>
      <c r="MZ165" s="15"/>
      <c r="NA165" s="15"/>
      <c r="NB165" s="15"/>
      <c r="NC165" s="15"/>
      <c r="ND165" s="15"/>
      <c r="NE165" s="15"/>
      <c r="NF165" s="15"/>
      <c r="NG165" s="15"/>
      <c r="NH165" s="15"/>
      <c r="NI165" s="15"/>
      <c r="NJ165" s="15"/>
      <c r="NK165" s="15"/>
      <c r="NL165" s="15"/>
      <c r="NM165" s="15"/>
      <c r="NN165" s="15"/>
      <c r="NO165" s="15"/>
      <c r="NP165" s="15"/>
      <c r="NQ165" s="15"/>
      <c r="NR165" s="15"/>
      <c r="NS165" s="15"/>
      <c r="NT165" s="15"/>
      <c r="NU165" s="15"/>
      <c r="NV165" s="15"/>
      <c r="NW165" s="15"/>
      <c r="NX165" s="15"/>
      <c r="NY165" s="15"/>
      <c r="NZ165" s="15"/>
    </row>
    <row r="166" spans="2:390" ht="19.5" customHeight="1" x14ac:dyDescent="0.45">
      <c r="B166" s="1">
        <f t="shared" si="126"/>
        <v>4</v>
      </c>
      <c r="C166" s="1">
        <f>+C165+1</f>
        <v>11</v>
      </c>
      <c r="D166" s="1">
        <v>0</v>
      </c>
      <c r="E166" s="77" t="str">
        <f t="shared" si="125"/>
        <v>4.11.0</v>
      </c>
      <c r="F166" s="78" t="s">
        <v>103</v>
      </c>
      <c r="G166" s="78"/>
      <c r="H166" s="81"/>
      <c r="I166" s="81"/>
      <c r="J166" s="74"/>
      <c r="K166" s="74"/>
      <c r="L166" s="74"/>
      <c r="M166" s="78"/>
      <c r="N166" s="78"/>
      <c r="O166" s="78"/>
      <c r="P166" s="78"/>
      <c r="Q166" s="78"/>
      <c r="R166" s="79"/>
      <c r="S166" s="80"/>
      <c r="T166" s="89" t="str">
        <f>IF(S166&lt;&gt;"",IF(#REF!="x",WORKDAY(IF(WEEKDAY(R166,1)=7,R166+2,IF(WEEKDAY(R166,1)=1,R166+1,R166)),S166-1),R166+S166-1),"")</f>
        <v/>
      </c>
      <c r="U166" s="90"/>
      <c r="V166" s="90"/>
      <c r="W166" s="22"/>
      <c r="X166" s="22"/>
      <c r="Y166" s="22"/>
      <c r="Z166" s="36"/>
      <c r="AA166" s="15"/>
      <c r="AB166" s="15"/>
      <c r="AC166" s="15"/>
      <c r="AD166" s="15"/>
      <c r="AE166" s="15"/>
      <c r="AF166" s="15"/>
      <c r="AG166" s="184"/>
      <c r="AH166" s="15"/>
      <c r="AI166" s="15"/>
      <c r="AJ166" s="15"/>
      <c r="AK166" s="15"/>
      <c r="AL166" s="15"/>
      <c r="AM166" s="15"/>
      <c r="AN166" s="184"/>
      <c r="AO166" s="15"/>
      <c r="AP166" s="15"/>
      <c r="AQ166" s="15"/>
      <c r="AR166" s="15"/>
      <c r="AS166" s="15"/>
      <c r="AT166" s="15"/>
      <c r="AU166" s="184"/>
      <c r="AV166" s="15"/>
      <c r="AW166" s="15"/>
      <c r="AX166" s="15"/>
      <c r="AY166" s="15"/>
      <c r="AZ166" s="15"/>
      <c r="BA166" s="15"/>
      <c r="BB166" s="184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84"/>
      <c r="CE166" s="15"/>
      <c r="CF166" s="15"/>
      <c r="CG166" s="15"/>
      <c r="CH166" s="15"/>
      <c r="CI166" s="15"/>
      <c r="CJ166" s="15"/>
      <c r="CK166" s="184"/>
      <c r="CL166" s="15"/>
      <c r="CM166" s="15"/>
      <c r="CN166" s="15"/>
      <c r="CO166" s="15"/>
      <c r="CP166" s="15"/>
      <c r="CQ166" s="15"/>
      <c r="CR166" s="184"/>
      <c r="CS166" s="15"/>
      <c r="CT166" s="15"/>
      <c r="CU166" s="15"/>
      <c r="CV166" s="15"/>
      <c r="CW166" s="15"/>
      <c r="CX166" s="15"/>
      <c r="CY166" s="184"/>
      <c r="CZ166" s="15"/>
      <c r="DA166" s="15"/>
      <c r="DB166" s="15"/>
      <c r="DC166" s="15"/>
      <c r="DD166" s="15"/>
      <c r="DE166" s="15"/>
      <c r="DF166" s="184"/>
      <c r="DG166" s="15"/>
      <c r="DH166" s="15"/>
      <c r="DI166" s="15"/>
      <c r="DJ166" s="15"/>
      <c r="DK166" s="15"/>
      <c r="DL166" s="15"/>
      <c r="DM166" s="184"/>
      <c r="DN166" s="15"/>
      <c r="DO166" s="15"/>
      <c r="DP166" s="15"/>
      <c r="DQ166" s="15"/>
      <c r="DR166" s="15"/>
      <c r="DS166" s="15"/>
      <c r="DT166" s="184"/>
      <c r="DU166" s="15"/>
      <c r="DV166" s="15"/>
      <c r="DW166" s="15"/>
      <c r="DX166" s="15"/>
      <c r="DY166" s="15"/>
      <c r="DZ166" s="15"/>
      <c r="EA166" s="184"/>
      <c r="EB166" s="15"/>
      <c r="EC166" s="15"/>
      <c r="ED166" s="15"/>
      <c r="EE166" s="15"/>
      <c r="EF166" s="15"/>
      <c r="EG166" s="15"/>
      <c r="EH166" s="184"/>
      <c r="EI166" s="15"/>
      <c r="EJ166" s="15"/>
      <c r="EK166" s="15"/>
      <c r="EL166" s="15"/>
      <c r="EM166" s="15"/>
      <c r="EN166" s="15"/>
      <c r="EO166" s="184"/>
      <c r="EP166" s="15"/>
      <c r="EQ166" s="15"/>
      <c r="ER166" s="15"/>
      <c r="ES166" s="15"/>
      <c r="ET166" s="15"/>
      <c r="EU166" s="15"/>
      <c r="EV166" s="184"/>
      <c r="EW166" s="15"/>
      <c r="EX166" s="15"/>
      <c r="EY166" s="15"/>
      <c r="EZ166" s="15"/>
      <c r="FA166" s="15"/>
      <c r="FB166" s="15"/>
      <c r="FC166" s="184"/>
      <c r="FD166" s="15"/>
      <c r="FE166" s="15"/>
      <c r="FF166" s="15"/>
      <c r="FG166" s="15"/>
      <c r="FH166" s="15"/>
      <c r="FI166" s="15"/>
      <c r="FJ166" s="184"/>
      <c r="FK166" s="15"/>
      <c r="FL166" s="15"/>
      <c r="FM166" s="15"/>
      <c r="FN166" s="15"/>
      <c r="FO166" s="15"/>
      <c r="FP166" s="15"/>
      <c r="FQ166" s="184"/>
      <c r="FR166" s="15"/>
      <c r="FS166" s="15"/>
      <c r="FT166" s="15"/>
      <c r="FU166" s="15"/>
      <c r="FV166" s="15"/>
      <c r="FW166" s="178"/>
      <c r="FX166" s="184"/>
      <c r="FY166" s="181"/>
      <c r="FZ166" s="15"/>
      <c r="GA166" s="15"/>
      <c r="GB166" s="15"/>
      <c r="GC166" s="15"/>
      <c r="GD166" s="15"/>
      <c r="GE166" s="184"/>
      <c r="GF166" s="15"/>
      <c r="GG166" s="15"/>
      <c r="GH166" s="15"/>
      <c r="GI166" s="15"/>
      <c r="GJ166" s="15"/>
      <c r="GK166" s="15"/>
      <c r="GL166" s="184"/>
      <c r="GM166" s="15"/>
      <c r="GN166" s="15"/>
      <c r="GO166" s="15"/>
      <c r="GP166" s="15"/>
      <c r="GQ166" s="15"/>
      <c r="GR166" s="15"/>
      <c r="GS166" s="184"/>
      <c r="GT166" s="15"/>
      <c r="GU166" s="15"/>
      <c r="GV166" s="15"/>
      <c r="GW166" s="15"/>
      <c r="GX166" s="15"/>
      <c r="GY166" s="15"/>
      <c r="GZ166" s="184"/>
      <c r="HA166" s="15"/>
      <c r="HB166" s="15"/>
      <c r="HC166" s="15"/>
      <c r="HD166" s="15"/>
      <c r="HE166" s="15"/>
      <c r="HF166" s="15"/>
      <c r="HG166" s="184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  <c r="JT166" s="15"/>
      <c r="JU166" s="15"/>
      <c r="JV166" s="15"/>
      <c r="JW166" s="15"/>
      <c r="JX166" s="15"/>
      <c r="JY166" s="15"/>
      <c r="JZ166" s="15"/>
      <c r="KA166" s="15"/>
      <c r="KB166" s="15"/>
      <c r="KC166" s="15"/>
      <c r="KD166" s="15"/>
      <c r="KE166" s="15"/>
      <c r="KF166" s="15"/>
      <c r="KG166" s="15"/>
      <c r="KH166" s="15"/>
      <c r="KI166" s="15"/>
      <c r="KJ166" s="15"/>
      <c r="KK166" s="15"/>
      <c r="KL166" s="15"/>
      <c r="KM166" s="15"/>
      <c r="KN166" s="15"/>
      <c r="KO166" s="15"/>
      <c r="KP166" s="15"/>
      <c r="KQ166" s="15"/>
      <c r="KR166" s="15"/>
      <c r="KS166" s="15"/>
      <c r="KT166" s="15"/>
      <c r="KU166" s="15"/>
      <c r="KV166" s="15"/>
      <c r="KW166" s="15"/>
      <c r="KX166" s="15"/>
      <c r="KY166" s="15"/>
      <c r="KZ166" s="15"/>
      <c r="LA166" s="15"/>
      <c r="LB166" s="15"/>
      <c r="LC166" s="15"/>
      <c r="LD166" s="15"/>
      <c r="LE166" s="15"/>
      <c r="LF166" s="15"/>
      <c r="LG166" s="15"/>
      <c r="LH166" s="15"/>
      <c r="LI166" s="15"/>
      <c r="LJ166" s="15"/>
      <c r="LK166" s="15"/>
      <c r="LL166" s="15"/>
      <c r="LM166" s="15"/>
      <c r="LN166" s="15"/>
      <c r="LO166" s="15"/>
      <c r="LP166" s="15"/>
      <c r="LQ166" s="15"/>
      <c r="LR166" s="15"/>
      <c r="LS166" s="15"/>
      <c r="LT166" s="15"/>
      <c r="LU166" s="15"/>
      <c r="LV166" s="15"/>
      <c r="LW166" s="15"/>
      <c r="LX166" s="15"/>
      <c r="LY166" s="15"/>
      <c r="LZ166" s="15"/>
      <c r="MA166" s="15"/>
      <c r="MB166" s="15"/>
      <c r="MC166" s="15"/>
      <c r="MD166" s="15"/>
      <c r="ME166" s="15"/>
      <c r="MF166" s="15"/>
      <c r="MG166" s="15"/>
      <c r="MH166" s="15"/>
      <c r="MI166" s="15"/>
      <c r="MJ166" s="15"/>
      <c r="MK166" s="15"/>
      <c r="ML166" s="15"/>
      <c r="MM166" s="15"/>
      <c r="MN166" s="15"/>
      <c r="MO166" s="15"/>
      <c r="MP166" s="15"/>
      <c r="MQ166" s="15"/>
      <c r="MR166" s="15"/>
      <c r="MS166" s="15"/>
      <c r="MT166" s="15"/>
      <c r="MU166" s="15"/>
      <c r="MV166" s="15"/>
      <c r="MW166" s="15"/>
      <c r="MX166" s="15"/>
      <c r="MY166" s="15"/>
      <c r="MZ166" s="15"/>
      <c r="NA166" s="15"/>
      <c r="NB166" s="15"/>
      <c r="NC166" s="15"/>
      <c r="ND166" s="15"/>
      <c r="NE166" s="15"/>
      <c r="NF166" s="15"/>
      <c r="NG166" s="15"/>
      <c r="NH166" s="15"/>
      <c r="NI166" s="15"/>
      <c r="NJ166" s="15"/>
      <c r="NK166" s="15"/>
      <c r="NL166" s="15"/>
      <c r="NM166" s="15"/>
      <c r="NN166" s="15"/>
      <c r="NO166" s="15"/>
      <c r="NP166" s="15"/>
      <c r="NQ166" s="15"/>
      <c r="NR166" s="15"/>
      <c r="NS166" s="15"/>
      <c r="NT166" s="15"/>
      <c r="NU166" s="15"/>
      <c r="NV166" s="15"/>
      <c r="NW166" s="15"/>
      <c r="NX166" s="15"/>
      <c r="NY166" s="15"/>
      <c r="NZ166" s="15"/>
    </row>
    <row r="167" spans="2:390" ht="19.5" customHeight="1" x14ac:dyDescent="0.45">
      <c r="B167" s="1">
        <f t="shared" si="126"/>
        <v>4</v>
      </c>
      <c r="C167" s="1">
        <f t="shared" si="126"/>
        <v>11</v>
      </c>
      <c r="D167" s="1">
        <f t="shared" ref="D167:D173" si="132">+D166+1</f>
        <v>1</v>
      </c>
      <c r="E167" s="91" t="str">
        <f t="shared" si="125"/>
        <v>4.11.1</v>
      </c>
      <c r="F167" s="82" t="s">
        <v>107</v>
      </c>
      <c r="G167" s="82"/>
      <c r="H167" s="83" t="s">
        <v>117</v>
      </c>
      <c r="I167" s="83"/>
      <c r="J167" s="83"/>
      <c r="K167" s="83"/>
      <c r="L167" s="83"/>
      <c r="M167" s="83"/>
      <c r="N167" s="83"/>
      <c r="O167" s="83"/>
      <c r="P167" s="83"/>
      <c r="Q167" s="83"/>
      <c r="R167" s="79"/>
      <c r="S167" s="80"/>
      <c r="T167" s="89" t="str">
        <f>IF(S167&lt;&gt;"",IF(#REF!="x",WORKDAY(IF(WEEKDAY(R167,1)=7,R167+2,IF(WEEKDAY(R167,1)=1,R167+1,R167)),S167-1),R167+S167-1),"")</f>
        <v/>
      </c>
      <c r="U167" s="90"/>
      <c r="V167" s="90"/>
      <c r="W167" s="22"/>
      <c r="X167" s="22"/>
      <c r="Y167" s="22"/>
      <c r="Z167" s="36"/>
      <c r="AA167" s="15"/>
      <c r="AB167" s="15"/>
      <c r="AC167" s="15"/>
      <c r="AD167" s="15"/>
      <c r="AE167" s="15"/>
      <c r="AF167" s="15"/>
      <c r="AG167" s="184"/>
      <c r="AH167" s="15"/>
      <c r="AI167" s="15"/>
      <c r="AJ167" s="15"/>
      <c r="AK167" s="15"/>
      <c r="AL167" s="15"/>
      <c r="AM167" s="15"/>
      <c r="AN167" s="184"/>
      <c r="AO167" s="15"/>
      <c r="AP167" s="15"/>
      <c r="AQ167" s="15"/>
      <c r="AR167" s="15"/>
      <c r="AS167" s="15"/>
      <c r="AT167" s="15"/>
      <c r="AU167" s="184"/>
      <c r="AV167" s="15"/>
      <c r="AW167" s="15"/>
      <c r="AX167" s="15"/>
      <c r="AY167" s="15"/>
      <c r="AZ167" s="15"/>
      <c r="BA167" s="15"/>
      <c r="BB167" s="184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84"/>
      <c r="CE167" s="15"/>
      <c r="CF167" s="15"/>
      <c r="CG167" s="15"/>
      <c r="CH167" s="15"/>
      <c r="CI167" s="15"/>
      <c r="CJ167" s="15"/>
      <c r="CK167" s="184"/>
      <c r="CL167" s="15"/>
      <c r="CM167" s="15"/>
      <c r="CN167" s="15"/>
      <c r="CO167" s="15"/>
      <c r="CP167" s="15"/>
      <c r="CQ167" s="15"/>
      <c r="CR167" s="184"/>
      <c r="CS167" s="15"/>
      <c r="CT167" s="15"/>
      <c r="CU167" s="15"/>
      <c r="CV167" s="15"/>
      <c r="CW167" s="15"/>
      <c r="CX167" s="15"/>
      <c r="CY167" s="184"/>
      <c r="CZ167" s="15"/>
      <c r="DA167" s="15"/>
      <c r="DB167" s="15"/>
      <c r="DC167" s="15"/>
      <c r="DD167" s="15"/>
      <c r="DE167" s="15"/>
      <c r="DF167" s="184"/>
      <c r="DG167" s="15"/>
      <c r="DH167" s="15"/>
      <c r="DI167" s="15"/>
      <c r="DJ167" s="15"/>
      <c r="DK167" s="15"/>
      <c r="DL167" s="15"/>
      <c r="DM167" s="184"/>
      <c r="DN167" s="15"/>
      <c r="DO167" s="15"/>
      <c r="DP167" s="15"/>
      <c r="DQ167" s="15"/>
      <c r="DR167" s="15"/>
      <c r="DS167" s="15"/>
      <c r="DT167" s="184"/>
      <c r="DU167" s="15"/>
      <c r="DV167" s="15"/>
      <c r="DW167" s="15"/>
      <c r="DX167" s="15"/>
      <c r="DY167" s="15"/>
      <c r="DZ167" s="15"/>
      <c r="EA167" s="184"/>
      <c r="EB167" s="15"/>
      <c r="EC167" s="15"/>
      <c r="ED167" s="15"/>
      <c r="EE167" s="15"/>
      <c r="EF167" s="15"/>
      <c r="EG167" s="15"/>
      <c r="EH167" s="184"/>
      <c r="EI167" s="15"/>
      <c r="EJ167" s="15"/>
      <c r="EK167" s="15"/>
      <c r="EL167" s="15"/>
      <c r="EM167" s="15"/>
      <c r="EN167" s="15"/>
      <c r="EO167" s="184"/>
      <c r="EP167" s="15"/>
      <c r="EQ167" s="15"/>
      <c r="ER167" s="15"/>
      <c r="ES167" s="15"/>
      <c r="ET167" s="15"/>
      <c r="EU167" s="15"/>
      <c r="EV167" s="184"/>
      <c r="EW167" s="15"/>
      <c r="EX167" s="15"/>
      <c r="EY167" s="15"/>
      <c r="EZ167" s="15"/>
      <c r="FA167" s="15"/>
      <c r="FB167" s="15"/>
      <c r="FC167" s="184"/>
      <c r="FD167" s="15"/>
      <c r="FE167" s="15"/>
      <c r="FF167" s="15"/>
      <c r="FG167" s="15"/>
      <c r="FH167" s="15"/>
      <c r="FI167" s="15"/>
      <c r="FJ167" s="184"/>
      <c r="FK167" s="15"/>
      <c r="FL167" s="15"/>
      <c r="FM167" s="15"/>
      <c r="FN167" s="15"/>
      <c r="FO167" s="15"/>
      <c r="FP167" s="15"/>
      <c r="FQ167" s="184"/>
      <c r="FR167" s="15"/>
      <c r="FS167" s="15"/>
      <c r="FT167" s="15"/>
      <c r="FU167" s="15"/>
      <c r="FV167" s="15"/>
      <c r="FW167" s="178"/>
      <c r="FX167" s="184"/>
      <c r="FY167" s="181"/>
      <c r="FZ167" s="15"/>
      <c r="GA167" s="15"/>
      <c r="GB167" s="15"/>
      <c r="GC167" s="15"/>
      <c r="GD167" s="15"/>
      <c r="GE167" s="184"/>
      <c r="GF167" s="15"/>
      <c r="GG167" s="15"/>
      <c r="GH167" s="15"/>
      <c r="GI167" s="15"/>
      <c r="GJ167" s="15"/>
      <c r="GK167" s="15"/>
      <c r="GL167" s="184"/>
      <c r="GM167" s="15"/>
      <c r="GN167" s="15"/>
      <c r="GO167" s="15"/>
      <c r="GP167" s="15"/>
      <c r="GQ167" s="15"/>
      <c r="GR167" s="15"/>
      <c r="GS167" s="184"/>
      <c r="GT167" s="15"/>
      <c r="GU167" s="15"/>
      <c r="GV167" s="15"/>
      <c r="GW167" s="15"/>
      <c r="GX167" s="15"/>
      <c r="GY167" s="15"/>
      <c r="GZ167" s="184"/>
      <c r="HA167" s="15"/>
      <c r="HB167" s="15"/>
      <c r="HC167" s="15"/>
      <c r="HD167" s="15"/>
      <c r="HE167" s="15"/>
      <c r="HF167" s="15"/>
      <c r="HG167" s="184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  <c r="JT167" s="15"/>
      <c r="JU167" s="15"/>
      <c r="JV167" s="15"/>
      <c r="JW167" s="15"/>
      <c r="JX167" s="15"/>
      <c r="JY167" s="15"/>
      <c r="JZ167" s="15"/>
      <c r="KA167" s="15"/>
      <c r="KB167" s="15"/>
      <c r="KC167" s="15"/>
      <c r="KD167" s="15"/>
      <c r="KE167" s="15"/>
      <c r="KF167" s="15"/>
      <c r="KG167" s="15"/>
      <c r="KH167" s="15"/>
      <c r="KI167" s="15"/>
      <c r="KJ167" s="15"/>
      <c r="KK167" s="15"/>
      <c r="KL167" s="15"/>
      <c r="KM167" s="15"/>
      <c r="KN167" s="15"/>
      <c r="KO167" s="15"/>
      <c r="KP167" s="15"/>
      <c r="KQ167" s="15"/>
      <c r="KR167" s="15"/>
      <c r="KS167" s="15"/>
      <c r="KT167" s="15"/>
      <c r="KU167" s="15"/>
      <c r="KV167" s="15"/>
      <c r="KW167" s="15"/>
      <c r="KX167" s="15"/>
      <c r="KY167" s="15"/>
      <c r="KZ167" s="15"/>
      <c r="LA167" s="15"/>
      <c r="LB167" s="15"/>
      <c r="LC167" s="15"/>
      <c r="LD167" s="15"/>
      <c r="LE167" s="15"/>
      <c r="LF167" s="15"/>
      <c r="LG167" s="15"/>
      <c r="LH167" s="15"/>
      <c r="LI167" s="15"/>
      <c r="LJ167" s="15"/>
      <c r="LK167" s="15"/>
      <c r="LL167" s="15"/>
      <c r="LM167" s="15"/>
      <c r="LN167" s="15"/>
      <c r="LO167" s="15"/>
      <c r="LP167" s="15"/>
      <c r="LQ167" s="15"/>
      <c r="LR167" s="15"/>
      <c r="LS167" s="15"/>
      <c r="LT167" s="15"/>
      <c r="LU167" s="15"/>
      <c r="LV167" s="15"/>
      <c r="LW167" s="15"/>
      <c r="LX167" s="15"/>
      <c r="LY167" s="15"/>
      <c r="LZ167" s="15"/>
      <c r="MA167" s="15"/>
      <c r="MB167" s="15"/>
      <c r="MC167" s="15"/>
      <c r="MD167" s="15"/>
      <c r="ME167" s="15"/>
      <c r="MF167" s="15"/>
      <c r="MG167" s="15"/>
      <c r="MH167" s="15"/>
      <c r="MI167" s="15"/>
      <c r="MJ167" s="15"/>
      <c r="MK167" s="15"/>
      <c r="ML167" s="15"/>
      <c r="MM167" s="15"/>
      <c r="MN167" s="15"/>
      <c r="MO167" s="15"/>
      <c r="MP167" s="15"/>
      <c r="MQ167" s="15"/>
      <c r="MR167" s="15"/>
      <c r="MS167" s="15"/>
      <c r="MT167" s="15"/>
      <c r="MU167" s="15"/>
      <c r="MV167" s="15"/>
      <c r="MW167" s="15"/>
      <c r="MX167" s="15"/>
      <c r="MY167" s="15"/>
      <c r="MZ167" s="15"/>
      <c r="NA167" s="15"/>
      <c r="NB167" s="15"/>
      <c r="NC167" s="15"/>
      <c r="ND167" s="15"/>
      <c r="NE167" s="15"/>
      <c r="NF167" s="15"/>
      <c r="NG167" s="15"/>
      <c r="NH167" s="15"/>
      <c r="NI167" s="15"/>
      <c r="NJ167" s="15"/>
      <c r="NK167" s="15"/>
      <c r="NL167" s="15"/>
      <c r="NM167" s="15"/>
      <c r="NN167" s="15"/>
      <c r="NO167" s="15"/>
      <c r="NP167" s="15"/>
      <c r="NQ167" s="15"/>
      <c r="NR167" s="15"/>
      <c r="NS167" s="15"/>
      <c r="NT167" s="15"/>
      <c r="NU167" s="15"/>
      <c r="NV167" s="15"/>
      <c r="NW167" s="15"/>
      <c r="NX167" s="15"/>
      <c r="NY167" s="15"/>
      <c r="NZ167" s="15"/>
    </row>
    <row r="168" spans="2:390" ht="19.5" customHeight="1" x14ac:dyDescent="0.45">
      <c r="B168" s="1">
        <f t="shared" ref="B168:C173" si="133">+B167</f>
        <v>4</v>
      </c>
      <c r="C168" s="1">
        <f t="shared" si="133"/>
        <v>11</v>
      </c>
      <c r="D168" s="1">
        <f t="shared" si="132"/>
        <v>2</v>
      </c>
      <c r="E168" s="91" t="str">
        <f t="shared" si="125"/>
        <v>4.11.2</v>
      </c>
      <c r="F168" s="82" t="s">
        <v>112</v>
      </c>
      <c r="G168" s="82"/>
      <c r="H168" s="83" t="s">
        <v>117</v>
      </c>
      <c r="I168" s="83"/>
      <c r="J168" s="83"/>
      <c r="K168" s="83"/>
      <c r="L168" s="83"/>
      <c r="M168" s="83"/>
      <c r="N168" s="83"/>
      <c r="O168" s="83"/>
      <c r="P168" s="83"/>
      <c r="Q168" s="83"/>
      <c r="R168" s="79"/>
      <c r="S168" s="80"/>
      <c r="T168" s="89" t="str">
        <f>IF(S168&lt;&gt;"",IF(#REF!="x",WORKDAY(IF(WEEKDAY(R168,1)=7,R168+2,IF(WEEKDAY(R168,1)=1,R168+1,R168)),S168-1),R168+S168-1),"")</f>
        <v/>
      </c>
      <c r="U168" s="90"/>
      <c r="V168" s="90"/>
      <c r="W168" s="22"/>
      <c r="X168" s="22"/>
      <c r="Y168" s="22"/>
      <c r="Z168" s="36"/>
      <c r="AA168" s="15"/>
      <c r="AB168" s="15"/>
      <c r="AC168" s="15"/>
      <c r="AD168" s="15"/>
      <c r="AE168" s="15"/>
      <c r="AF168" s="15"/>
      <c r="AG168" s="184"/>
      <c r="AH168" s="15"/>
      <c r="AI168" s="15"/>
      <c r="AJ168" s="15"/>
      <c r="AK168" s="15"/>
      <c r="AL168" s="15"/>
      <c r="AM168" s="15"/>
      <c r="AN168" s="184"/>
      <c r="AO168" s="15"/>
      <c r="AP168" s="15"/>
      <c r="AQ168" s="15"/>
      <c r="AR168" s="15"/>
      <c r="AS168" s="15"/>
      <c r="AT168" s="15"/>
      <c r="AU168" s="184"/>
      <c r="AV168" s="15"/>
      <c r="AW168" s="15"/>
      <c r="AX168" s="15"/>
      <c r="AY168" s="15"/>
      <c r="AZ168" s="15"/>
      <c r="BA168" s="15"/>
      <c r="BB168" s="184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84"/>
      <c r="CE168" s="15"/>
      <c r="CF168" s="15"/>
      <c r="CG168" s="15"/>
      <c r="CH168" s="15"/>
      <c r="CI168" s="15"/>
      <c r="CJ168" s="15"/>
      <c r="CK168" s="184"/>
      <c r="CL168" s="15"/>
      <c r="CM168" s="15"/>
      <c r="CN168" s="15"/>
      <c r="CO168" s="15"/>
      <c r="CP168" s="15"/>
      <c r="CQ168" s="15"/>
      <c r="CR168" s="184"/>
      <c r="CS168" s="15"/>
      <c r="CT168" s="15"/>
      <c r="CU168" s="15"/>
      <c r="CV168" s="15"/>
      <c r="CW168" s="15"/>
      <c r="CX168" s="15"/>
      <c r="CY168" s="184"/>
      <c r="CZ168" s="15"/>
      <c r="DA168" s="15"/>
      <c r="DB168" s="15"/>
      <c r="DC168" s="15"/>
      <c r="DD168" s="15"/>
      <c r="DE168" s="15"/>
      <c r="DF168" s="184"/>
      <c r="DG168" s="15"/>
      <c r="DH168" s="15"/>
      <c r="DI168" s="15"/>
      <c r="DJ168" s="15"/>
      <c r="DK168" s="15"/>
      <c r="DL168" s="15"/>
      <c r="DM168" s="184"/>
      <c r="DN168" s="15"/>
      <c r="DO168" s="15"/>
      <c r="DP168" s="15"/>
      <c r="DQ168" s="15"/>
      <c r="DR168" s="15"/>
      <c r="DS168" s="15"/>
      <c r="DT168" s="184"/>
      <c r="DU168" s="15"/>
      <c r="DV168" s="15"/>
      <c r="DW168" s="15"/>
      <c r="DX168" s="15"/>
      <c r="DY168" s="15"/>
      <c r="DZ168" s="15"/>
      <c r="EA168" s="184"/>
      <c r="EB168" s="15"/>
      <c r="EC168" s="15"/>
      <c r="ED168" s="15"/>
      <c r="EE168" s="15"/>
      <c r="EF168" s="15"/>
      <c r="EG168" s="15"/>
      <c r="EH168" s="184"/>
      <c r="EI168" s="15"/>
      <c r="EJ168" s="15"/>
      <c r="EK168" s="15"/>
      <c r="EL168" s="15"/>
      <c r="EM168" s="15"/>
      <c r="EN168" s="15"/>
      <c r="EO168" s="184"/>
      <c r="EP168" s="15"/>
      <c r="EQ168" s="15"/>
      <c r="ER168" s="15"/>
      <c r="ES168" s="15"/>
      <c r="ET168" s="15"/>
      <c r="EU168" s="15"/>
      <c r="EV168" s="184"/>
      <c r="EW168" s="15"/>
      <c r="EX168" s="15"/>
      <c r="EY168" s="15"/>
      <c r="EZ168" s="15"/>
      <c r="FA168" s="15"/>
      <c r="FB168" s="15"/>
      <c r="FC168" s="184"/>
      <c r="FD168" s="15"/>
      <c r="FE168" s="15"/>
      <c r="FF168" s="15"/>
      <c r="FG168" s="15"/>
      <c r="FH168" s="15"/>
      <c r="FI168" s="15"/>
      <c r="FJ168" s="184"/>
      <c r="FK168" s="15"/>
      <c r="FL168" s="15"/>
      <c r="FM168" s="15"/>
      <c r="FN168" s="15"/>
      <c r="FO168" s="15"/>
      <c r="FP168" s="15"/>
      <c r="FQ168" s="184"/>
      <c r="FR168" s="15"/>
      <c r="FS168" s="15"/>
      <c r="FT168" s="15"/>
      <c r="FU168" s="15"/>
      <c r="FV168" s="15"/>
      <c r="FW168" s="178"/>
      <c r="FX168" s="184"/>
      <c r="FY168" s="181"/>
      <c r="FZ168" s="15"/>
      <c r="GA168" s="15"/>
      <c r="GB168" s="15"/>
      <c r="GC168" s="15"/>
      <c r="GD168" s="15"/>
      <c r="GE168" s="184"/>
      <c r="GF168" s="15"/>
      <c r="GG168" s="15"/>
      <c r="GH168" s="15"/>
      <c r="GI168" s="15"/>
      <c r="GJ168" s="15"/>
      <c r="GK168" s="15"/>
      <c r="GL168" s="184"/>
      <c r="GM168" s="15"/>
      <c r="GN168" s="15"/>
      <c r="GO168" s="15"/>
      <c r="GP168" s="15"/>
      <c r="GQ168" s="15"/>
      <c r="GR168" s="15"/>
      <c r="GS168" s="184"/>
      <c r="GT168" s="15"/>
      <c r="GU168" s="15"/>
      <c r="GV168" s="15"/>
      <c r="GW168" s="15"/>
      <c r="GX168" s="15"/>
      <c r="GY168" s="15"/>
      <c r="GZ168" s="184"/>
      <c r="HA168" s="15"/>
      <c r="HB168" s="15"/>
      <c r="HC168" s="15"/>
      <c r="HD168" s="15"/>
      <c r="HE168" s="15"/>
      <c r="HF168" s="15"/>
      <c r="HG168" s="184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  <c r="JT168" s="15"/>
      <c r="JU168" s="15"/>
      <c r="JV168" s="15"/>
      <c r="JW168" s="15"/>
      <c r="JX168" s="15"/>
      <c r="JY168" s="15"/>
      <c r="JZ168" s="15"/>
      <c r="KA168" s="15"/>
      <c r="KB168" s="15"/>
      <c r="KC168" s="15"/>
      <c r="KD168" s="15"/>
      <c r="KE168" s="15"/>
      <c r="KF168" s="15"/>
      <c r="KG168" s="15"/>
      <c r="KH168" s="15"/>
      <c r="KI168" s="15"/>
      <c r="KJ168" s="15"/>
      <c r="KK168" s="15"/>
      <c r="KL168" s="15"/>
      <c r="KM168" s="15"/>
      <c r="KN168" s="15"/>
      <c r="KO168" s="15"/>
      <c r="KP168" s="15"/>
      <c r="KQ168" s="15"/>
      <c r="KR168" s="15"/>
      <c r="KS168" s="15"/>
      <c r="KT168" s="15"/>
      <c r="KU168" s="15"/>
      <c r="KV168" s="15"/>
      <c r="KW168" s="15"/>
      <c r="KX168" s="15"/>
      <c r="KY168" s="15"/>
      <c r="KZ168" s="15"/>
      <c r="LA168" s="15"/>
      <c r="LB168" s="15"/>
      <c r="LC168" s="15"/>
      <c r="LD168" s="15"/>
      <c r="LE168" s="15"/>
      <c r="LF168" s="15"/>
      <c r="LG168" s="15"/>
      <c r="LH168" s="15"/>
      <c r="LI168" s="15"/>
      <c r="LJ168" s="15"/>
      <c r="LK168" s="15"/>
      <c r="LL168" s="15"/>
      <c r="LM168" s="15"/>
      <c r="LN168" s="15"/>
      <c r="LO168" s="15"/>
      <c r="LP168" s="15"/>
      <c r="LQ168" s="15"/>
      <c r="LR168" s="15"/>
      <c r="LS168" s="15"/>
      <c r="LT168" s="15"/>
      <c r="LU168" s="15"/>
      <c r="LV168" s="15"/>
      <c r="LW168" s="15"/>
      <c r="LX168" s="15"/>
      <c r="LY168" s="15"/>
      <c r="LZ168" s="15"/>
      <c r="MA168" s="15"/>
      <c r="MB168" s="15"/>
      <c r="MC168" s="15"/>
      <c r="MD168" s="15"/>
      <c r="ME168" s="15"/>
      <c r="MF168" s="15"/>
      <c r="MG168" s="15"/>
      <c r="MH168" s="15"/>
      <c r="MI168" s="15"/>
      <c r="MJ168" s="15"/>
      <c r="MK168" s="15"/>
      <c r="ML168" s="15"/>
      <c r="MM168" s="15"/>
      <c r="MN168" s="15"/>
      <c r="MO168" s="15"/>
      <c r="MP168" s="15"/>
      <c r="MQ168" s="15"/>
      <c r="MR168" s="15"/>
      <c r="MS168" s="15"/>
      <c r="MT168" s="15"/>
      <c r="MU168" s="15"/>
      <c r="MV168" s="15"/>
      <c r="MW168" s="15"/>
      <c r="MX168" s="15"/>
      <c r="MY168" s="15"/>
      <c r="MZ168" s="15"/>
      <c r="NA168" s="15"/>
      <c r="NB168" s="15"/>
      <c r="NC168" s="15"/>
      <c r="ND168" s="15"/>
      <c r="NE168" s="15"/>
      <c r="NF168" s="15"/>
      <c r="NG168" s="15"/>
      <c r="NH168" s="15"/>
      <c r="NI168" s="15"/>
      <c r="NJ168" s="15"/>
      <c r="NK168" s="15"/>
      <c r="NL168" s="15"/>
      <c r="NM168" s="15"/>
      <c r="NN168" s="15"/>
      <c r="NO168" s="15"/>
      <c r="NP168" s="15"/>
      <c r="NQ168" s="15"/>
      <c r="NR168" s="15"/>
      <c r="NS168" s="15"/>
      <c r="NT168" s="15"/>
      <c r="NU168" s="15"/>
      <c r="NV168" s="15"/>
      <c r="NW168" s="15"/>
      <c r="NX168" s="15"/>
      <c r="NY168" s="15"/>
      <c r="NZ168" s="15"/>
    </row>
    <row r="169" spans="2:390" ht="19.5" customHeight="1" x14ac:dyDescent="0.45">
      <c r="B169" s="1">
        <f t="shared" si="133"/>
        <v>4</v>
      </c>
      <c r="C169" s="1">
        <f t="shared" si="133"/>
        <v>11</v>
      </c>
      <c r="D169" s="1">
        <f t="shared" si="132"/>
        <v>3</v>
      </c>
      <c r="E169" s="91" t="str">
        <f t="shared" si="125"/>
        <v>4.11.3</v>
      </c>
      <c r="F169" s="82" t="s">
        <v>108</v>
      </c>
      <c r="G169" s="82"/>
      <c r="H169" s="83" t="s">
        <v>117</v>
      </c>
      <c r="I169" s="83"/>
      <c r="J169" s="83"/>
      <c r="K169" s="83"/>
      <c r="L169" s="83"/>
      <c r="M169" s="83"/>
      <c r="N169" s="83"/>
      <c r="O169" s="83"/>
      <c r="P169" s="83"/>
      <c r="Q169" s="83"/>
      <c r="R169" s="79"/>
      <c r="S169" s="80"/>
      <c r="T169" s="89" t="str">
        <f>IF(S169&lt;&gt;"",IF(#REF!="x",WORKDAY(IF(WEEKDAY(R169,1)=7,R169+2,IF(WEEKDAY(R169,1)=1,R169+1,R169)),S169-1),R169+S169-1),"")</f>
        <v/>
      </c>
      <c r="U169" s="90"/>
      <c r="V169" s="90"/>
      <c r="W169" s="22"/>
      <c r="X169" s="22"/>
      <c r="Y169" s="22"/>
      <c r="Z169" s="36"/>
      <c r="AA169" s="15"/>
      <c r="AB169" s="15"/>
      <c r="AC169" s="15"/>
      <c r="AD169" s="15"/>
      <c r="AE169" s="15"/>
      <c r="AF169" s="15"/>
      <c r="AG169" s="184"/>
      <c r="AH169" s="15"/>
      <c r="AI169" s="15"/>
      <c r="AJ169" s="15"/>
      <c r="AK169" s="15"/>
      <c r="AL169" s="15"/>
      <c r="AM169" s="15"/>
      <c r="AN169" s="184"/>
      <c r="AO169" s="15"/>
      <c r="AP169" s="15"/>
      <c r="AQ169" s="15"/>
      <c r="AR169" s="15"/>
      <c r="AS169" s="15"/>
      <c r="AT169" s="15"/>
      <c r="AU169" s="184"/>
      <c r="AV169" s="15"/>
      <c r="AW169" s="15"/>
      <c r="AX169" s="15"/>
      <c r="AY169" s="15"/>
      <c r="AZ169" s="15"/>
      <c r="BA169" s="15"/>
      <c r="BB169" s="184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84"/>
      <c r="CE169" s="15"/>
      <c r="CF169" s="15"/>
      <c r="CG169" s="15"/>
      <c r="CH169" s="15"/>
      <c r="CI169" s="15"/>
      <c r="CJ169" s="15"/>
      <c r="CK169" s="184"/>
      <c r="CL169" s="15"/>
      <c r="CM169" s="15"/>
      <c r="CN169" s="15"/>
      <c r="CO169" s="15"/>
      <c r="CP169" s="15"/>
      <c r="CQ169" s="15"/>
      <c r="CR169" s="184"/>
      <c r="CS169" s="15"/>
      <c r="CT169" s="15"/>
      <c r="CU169" s="15"/>
      <c r="CV169" s="15"/>
      <c r="CW169" s="15"/>
      <c r="CX169" s="15"/>
      <c r="CY169" s="184"/>
      <c r="CZ169" s="15"/>
      <c r="DA169" s="15"/>
      <c r="DB169" s="15"/>
      <c r="DC169" s="15"/>
      <c r="DD169" s="15"/>
      <c r="DE169" s="15"/>
      <c r="DF169" s="184"/>
      <c r="DG169" s="15"/>
      <c r="DH169" s="15"/>
      <c r="DI169" s="15"/>
      <c r="DJ169" s="15"/>
      <c r="DK169" s="15"/>
      <c r="DL169" s="15"/>
      <c r="DM169" s="184"/>
      <c r="DN169" s="15"/>
      <c r="DO169" s="15"/>
      <c r="DP169" s="15"/>
      <c r="DQ169" s="15"/>
      <c r="DR169" s="15"/>
      <c r="DS169" s="15"/>
      <c r="DT169" s="184"/>
      <c r="DU169" s="15"/>
      <c r="DV169" s="15"/>
      <c r="DW169" s="15"/>
      <c r="DX169" s="15"/>
      <c r="DY169" s="15"/>
      <c r="DZ169" s="15"/>
      <c r="EA169" s="184"/>
      <c r="EB169" s="15"/>
      <c r="EC169" s="15"/>
      <c r="ED169" s="15"/>
      <c r="EE169" s="15"/>
      <c r="EF169" s="15"/>
      <c r="EG169" s="15"/>
      <c r="EH169" s="184"/>
      <c r="EI169" s="15"/>
      <c r="EJ169" s="15"/>
      <c r="EK169" s="15"/>
      <c r="EL169" s="15"/>
      <c r="EM169" s="15"/>
      <c r="EN169" s="15"/>
      <c r="EO169" s="184"/>
      <c r="EP169" s="15"/>
      <c r="EQ169" s="15"/>
      <c r="ER169" s="15"/>
      <c r="ES169" s="15"/>
      <c r="ET169" s="15"/>
      <c r="EU169" s="15"/>
      <c r="EV169" s="184"/>
      <c r="EW169" s="15"/>
      <c r="EX169" s="15"/>
      <c r="EY169" s="15"/>
      <c r="EZ169" s="15"/>
      <c r="FA169" s="15"/>
      <c r="FB169" s="15"/>
      <c r="FC169" s="184"/>
      <c r="FD169" s="15"/>
      <c r="FE169" s="15"/>
      <c r="FF169" s="15"/>
      <c r="FG169" s="15"/>
      <c r="FH169" s="15"/>
      <c r="FI169" s="15"/>
      <c r="FJ169" s="184"/>
      <c r="FK169" s="15"/>
      <c r="FL169" s="15"/>
      <c r="FM169" s="15"/>
      <c r="FN169" s="15"/>
      <c r="FO169" s="15"/>
      <c r="FP169" s="15"/>
      <c r="FQ169" s="184"/>
      <c r="FR169" s="15"/>
      <c r="FS169" s="15"/>
      <c r="FT169" s="15"/>
      <c r="FU169" s="15"/>
      <c r="FV169" s="15"/>
      <c r="FW169" s="178"/>
      <c r="FX169" s="184"/>
      <c r="FY169" s="181"/>
      <c r="FZ169" s="15"/>
      <c r="GA169" s="15"/>
      <c r="GB169" s="15"/>
      <c r="GC169" s="15"/>
      <c r="GD169" s="15"/>
      <c r="GE169" s="184"/>
      <c r="GF169" s="15"/>
      <c r="GG169" s="15"/>
      <c r="GH169" s="15"/>
      <c r="GI169" s="15"/>
      <c r="GJ169" s="15"/>
      <c r="GK169" s="15"/>
      <c r="GL169" s="184"/>
      <c r="GM169" s="15"/>
      <c r="GN169" s="15"/>
      <c r="GO169" s="15"/>
      <c r="GP169" s="15"/>
      <c r="GQ169" s="15"/>
      <c r="GR169" s="15"/>
      <c r="GS169" s="184"/>
      <c r="GT169" s="15"/>
      <c r="GU169" s="15"/>
      <c r="GV169" s="15"/>
      <c r="GW169" s="15"/>
      <c r="GX169" s="15"/>
      <c r="GY169" s="15"/>
      <c r="GZ169" s="184"/>
      <c r="HA169" s="15"/>
      <c r="HB169" s="15"/>
      <c r="HC169" s="15"/>
      <c r="HD169" s="15"/>
      <c r="HE169" s="15"/>
      <c r="HF169" s="15"/>
      <c r="HG169" s="184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  <c r="JT169" s="15"/>
      <c r="JU169" s="15"/>
      <c r="JV169" s="15"/>
      <c r="JW169" s="15"/>
      <c r="JX169" s="15"/>
      <c r="JY169" s="15"/>
      <c r="JZ169" s="15"/>
      <c r="KA169" s="15"/>
      <c r="KB169" s="15"/>
      <c r="KC169" s="15"/>
      <c r="KD169" s="15"/>
      <c r="KE169" s="15"/>
      <c r="KF169" s="15"/>
      <c r="KG169" s="15"/>
      <c r="KH169" s="15"/>
      <c r="KI169" s="15"/>
      <c r="KJ169" s="15"/>
      <c r="KK169" s="15"/>
      <c r="KL169" s="15"/>
      <c r="KM169" s="15"/>
      <c r="KN169" s="15"/>
      <c r="KO169" s="15"/>
      <c r="KP169" s="15"/>
      <c r="KQ169" s="15"/>
      <c r="KR169" s="15"/>
      <c r="KS169" s="15"/>
      <c r="KT169" s="15"/>
      <c r="KU169" s="15"/>
      <c r="KV169" s="15"/>
      <c r="KW169" s="15"/>
      <c r="KX169" s="15"/>
      <c r="KY169" s="15"/>
      <c r="KZ169" s="15"/>
      <c r="LA169" s="15"/>
      <c r="LB169" s="15"/>
      <c r="LC169" s="15"/>
      <c r="LD169" s="15"/>
      <c r="LE169" s="15"/>
      <c r="LF169" s="15"/>
      <c r="LG169" s="15"/>
      <c r="LH169" s="15"/>
      <c r="LI169" s="15"/>
      <c r="LJ169" s="15"/>
      <c r="LK169" s="15"/>
      <c r="LL169" s="15"/>
      <c r="LM169" s="15"/>
      <c r="LN169" s="15"/>
      <c r="LO169" s="15"/>
      <c r="LP169" s="15"/>
      <c r="LQ169" s="15"/>
      <c r="LR169" s="15"/>
      <c r="LS169" s="15"/>
      <c r="LT169" s="15"/>
      <c r="LU169" s="15"/>
      <c r="LV169" s="15"/>
      <c r="LW169" s="15"/>
      <c r="LX169" s="15"/>
      <c r="LY169" s="15"/>
      <c r="LZ169" s="15"/>
      <c r="MA169" s="15"/>
      <c r="MB169" s="15"/>
      <c r="MC169" s="15"/>
      <c r="MD169" s="15"/>
      <c r="ME169" s="15"/>
      <c r="MF169" s="15"/>
      <c r="MG169" s="15"/>
      <c r="MH169" s="15"/>
      <c r="MI169" s="15"/>
      <c r="MJ169" s="15"/>
      <c r="MK169" s="15"/>
      <c r="ML169" s="15"/>
      <c r="MM169" s="15"/>
      <c r="MN169" s="15"/>
      <c r="MO169" s="15"/>
      <c r="MP169" s="15"/>
      <c r="MQ169" s="15"/>
      <c r="MR169" s="15"/>
      <c r="MS169" s="15"/>
      <c r="MT169" s="15"/>
      <c r="MU169" s="15"/>
      <c r="MV169" s="15"/>
      <c r="MW169" s="15"/>
      <c r="MX169" s="15"/>
      <c r="MY169" s="15"/>
      <c r="MZ169" s="15"/>
      <c r="NA169" s="15"/>
      <c r="NB169" s="15"/>
      <c r="NC169" s="15"/>
      <c r="ND169" s="15"/>
      <c r="NE169" s="15"/>
      <c r="NF169" s="15"/>
      <c r="NG169" s="15"/>
      <c r="NH169" s="15"/>
      <c r="NI169" s="15"/>
      <c r="NJ169" s="15"/>
      <c r="NK169" s="15"/>
      <c r="NL169" s="15"/>
      <c r="NM169" s="15"/>
      <c r="NN169" s="15"/>
      <c r="NO169" s="15"/>
      <c r="NP169" s="15"/>
      <c r="NQ169" s="15"/>
      <c r="NR169" s="15"/>
      <c r="NS169" s="15"/>
      <c r="NT169" s="15"/>
      <c r="NU169" s="15"/>
      <c r="NV169" s="15"/>
      <c r="NW169" s="15"/>
      <c r="NX169" s="15"/>
      <c r="NY169" s="15"/>
      <c r="NZ169" s="15"/>
    </row>
    <row r="170" spans="2:390" ht="19.5" customHeight="1" x14ac:dyDescent="0.45">
      <c r="B170" s="1">
        <f t="shared" si="133"/>
        <v>4</v>
      </c>
      <c r="C170" s="1">
        <f t="shared" si="133"/>
        <v>11</v>
      </c>
      <c r="D170" s="1">
        <f t="shared" si="132"/>
        <v>4</v>
      </c>
      <c r="E170" s="91" t="str">
        <f t="shared" si="125"/>
        <v>4.11.4</v>
      </c>
      <c r="F170" s="82" t="s">
        <v>110</v>
      </c>
      <c r="G170" s="82"/>
      <c r="H170" s="83" t="s">
        <v>117</v>
      </c>
      <c r="I170" s="83"/>
      <c r="J170" s="83"/>
      <c r="K170" s="83"/>
      <c r="L170" s="83"/>
      <c r="M170" s="83"/>
      <c r="N170" s="83"/>
      <c r="O170" s="83"/>
      <c r="P170" s="83"/>
      <c r="Q170" s="83"/>
      <c r="R170" s="79"/>
      <c r="S170" s="80"/>
      <c r="T170" s="89" t="str">
        <f>IF(S170&lt;&gt;"",IF(#REF!="x",WORKDAY(IF(WEEKDAY(R170,1)=7,R170+2,IF(WEEKDAY(R170,1)=1,R170+1,R170)),S170-1),R170+S170-1),"")</f>
        <v/>
      </c>
      <c r="U170" s="90"/>
      <c r="V170" s="90"/>
      <c r="W170" s="22"/>
      <c r="X170" s="22"/>
      <c r="Y170" s="22"/>
      <c r="Z170" s="36"/>
      <c r="AA170" s="15"/>
      <c r="AB170" s="15"/>
      <c r="AC170" s="15"/>
      <c r="AD170" s="15"/>
      <c r="AE170" s="15"/>
      <c r="AF170" s="15"/>
      <c r="AG170" s="184"/>
      <c r="AH170" s="15"/>
      <c r="AI170" s="15"/>
      <c r="AJ170" s="15"/>
      <c r="AK170" s="15"/>
      <c r="AL170" s="15"/>
      <c r="AM170" s="15"/>
      <c r="AN170" s="184"/>
      <c r="AO170" s="15"/>
      <c r="AP170" s="15"/>
      <c r="AQ170" s="15"/>
      <c r="AR170" s="15"/>
      <c r="AS170" s="15"/>
      <c r="AT170" s="15"/>
      <c r="AU170" s="184"/>
      <c r="AV170" s="15"/>
      <c r="AW170" s="15"/>
      <c r="AX170" s="15"/>
      <c r="AY170" s="15"/>
      <c r="AZ170" s="15"/>
      <c r="BA170" s="15"/>
      <c r="BB170" s="184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84"/>
      <c r="CE170" s="15"/>
      <c r="CF170" s="15"/>
      <c r="CG170" s="15"/>
      <c r="CH170" s="15"/>
      <c r="CI170" s="15"/>
      <c r="CJ170" s="15"/>
      <c r="CK170" s="184"/>
      <c r="CL170" s="15"/>
      <c r="CM170" s="15"/>
      <c r="CN170" s="15"/>
      <c r="CO170" s="15"/>
      <c r="CP170" s="15"/>
      <c r="CQ170" s="15"/>
      <c r="CR170" s="184"/>
      <c r="CS170" s="15"/>
      <c r="CT170" s="15"/>
      <c r="CU170" s="15"/>
      <c r="CV170" s="15"/>
      <c r="CW170" s="15"/>
      <c r="CX170" s="15"/>
      <c r="CY170" s="184"/>
      <c r="CZ170" s="15"/>
      <c r="DA170" s="15"/>
      <c r="DB170" s="15"/>
      <c r="DC170" s="15"/>
      <c r="DD170" s="15"/>
      <c r="DE170" s="15"/>
      <c r="DF170" s="184"/>
      <c r="DG170" s="15"/>
      <c r="DH170" s="15"/>
      <c r="DI170" s="15"/>
      <c r="DJ170" s="15"/>
      <c r="DK170" s="15"/>
      <c r="DL170" s="15"/>
      <c r="DM170" s="184"/>
      <c r="DN170" s="15"/>
      <c r="DO170" s="15"/>
      <c r="DP170" s="15"/>
      <c r="DQ170" s="15"/>
      <c r="DR170" s="15"/>
      <c r="DS170" s="15"/>
      <c r="DT170" s="184"/>
      <c r="DU170" s="15"/>
      <c r="DV170" s="15"/>
      <c r="DW170" s="15"/>
      <c r="DX170" s="15"/>
      <c r="DY170" s="15"/>
      <c r="DZ170" s="15"/>
      <c r="EA170" s="184"/>
      <c r="EB170" s="15"/>
      <c r="EC170" s="15"/>
      <c r="ED170" s="15"/>
      <c r="EE170" s="15"/>
      <c r="EF170" s="15"/>
      <c r="EG170" s="15"/>
      <c r="EH170" s="184"/>
      <c r="EI170" s="15"/>
      <c r="EJ170" s="15"/>
      <c r="EK170" s="15"/>
      <c r="EL170" s="15"/>
      <c r="EM170" s="15"/>
      <c r="EN170" s="15"/>
      <c r="EO170" s="184"/>
      <c r="EP170" s="15"/>
      <c r="EQ170" s="15"/>
      <c r="ER170" s="15"/>
      <c r="ES170" s="15"/>
      <c r="ET170" s="15"/>
      <c r="EU170" s="15"/>
      <c r="EV170" s="184"/>
      <c r="EW170" s="15"/>
      <c r="EX170" s="15"/>
      <c r="EY170" s="15"/>
      <c r="EZ170" s="15"/>
      <c r="FA170" s="15"/>
      <c r="FB170" s="15"/>
      <c r="FC170" s="184"/>
      <c r="FD170" s="15"/>
      <c r="FE170" s="15"/>
      <c r="FF170" s="15"/>
      <c r="FG170" s="15"/>
      <c r="FH170" s="15"/>
      <c r="FI170" s="15"/>
      <c r="FJ170" s="184"/>
      <c r="FK170" s="15"/>
      <c r="FL170" s="15"/>
      <c r="FM170" s="15"/>
      <c r="FN170" s="15"/>
      <c r="FO170" s="15"/>
      <c r="FP170" s="15"/>
      <c r="FQ170" s="184"/>
      <c r="FR170" s="15"/>
      <c r="FS170" s="15"/>
      <c r="FT170" s="15"/>
      <c r="FU170" s="15"/>
      <c r="FV170" s="15"/>
      <c r="FW170" s="178"/>
      <c r="FX170" s="184"/>
      <c r="FY170" s="181"/>
      <c r="FZ170" s="15"/>
      <c r="GA170" s="15"/>
      <c r="GB170" s="15"/>
      <c r="GC170" s="15"/>
      <c r="GD170" s="15"/>
      <c r="GE170" s="184"/>
      <c r="GF170" s="15"/>
      <c r="GG170" s="15"/>
      <c r="GH170" s="15"/>
      <c r="GI170" s="15"/>
      <c r="GJ170" s="15"/>
      <c r="GK170" s="15"/>
      <c r="GL170" s="184"/>
      <c r="GM170" s="15"/>
      <c r="GN170" s="15"/>
      <c r="GO170" s="15"/>
      <c r="GP170" s="15"/>
      <c r="GQ170" s="15"/>
      <c r="GR170" s="15"/>
      <c r="GS170" s="184"/>
      <c r="GT170" s="15"/>
      <c r="GU170" s="15"/>
      <c r="GV170" s="15"/>
      <c r="GW170" s="15"/>
      <c r="GX170" s="15"/>
      <c r="GY170" s="15"/>
      <c r="GZ170" s="184"/>
      <c r="HA170" s="15"/>
      <c r="HB170" s="15"/>
      <c r="HC170" s="15"/>
      <c r="HD170" s="15"/>
      <c r="HE170" s="15"/>
      <c r="HF170" s="15"/>
      <c r="HG170" s="184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  <c r="JT170" s="15"/>
      <c r="JU170" s="15"/>
      <c r="JV170" s="15"/>
      <c r="JW170" s="15"/>
      <c r="JX170" s="15"/>
      <c r="JY170" s="15"/>
      <c r="JZ170" s="15"/>
      <c r="KA170" s="15"/>
      <c r="KB170" s="15"/>
      <c r="KC170" s="15"/>
      <c r="KD170" s="15"/>
      <c r="KE170" s="15"/>
      <c r="KF170" s="15"/>
      <c r="KG170" s="15"/>
      <c r="KH170" s="15"/>
      <c r="KI170" s="15"/>
      <c r="KJ170" s="15"/>
      <c r="KK170" s="15"/>
      <c r="KL170" s="15"/>
      <c r="KM170" s="15"/>
      <c r="KN170" s="15"/>
      <c r="KO170" s="15"/>
      <c r="KP170" s="15"/>
      <c r="KQ170" s="15"/>
      <c r="KR170" s="15"/>
      <c r="KS170" s="15"/>
      <c r="KT170" s="15"/>
      <c r="KU170" s="15"/>
      <c r="KV170" s="15"/>
      <c r="KW170" s="15"/>
      <c r="KX170" s="15"/>
      <c r="KY170" s="15"/>
      <c r="KZ170" s="15"/>
      <c r="LA170" s="15"/>
      <c r="LB170" s="15"/>
      <c r="LC170" s="15"/>
      <c r="LD170" s="15"/>
      <c r="LE170" s="15"/>
      <c r="LF170" s="15"/>
      <c r="LG170" s="15"/>
      <c r="LH170" s="15"/>
      <c r="LI170" s="15"/>
      <c r="LJ170" s="15"/>
      <c r="LK170" s="15"/>
      <c r="LL170" s="15"/>
      <c r="LM170" s="15"/>
      <c r="LN170" s="15"/>
      <c r="LO170" s="15"/>
      <c r="LP170" s="15"/>
      <c r="LQ170" s="15"/>
      <c r="LR170" s="15"/>
      <c r="LS170" s="15"/>
      <c r="LT170" s="15"/>
      <c r="LU170" s="15"/>
      <c r="LV170" s="15"/>
      <c r="LW170" s="15"/>
      <c r="LX170" s="15"/>
      <c r="LY170" s="15"/>
      <c r="LZ170" s="15"/>
      <c r="MA170" s="15"/>
      <c r="MB170" s="15"/>
      <c r="MC170" s="15"/>
      <c r="MD170" s="15"/>
      <c r="ME170" s="15"/>
      <c r="MF170" s="15"/>
      <c r="MG170" s="15"/>
      <c r="MH170" s="15"/>
      <c r="MI170" s="15"/>
      <c r="MJ170" s="15"/>
      <c r="MK170" s="15"/>
      <c r="ML170" s="15"/>
      <c r="MM170" s="15"/>
      <c r="MN170" s="15"/>
      <c r="MO170" s="15"/>
      <c r="MP170" s="15"/>
      <c r="MQ170" s="15"/>
      <c r="MR170" s="15"/>
      <c r="MS170" s="15"/>
      <c r="MT170" s="15"/>
      <c r="MU170" s="15"/>
      <c r="MV170" s="15"/>
      <c r="MW170" s="15"/>
      <c r="MX170" s="15"/>
      <c r="MY170" s="15"/>
      <c r="MZ170" s="15"/>
      <c r="NA170" s="15"/>
      <c r="NB170" s="15"/>
      <c r="NC170" s="15"/>
      <c r="ND170" s="15"/>
      <c r="NE170" s="15"/>
      <c r="NF170" s="15"/>
      <c r="NG170" s="15"/>
      <c r="NH170" s="15"/>
      <c r="NI170" s="15"/>
      <c r="NJ170" s="15"/>
      <c r="NK170" s="15"/>
      <c r="NL170" s="15"/>
      <c r="NM170" s="15"/>
      <c r="NN170" s="15"/>
      <c r="NO170" s="15"/>
      <c r="NP170" s="15"/>
      <c r="NQ170" s="15"/>
      <c r="NR170" s="15"/>
      <c r="NS170" s="15"/>
      <c r="NT170" s="15"/>
      <c r="NU170" s="15"/>
      <c r="NV170" s="15"/>
      <c r="NW170" s="15"/>
      <c r="NX170" s="15"/>
      <c r="NY170" s="15"/>
      <c r="NZ170" s="15"/>
    </row>
    <row r="171" spans="2:390" ht="19.5" customHeight="1" x14ac:dyDescent="0.45">
      <c r="B171" s="1">
        <f t="shared" si="133"/>
        <v>4</v>
      </c>
      <c r="C171" s="1">
        <f t="shared" si="133"/>
        <v>11</v>
      </c>
      <c r="D171" s="1">
        <f t="shared" si="132"/>
        <v>5</v>
      </c>
      <c r="E171" s="91" t="str">
        <f t="shared" si="125"/>
        <v>4.11.5</v>
      </c>
      <c r="F171" s="82" t="s">
        <v>109</v>
      </c>
      <c r="G171" s="82"/>
      <c r="H171" s="83" t="s">
        <v>117</v>
      </c>
      <c r="I171" s="83"/>
      <c r="J171" s="83"/>
      <c r="K171" s="83"/>
      <c r="L171" s="83"/>
      <c r="M171" s="83"/>
      <c r="N171" s="83"/>
      <c r="O171" s="83"/>
      <c r="P171" s="83"/>
      <c r="Q171" s="83"/>
      <c r="R171" s="79"/>
      <c r="S171" s="80"/>
      <c r="T171" s="89" t="str">
        <f>IF(S171&lt;&gt;"",IF(#REF!="x",WORKDAY(IF(WEEKDAY(R171,1)=7,R171+2,IF(WEEKDAY(R171,1)=1,R171+1,R171)),S171-1),R171+S171-1),"")</f>
        <v/>
      </c>
      <c r="U171" s="90"/>
      <c r="V171" s="90"/>
      <c r="W171" s="22"/>
      <c r="X171" s="22"/>
      <c r="Y171" s="22"/>
      <c r="Z171" s="36"/>
      <c r="AA171" s="15"/>
      <c r="AB171" s="15"/>
      <c r="AC171" s="15"/>
      <c r="AD171" s="15"/>
      <c r="AE171" s="15"/>
      <c r="AF171" s="15"/>
      <c r="AG171" s="184"/>
      <c r="AH171" s="15"/>
      <c r="AI171" s="15"/>
      <c r="AJ171" s="15"/>
      <c r="AK171" s="15"/>
      <c r="AL171" s="15"/>
      <c r="AM171" s="15"/>
      <c r="AN171" s="184"/>
      <c r="AO171" s="15"/>
      <c r="AP171" s="15"/>
      <c r="AQ171" s="15"/>
      <c r="AR171" s="15"/>
      <c r="AS171" s="15"/>
      <c r="AT171" s="15"/>
      <c r="AU171" s="184"/>
      <c r="AV171" s="15"/>
      <c r="AW171" s="15"/>
      <c r="AX171" s="15"/>
      <c r="AY171" s="15"/>
      <c r="AZ171" s="15"/>
      <c r="BA171" s="15"/>
      <c r="BB171" s="184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84"/>
      <c r="CE171" s="15"/>
      <c r="CF171" s="15"/>
      <c r="CG171" s="15"/>
      <c r="CH171" s="15"/>
      <c r="CI171" s="15"/>
      <c r="CJ171" s="15"/>
      <c r="CK171" s="184"/>
      <c r="CL171" s="15"/>
      <c r="CM171" s="15"/>
      <c r="CN171" s="15"/>
      <c r="CO171" s="15"/>
      <c r="CP171" s="15"/>
      <c r="CQ171" s="15"/>
      <c r="CR171" s="184"/>
      <c r="CS171" s="15"/>
      <c r="CT171" s="15"/>
      <c r="CU171" s="15"/>
      <c r="CV171" s="15"/>
      <c r="CW171" s="15"/>
      <c r="CX171" s="15"/>
      <c r="CY171" s="184"/>
      <c r="CZ171" s="15"/>
      <c r="DA171" s="15"/>
      <c r="DB171" s="15"/>
      <c r="DC171" s="15"/>
      <c r="DD171" s="15"/>
      <c r="DE171" s="15"/>
      <c r="DF171" s="184"/>
      <c r="DG171" s="15"/>
      <c r="DH171" s="15"/>
      <c r="DI171" s="15"/>
      <c r="DJ171" s="15"/>
      <c r="DK171" s="15"/>
      <c r="DL171" s="15"/>
      <c r="DM171" s="184"/>
      <c r="DN171" s="15"/>
      <c r="DO171" s="15"/>
      <c r="DP171" s="15"/>
      <c r="DQ171" s="15"/>
      <c r="DR171" s="15"/>
      <c r="DS171" s="15"/>
      <c r="DT171" s="184"/>
      <c r="DU171" s="15"/>
      <c r="DV171" s="15"/>
      <c r="DW171" s="15"/>
      <c r="DX171" s="15"/>
      <c r="DY171" s="15"/>
      <c r="DZ171" s="15"/>
      <c r="EA171" s="184"/>
      <c r="EB171" s="15"/>
      <c r="EC171" s="15"/>
      <c r="ED171" s="15"/>
      <c r="EE171" s="15"/>
      <c r="EF171" s="15"/>
      <c r="EG171" s="15"/>
      <c r="EH171" s="184"/>
      <c r="EI171" s="15"/>
      <c r="EJ171" s="15"/>
      <c r="EK171" s="15"/>
      <c r="EL171" s="15"/>
      <c r="EM171" s="15"/>
      <c r="EN171" s="15"/>
      <c r="EO171" s="184"/>
      <c r="EP171" s="15"/>
      <c r="EQ171" s="15"/>
      <c r="ER171" s="15"/>
      <c r="ES171" s="15"/>
      <c r="ET171" s="15"/>
      <c r="EU171" s="15"/>
      <c r="EV171" s="184"/>
      <c r="EW171" s="15"/>
      <c r="EX171" s="15"/>
      <c r="EY171" s="15"/>
      <c r="EZ171" s="15"/>
      <c r="FA171" s="15"/>
      <c r="FB171" s="15"/>
      <c r="FC171" s="184"/>
      <c r="FD171" s="15"/>
      <c r="FE171" s="15"/>
      <c r="FF171" s="15"/>
      <c r="FG171" s="15"/>
      <c r="FH171" s="15"/>
      <c r="FI171" s="15"/>
      <c r="FJ171" s="184"/>
      <c r="FK171" s="15"/>
      <c r="FL171" s="15"/>
      <c r="FM171" s="15"/>
      <c r="FN171" s="15"/>
      <c r="FO171" s="15"/>
      <c r="FP171" s="15"/>
      <c r="FQ171" s="184"/>
      <c r="FR171" s="15"/>
      <c r="FS171" s="15"/>
      <c r="FT171" s="15"/>
      <c r="FU171" s="15"/>
      <c r="FV171" s="15"/>
      <c r="FW171" s="178"/>
      <c r="FX171" s="184"/>
      <c r="FY171" s="181"/>
      <c r="FZ171" s="15"/>
      <c r="GA171" s="15"/>
      <c r="GB171" s="15"/>
      <c r="GC171" s="15"/>
      <c r="GD171" s="15"/>
      <c r="GE171" s="184"/>
      <c r="GF171" s="15"/>
      <c r="GG171" s="15"/>
      <c r="GH171" s="15"/>
      <c r="GI171" s="15"/>
      <c r="GJ171" s="15"/>
      <c r="GK171" s="15"/>
      <c r="GL171" s="184"/>
      <c r="GM171" s="15"/>
      <c r="GN171" s="15"/>
      <c r="GO171" s="15"/>
      <c r="GP171" s="15"/>
      <c r="GQ171" s="15"/>
      <c r="GR171" s="15"/>
      <c r="GS171" s="184"/>
      <c r="GT171" s="15"/>
      <c r="GU171" s="15"/>
      <c r="GV171" s="15"/>
      <c r="GW171" s="15"/>
      <c r="GX171" s="15"/>
      <c r="GY171" s="15"/>
      <c r="GZ171" s="184"/>
      <c r="HA171" s="15"/>
      <c r="HB171" s="15"/>
      <c r="HC171" s="15"/>
      <c r="HD171" s="15"/>
      <c r="HE171" s="15"/>
      <c r="HF171" s="15"/>
      <c r="HG171" s="184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  <c r="JT171" s="15"/>
      <c r="JU171" s="15"/>
      <c r="JV171" s="15"/>
      <c r="JW171" s="15"/>
      <c r="JX171" s="15"/>
      <c r="JY171" s="15"/>
      <c r="JZ171" s="15"/>
      <c r="KA171" s="15"/>
      <c r="KB171" s="15"/>
      <c r="KC171" s="15"/>
      <c r="KD171" s="15"/>
      <c r="KE171" s="15"/>
      <c r="KF171" s="15"/>
      <c r="KG171" s="15"/>
      <c r="KH171" s="15"/>
      <c r="KI171" s="15"/>
      <c r="KJ171" s="15"/>
      <c r="KK171" s="15"/>
      <c r="KL171" s="15"/>
      <c r="KM171" s="15"/>
      <c r="KN171" s="15"/>
      <c r="KO171" s="15"/>
      <c r="KP171" s="15"/>
      <c r="KQ171" s="15"/>
      <c r="KR171" s="15"/>
      <c r="KS171" s="15"/>
      <c r="KT171" s="15"/>
      <c r="KU171" s="15"/>
      <c r="KV171" s="15"/>
      <c r="KW171" s="15"/>
      <c r="KX171" s="15"/>
      <c r="KY171" s="15"/>
      <c r="KZ171" s="15"/>
      <c r="LA171" s="15"/>
      <c r="LB171" s="15"/>
      <c r="LC171" s="15"/>
      <c r="LD171" s="15"/>
      <c r="LE171" s="15"/>
      <c r="LF171" s="15"/>
      <c r="LG171" s="15"/>
      <c r="LH171" s="15"/>
      <c r="LI171" s="15"/>
      <c r="LJ171" s="15"/>
      <c r="LK171" s="15"/>
      <c r="LL171" s="15"/>
      <c r="LM171" s="15"/>
      <c r="LN171" s="15"/>
      <c r="LO171" s="15"/>
      <c r="LP171" s="15"/>
      <c r="LQ171" s="15"/>
      <c r="LR171" s="15"/>
      <c r="LS171" s="15"/>
      <c r="LT171" s="15"/>
      <c r="LU171" s="15"/>
      <c r="LV171" s="15"/>
      <c r="LW171" s="15"/>
      <c r="LX171" s="15"/>
      <c r="LY171" s="15"/>
      <c r="LZ171" s="15"/>
      <c r="MA171" s="15"/>
      <c r="MB171" s="15"/>
      <c r="MC171" s="15"/>
      <c r="MD171" s="15"/>
      <c r="ME171" s="15"/>
      <c r="MF171" s="15"/>
      <c r="MG171" s="15"/>
      <c r="MH171" s="15"/>
      <c r="MI171" s="15"/>
      <c r="MJ171" s="15"/>
      <c r="MK171" s="15"/>
      <c r="ML171" s="15"/>
      <c r="MM171" s="15"/>
      <c r="MN171" s="15"/>
      <c r="MO171" s="15"/>
      <c r="MP171" s="15"/>
      <c r="MQ171" s="15"/>
      <c r="MR171" s="15"/>
      <c r="MS171" s="15"/>
      <c r="MT171" s="15"/>
      <c r="MU171" s="15"/>
      <c r="MV171" s="15"/>
      <c r="MW171" s="15"/>
      <c r="MX171" s="15"/>
      <c r="MY171" s="15"/>
      <c r="MZ171" s="15"/>
      <c r="NA171" s="15"/>
      <c r="NB171" s="15"/>
      <c r="NC171" s="15"/>
      <c r="ND171" s="15"/>
      <c r="NE171" s="15"/>
      <c r="NF171" s="15"/>
      <c r="NG171" s="15"/>
      <c r="NH171" s="15"/>
      <c r="NI171" s="15"/>
      <c r="NJ171" s="15"/>
      <c r="NK171" s="15"/>
      <c r="NL171" s="15"/>
      <c r="NM171" s="15"/>
      <c r="NN171" s="15"/>
      <c r="NO171" s="15"/>
      <c r="NP171" s="15"/>
      <c r="NQ171" s="15"/>
      <c r="NR171" s="15"/>
      <c r="NS171" s="15"/>
      <c r="NT171" s="15"/>
      <c r="NU171" s="15"/>
      <c r="NV171" s="15"/>
      <c r="NW171" s="15"/>
      <c r="NX171" s="15"/>
      <c r="NY171" s="15"/>
      <c r="NZ171" s="15"/>
    </row>
    <row r="172" spans="2:390" ht="19.5" customHeight="1" x14ac:dyDescent="0.45">
      <c r="B172" s="1">
        <f t="shared" si="133"/>
        <v>4</v>
      </c>
      <c r="C172" s="1">
        <f t="shared" si="133"/>
        <v>11</v>
      </c>
      <c r="D172" s="1">
        <f t="shared" si="132"/>
        <v>6</v>
      </c>
      <c r="E172" s="91" t="str">
        <f t="shared" si="125"/>
        <v>4.11.6</v>
      </c>
      <c r="F172" s="82" t="s">
        <v>111</v>
      </c>
      <c r="G172" s="82"/>
      <c r="H172" s="83" t="s">
        <v>117</v>
      </c>
      <c r="I172" s="83"/>
      <c r="J172" s="83"/>
      <c r="K172" s="83"/>
      <c r="L172" s="83"/>
      <c r="M172" s="83"/>
      <c r="N172" s="83"/>
      <c r="O172" s="83"/>
      <c r="P172" s="83"/>
      <c r="Q172" s="83"/>
      <c r="R172" s="79"/>
      <c r="S172" s="80"/>
      <c r="T172" s="89" t="str">
        <f>IF(S172&lt;&gt;"",IF(#REF!="x",WORKDAY(IF(WEEKDAY(R172,1)=7,R172+2,IF(WEEKDAY(R172,1)=1,R172+1,R172)),S172-1),R172+S172-1),"")</f>
        <v/>
      </c>
      <c r="U172" s="90"/>
      <c r="V172" s="90"/>
      <c r="W172" s="22"/>
      <c r="X172" s="22"/>
      <c r="Y172" s="22"/>
      <c r="Z172" s="36"/>
      <c r="AA172" s="15"/>
      <c r="AB172" s="15"/>
      <c r="AC172" s="15"/>
      <c r="AD172" s="15"/>
      <c r="AE172" s="15"/>
      <c r="AF172" s="15"/>
      <c r="AG172" s="184"/>
      <c r="AH172" s="15"/>
      <c r="AI172" s="15"/>
      <c r="AJ172" s="15"/>
      <c r="AK172" s="15"/>
      <c r="AL172" s="15"/>
      <c r="AM172" s="15"/>
      <c r="AN172" s="184"/>
      <c r="AO172" s="15"/>
      <c r="AP172" s="15"/>
      <c r="AQ172" s="15"/>
      <c r="AR172" s="15"/>
      <c r="AS172" s="15"/>
      <c r="AT172" s="15"/>
      <c r="AU172" s="184"/>
      <c r="AV172" s="15"/>
      <c r="AW172" s="15"/>
      <c r="AX172" s="15"/>
      <c r="AY172" s="15"/>
      <c r="AZ172" s="15"/>
      <c r="BA172" s="15"/>
      <c r="BB172" s="184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84"/>
      <c r="CE172" s="15"/>
      <c r="CF172" s="15"/>
      <c r="CG172" s="15"/>
      <c r="CH172" s="15"/>
      <c r="CI172" s="15"/>
      <c r="CJ172" s="15"/>
      <c r="CK172" s="184"/>
      <c r="CL172" s="15"/>
      <c r="CM172" s="15"/>
      <c r="CN172" s="15"/>
      <c r="CO172" s="15"/>
      <c r="CP172" s="15"/>
      <c r="CQ172" s="15"/>
      <c r="CR172" s="184"/>
      <c r="CS172" s="15"/>
      <c r="CT172" s="15"/>
      <c r="CU172" s="15"/>
      <c r="CV172" s="15"/>
      <c r="CW172" s="15"/>
      <c r="CX172" s="15"/>
      <c r="CY172" s="184"/>
      <c r="CZ172" s="15"/>
      <c r="DA172" s="15"/>
      <c r="DB172" s="15"/>
      <c r="DC172" s="15"/>
      <c r="DD172" s="15"/>
      <c r="DE172" s="15"/>
      <c r="DF172" s="184"/>
      <c r="DG172" s="15"/>
      <c r="DH172" s="15"/>
      <c r="DI172" s="15"/>
      <c r="DJ172" s="15"/>
      <c r="DK172" s="15"/>
      <c r="DL172" s="15"/>
      <c r="DM172" s="184"/>
      <c r="DN172" s="15"/>
      <c r="DO172" s="15"/>
      <c r="DP172" s="15"/>
      <c r="DQ172" s="15"/>
      <c r="DR172" s="15"/>
      <c r="DS172" s="15"/>
      <c r="DT172" s="184"/>
      <c r="DU172" s="15"/>
      <c r="DV172" s="15"/>
      <c r="DW172" s="15"/>
      <c r="DX172" s="15"/>
      <c r="DY172" s="15"/>
      <c r="DZ172" s="15"/>
      <c r="EA172" s="184"/>
      <c r="EB172" s="15"/>
      <c r="EC172" s="15"/>
      <c r="ED172" s="15"/>
      <c r="EE172" s="15"/>
      <c r="EF172" s="15"/>
      <c r="EG172" s="15"/>
      <c r="EH172" s="184"/>
      <c r="EI172" s="15"/>
      <c r="EJ172" s="15"/>
      <c r="EK172" s="15"/>
      <c r="EL172" s="15"/>
      <c r="EM172" s="15"/>
      <c r="EN172" s="15"/>
      <c r="EO172" s="184"/>
      <c r="EP172" s="15"/>
      <c r="EQ172" s="15"/>
      <c r="ER172" s="15"/>
      <c r="ES172" s="15"/>
      <c r="ET172" s="15"/>
      <c r="EU172" s="15"/>
      <c r="EV172" s="184"/>
      <c r="EW172" s="15"/>
      <c r="EX172" s="15"/>
      <c r="EY172" s="15"/>
      <c r="EZ172" s="15"/>
      <c r="FA172" s="15"/>
      <c r="FB172" s="15"/>
      <c r="FC172" s="184"/>
      <c r="FD172" s="15"/>
      <c r="FE172" s="15"/>
      <c r="FF172" s="15"/>
      <c r="FG172" s="15"/>
      <c r="FH172" s="15"/>
      <c r="FI172" s="15"/>
      <c r="FJ172" s="184"/>
      <c r="FK172" s="15"/>
      <c r="FL172" s="15"/>
      <c r="FM172" s="15"/>
      <c r="FN172" s="15"/>
      <c r="FO172" s="15"/>
      <c r="FP172" s="15"/>
      <c r="FQ172" s="184"/>
      <c r="FR172" s="15"/>
      <c r="FS172" s="15"/>
      <c r="FT172" s="15"/>
      <c r="FU172" s="15"/>
      <c r="FV172" s="15"/>
      <c r="FW172" s="178"/>
      <c r="FX172" s="184"/>
      <c r="FY172" s="181"/>
      <c r="FZ172" s="15"/>
      <c r="GA172" s="15"/>
      <c r="GB172" s="15"/>
      <c r="GC172" s="15"/>
      <c r="GD172" s="15"/>
      <c r="GE172" s="184"/>
      <c r="GF172" s="15"/>
      <c r="GG172" s="15"/>
      <c r="GH172" s="15"/>
      <c r="GI172" s="15"/>
      <c r="GJ172" s="15"/>
      <c r="GK172" s="15"/>
      <c r="GL172" s="184"/>
      <c r="GM172" s="15"/>
      <c r="GN172" s="15"/>
      <c r="GO172" s="15"/>
      <c r="GP172" s="15"/>
      <c r="GQ172" s="15"/>
      <c r="GR172" s="15"/>
      <c r="GS172" s="184"/>
      <c r="GT172" s="15"/>
      <c r="GU172" s="15"/>
      <c r="GV172" s="15"/>
      <c r="GW172" s="15"/>
      <c r="GX172" s="15"/>
      <c r="GY172" s="15"/>
      <c r="GZ172" s="184"/>
      <c r="HA172" s="15"/>
      <c r="HB172" s="15"/>
      <c r="HC172" s="15"/>
      <c r="HD172" s="15"/>
      <c r="HE172" s="15"/>
      <c r="HF172" s="15"/>
      <c r="HG172" s="184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  <c r="JT172" s="15"/>
      <c r="JU172" s="15"/>
      <c r="JV172" s="15"/>
      <c r="JW172" s="15"/>
      <c r="JX172" s="15"/>
      <c r="JY172" s="15"/>
      <c r="JZ172" s="15"/>
      <c r="KA172" s="15"/>
      <c r="KB172" s="15"/>
      <c r="KC172" s="15"/>
      <c r="KD172" s="15"/>
      <c r="KE172" s="15"/>
      <c r="KF172" s="15"/>
      <c r="KG172" s="15"/>
      <c r="KH172" s="15"/>
      <c r="KI172" s="15"/>
      <c r="KJ172" s="15"/>
      <c r="KK172" s="15"/>
      <c r="KL172" s="15"/>
      <c r="KM172" s="15"/>
      <c r="KN172" s="15"/>
      <c r="KO172" s="15"/>
      <c r="KP172" s="15"/>
      <c r="KQ172" s="15"/>
      <c r="KR172" s="15"/>
      <c r="KS172" s="15"/>
      <c r="KT172" s="15"/>
      <c r="KU172" s="15"/>
      <c r="KV172" s="15"/>
      <c r="KW172" s="15"/>
      <c r="KX172" s="15"/>
      <c r="KY172" s="15"/>
      <c r="KZ172" s="15"/>
      <c r="LA172" s="15"/>
      <c r="LB172" s="15"/>
      <c r="LC172" s="15"/>
      <c r="LD172" s="15"/>
      <c r="LE172" s="15"/>
      <c r="LF172" s="15"/>
      <c r="LG172" s="15"/>
      <c r="LH172" s="15"/>
      <c r="LI172" s="15"/>
      <c r="LJ172" s="15"/>
      <c r="LK172" s="15"/>
      <c r="LL172" s="15"/>
      <c r="LM172" s="15"/>
      <c r="LN172" s="15"/>
      <c r="LO172" s="15"/>
      <c r="LP172" s="15"/>
      <c r="LQ172" s="15"/>
      <c r="LR172" s="15"/>
      <c r="LS172" s="15"/>
      <c r="LT172" s="15"/>
      <c r="LU172" s="15"/>
      <c r="LV172" s="15"/>
      <c r="LW172" s="15"/>
      <c r="LX172" s="15"/>
      <c r="LY172" s="15"/>
      <c r="LZ172" s="15"/>
      <c r="MA172" s="15"/>
      <c r="MB172" s="15"/>
      <c r="MC172" s="15"/>
      <c r="MD172" s="15"/>
      <c r="ME172" s="15"/>
      <c r="MF172" s="15"/>
      <c r="MG172" s="15"/>
      <c r="MH172" s="15"/>
      <c r="MI172" s="15"/>
      <c r="MJ172" s="15"/>
      <c r="MK172" s="15"/>
      <c r="ML172" s="15"/>
      <c r="MM172" s="15"/>
      <c r="MN172" s="15"/>
      <c r="MO172" s="15"/>
      <c r="MP172" s="15"/>
      <c r="MQ172" s="15"/>
      <c r="MR172" s="15"/>
      <c r="MS172" s="15"/>
      <c r="MT172" s="15"/>
      <c r="MU172" s="15"/>
      <c r="MV172" s="15"/>
      <c r="MW172" s="15"/>
      <c r="MX172" s="15"/>
      <c r="MY172" s="15"/>
      <c r="MZ172" s="15"/>
      <c r="NA172" s="15"/>
      <c r="NB172" s="15"/>
      <c r="NC172" s="15"/>
      <c r="ND172" s="15"/>
      <c r="NE172" s="15"/>
      <c r="NF172" s="15"/>
      <c r="NG172" s="15"/>
      <c r="NH172" s="15"/>
      <c r="NI172" s="15"/>
      <c r="NJ172" s="15"/>
      <c r="NK172" s="15"/>
      <c r="NL172" s="15"/>
      <c r="NM172" s="15"/>
      <c r="NN172" s="15"/>
      <c r="NO172" s="15"/>
      <c r="NP172" s="15"/>
      <c r="NQ172" s="15"/>
      <c r="NR172" s="15"/>
      <c r="NS172" s="15"/>
      <c r="NT172" s="15"/>
      <c r="NU172" s="15"/>
      <c r="NV172" s="15"/>
      <c r="NW172" s="15"/>
      <c r="NX172" s="15"/>
      <c r="NY172" s="15"/>
      <c r="NZ172" s="15"/>
    </row>
    <row r="173" spans="2:390" ht="19.5" customHeight="1" x14ac:dyDescent="0.45">
      <c r="B173" s="1">
        <f t="shared" si="133"/>
        <v>4</v>
      </c>
      <c r="C173" s="1">
        <f t="shared" si="133"/>
        <v>11</v>
      </c>
      <c r="D173" s="1">
        <f t="shared" si="132"/>
        <v>7</v>
      </c>
      <c r="E173" s="91" t="str">
        <f t="shared" si="125"/>
        <v>4.11.7</v>
      </c>
      <c r="F173" s="82" t="s">
        <v>113</v>
      </c>
      <c r="G173" s="82"/>
      <c r="H173" s="83" t="s">
        <v>117</v>
      </c>
      <c r="I173" s="83"/>
      <c r="J173" s="83"/>
      <c r="K173" s="83"/>
      <c r="L173" s="83"/>
      <c r="M173" s="83"/>
      <c r="N173" s="83"/>
      <c r="O173" s="83"/>
      <c r="P173" s="83"/>
      <c r="Q173" s="83"/>
      <c r="R173" s="79"/>
      <c r="S173" s="80"/>
      <c r="T173" s="89" t="str">
        <f>IF(S173&lt;&gt;"",IF(#REF!="x",WORKDAY(IF(WEEKDAY(R173,1)=7,R173+2,IF(WEEKDAY(R173,1)=1,R173+1,R173)),S173-1),R173+S173-1),"")</f>
        <v/>
      </c>
      <c r="U173" s="90"/>
      <c r="V173" s="90"/>
      <c r="W173" s="22"/>
      <c r="X173" s="22"/>
      <c r="Y173" s="22"/>
      <c r="Z173" s="36"/>
      <c r="AA173" s="15"/>
      <c r="AB173" s="15"/>
      <c r="AC173" s="15"/>
      <c r="AD173" s="15"/>
      <c r="AE173" s="15"/>
      <c r="AF173" s="15"/>
      <c r="AG173" s="184"/>
      <c r="AH173" s="15"/>
      <c r="AI173" s="15"/>
      <c r="AJ173" s="15"/>
      <c r="AK173" s="15"/>
      <c r="AL173" s="15"/>
      <c r="AM173" s="15"/>
      <c r="AN173" s="184"/>
      <c r="AO173" s="15"/>
      <c r="AP173" s="15"/>
      <c r="AQ173" s="15"/>
      <c r="AR173" s="15"/>
      <c r="AS173" s="15"/>
      <c r="AT173" s="15"/>
      <c r="AU173" s="184"/>
      <c r="AV173" s="15"/>
      <c r="AW173" s="15"/>
      <c r="AX173" s="15"/>
      <c r="AY173" s="15"/>
      <c r="AZ173" s="15"/>
      <c r="BA173" s="15"/>
      <c r="BB173" s="184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84"/>
      <c r="CE173" s="15"/>
      <c r="CF173" s="15"/>
      <c r="CG173" s="15"/>
      <c r="CH173" s="15"/>
      <c r="CI173" s="15"/>
      <c r="CJ173" s="15"/>
      <c r="CK173" s="184"/>
      <c r="CL173" s="15"/>
      <c r="CM173" s="15"/>
      <c r="CN173" s="15"/>
      <c r="CO173" s="15"/>
      <c r="CP173" s="15"/>
      <c r="CQ173" s="15"/>
      <c r="CR173" s="184"/>
      <c r="CS173" s="15"/>
      <c r="CT173" s="15"/>
      <c r="CU173" s="15"/>
      <c r="CV173" s="15"/>
      <c r="CW173" s="15"/>
      <c r="CX173" s="15"/>
      <c r="CY173" s="184"/>
      <c r="CZ173" s="15"/>
      <c r="DA173" s="15"/>
      <c r="DB173" s="15"/>
      <c r="DC173" s="15"/>
      <c r="DD173" s="15"/>
      <c r="DE173" s="15"/>
      <c r="DF173" s="184"/>
      <c r="DG173" s="15"/>
      <c r="DH173" s="15"/>
      <c r="DI173" s="15"/>
      <c r="DJ173" s="15"/>
      <c r="DK173" s="15"/>
      <c r="DL173" s="15"/>
      <c r="DM173" s="184"/>
      <c r="DN173" s="15"/>
      <c r="DO173" s="15"/>
      <c r="DP173" s="15"/>
      <c r="DQ173" s="15"/>
      <c r="DR173" s="15"/>
      <c r="DS173" s="15"/>
      <c r="DT173" s="184"/>
      <c r="DU173" s="15"/>
      <c r="DV173" s="15"/>
      <c r="DW173" s="15"/>
      <c r="DX173" s="15"/>
      <c r="DY173" s="15"/>
      <c r="DZ173" s="15"/>
      <c r="EA173" s="184"/>
      <c r="EB173" s="15"/>
      <c r="EC173" s="15"/>
      <c r="ED173" s="15"/>
      <c r="EE173" s="15"/>
      <c r="EF173" s="15"/>
      <c r="EG173" s="15"/>
      <c r="EH173" s="184"/>
      <c r="EI173" s="15"/>
      <c r="EJ173" s="15"/>
      <c r="EK173" s="15"/>
      <c r="EL173" s="15"/>
      <c r="EM173" s="15"/>
      <c r="EN173" s="15"/>
      <c r="EO173" s="184"/>
      <c r="EP173" s="15"/>
      <c r="EQ173" s="15"/>
      <c r="ER173" s="15"/>
      <c r="ES173" s="15"/>
      <c r="ET173" s="15"/>
      <c r="EU173" s="15"/>
      <c r="EV173" s="184"/>
      <c r="EW173" s="15"/>
      <c r="EX173" s="15"/>
      <c r="EY173" s="15"/>
      <c r="EZ173" s="15"/>
      <c r="FA173" s="15"/>
      <c r="FB173" s="15"/>
      <c r="FC173" s="184"/>
      <c r="FD173" s="15"/>
      <c r="FE173" s="15"/>
      <c r="FF173" s="15"/>
      <c r="FG173" s="15"/>
      <c r="FH173" s="15"/>
      <c r="FI173" s="15"/>
      <c r="FJ173" s="184"/>
      <c r="FK173" s="15"/>
      <c r="FL173" s="15"/>
      <c r="FM173" s="15"/>
      <c r="FN173" s="15"/>
      <c r="FO173" s="15"/>
      <c r="FP173" s="15"/>
      <c r="FQ173" s="184"/>
      <c r="FR173" s="15"/>
      <c r="FS173" s="15"/>
      <c r="FT173" s="15"/>
      <c r="FU173" s="15"/>
      <c r="FV173" s="15"/>
      <c r="FW173" s="178"/>
      <c r="FX173" s="184"/>
      <c r="FY173" s="181"/>
      <c r="FZ173" s="15"/>
      <c r="GA173" s="15"/>
      <c r="GB173" s="15"/>
      <c r="GC173" s="15"/>
      <c r="GD173" s="15"/>
      <c r="GE173" s="184"/>
      <c r="GF173" s="15"/>
      <c r="GG173" s="15"/>
      <c r="GH173" s="15"/>
      <c r="GI173" s="15"/>
      <c r="GJ173" s="15"/>
      <c r="GK173" s="15"/>
      <c r="GL173" s="184"/>
      <c r="GM173" s="15"/>
      <c r="GN173" s="15"/>
      <c r="GO173" s="15"/>
      <c r="GP173" s="15"/>
      <c r="GQ173" s="15"/>
      <c r="GR173" s="15"/>
      <c r="GS173" s="184"/>
      <c r="GT173" s="15"/>
      <c r="GU173" s="15"/>
      <c r="GV173" s="15"/>
      <c r="GW173" s="15"/>
      <c r="GX173" s="15"/>
      <c r="GY173" s="15"/>
      <c r="GZ173" s="184"/>
      <c r="HA173" s="15"/>
      <c r="HB173" s="15"/>
      <c r="HC173" s="15"/>
      <c r="HD173" s="15"/>
      <c r="HE173" s="15"/>
      <c r="HF173" s="15"/>
      <c r="HG173" s="184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  <c r="JT173" s="15"/>
      <c r="JU173" s="15"/>
      <c r="JV173" s="15"/>
      <c r="JW173" s="15"/>
      <c r="JX173" s="15"/>
      <c r="JY173" s="15"/>
      <c r="JZ173" s="15"/>
      <c r="KA173" s="15"/>
      <c r="KB173" s="15"/>
      <c r="KC173" s="15"/>
      <c r="KD173" s="15"/>
      <c r="KE173" s="15"/>
      <c r="KF173" s="15"/>
      <c r="KG173" s="15"/>
      <c r="KH173" s="15"/>
      <c r="KI173" s="15"/>
      <c r="KJ173" s="15"/>
      <c r="KK173" s="15"/>
      <c r="KL173" s="15"/>
      <c r="KM173" s="15"/>
      <c r="KN173" s="15"/>
      <c r="KO173" s="15"/>
      <c r="KP173" s="15"/>
      <c r="KQ173" s="15"/>
      <c r="KR173" s="15"/>
      <c r="KS173" s="15"/>
      <c r="KT173" s="15"/>
      <c r="KU173" s="15"/>
      <c r="KV173" s="15"/>
      <c r="KW173" s="15"/>
      <c r="KX173" s="15"/>
      <c r="KY173" s="15"/>
      <c r="KZ173" s="15"/>
      <c r="LA173" s="15"/>
      <c r="LB173" s="15"/>
      <c r="LC173" s="15"/>
      <c r="LD173" s="15"/>
      <c r="LE173" s="15"/>
      <c r="LF173" s="15"/>
      <c r="LG173" s="15"/>
      <c r="LH173" s="15"/>
      <c r="LI173" s="15"/>
      <c r="LJ173" s="15"/>
      <c r="LK173" s="15"/>
      <c r="LL173" s="15"/>
      <c r="LM173" s="15"/>
      <c r="LN173" s="15"/>
      <c r="LO173" s="15"/>
      <c r="LP173" s="15"/>
      <c r="LQ173" s="15"/>
      <c r="LR173" s="15"/>
      <c r="LS173" s="15"/>
      <c r="LT173" s="15"/>
      <c r="LU173" s="15"/>
      <c r="LV173" s="15"/>
      <c r="LW173" s="15"/>
      <c r="LX173" s="15"/>
      <c r="LY173" s="15"/>
      <c r="LZ173" s="15"/>
      <c r="MA173" s="15"/>
      <c r="MB173" s="15"/>
      <c r="MC173" s="15"/>
      <c r="MD173" s="15"/>
      <c r="ME173" s="15"/>
      <c r="MF173" s="15"/>
      <c r="MG173" s="15"/>
      <c r="MH173" s="15"/>
      <c r="MI173" s="15"/>
      <c r="MJ173" s="15"/>
      <c r="MK173" s="15"/>
      <c r="ML173" s="15"/>
      <c r="MM173" s="15"/>
      <c r="MN173" s="15"/>
      <c r="MO173" s="15"/>
      <c r="MP173" s="15"/>
      <c r="MQ173" s="15"/>
      <c r="MR173" s="15"/>
      <c r="MS173" s="15"/>
      <c r="MT173" s="15"/>
      <c r="MU173" s="15"/>
      <c r="MV173" s="15"/>
      <c r="MW173" s="15"/>
      <c r="MX173" s="15"/>
      <c r="MY173" s="15"/>
      <c r="MZ173" s="15"/>
      <c r="NA173" s="15"/>
      <c r="NB173" s="15"/>
      <c r="NC173" s="15"/>
      <c r="ND173" s="15"/>
      <c r="NE173" s="15"/>
      <c r="NF173" s="15"/>
      <c r="NG173" s="15"/>
      <c r="NH173" s="15"/>
      <c r="NI173" s="15"/>
      <c r="NJ173" s="15"/>
      <c r="NK173" s="15"/>
      <c r="NL173" s="15"/>
      <c r="NM173" s="15"/>
      <c r="NN173" s="15"/>
      <c r="NO173" s="15"/>
      <c r="NP173" s="15"/>
      <c r="NQ173" s="15"/>
      <c r="NR173" s="15"/>
      <c r="NS173" s="15"/>
      <c r="NT173" s="15"/>
      <c r="NU173" s="15"/>
      <c r="NV173" s="15"/>
      <c r="NW173" s="15"/>
      <c r="NX173" s="15"/>
      <c r="NY173" s="15"/>
      <c r="NZ173" s="15"/>
    </row>
    <row r="174" spans="2:390" ht="19.5" customHeight="1" x14ac:dyDescent="0.45">
      <c r="B174" s="1">
        <f>+B173</f>
        <v>4</v>
      </c>
      <c r="C174" s="1">
        <f>+C173+1</f>
        <v>12</v>
      </c>
      <c r="D174" s="1">
        <v>0</v>
      </c>
      <c r="E174" s="77" t="str">
        <f t="shared" si="125"/>
        <v>4.12.0</v>
      </c>
      <c r="F174" s="78" t="s">
        <v>135</v>
      </c>
      <c r="G174" s="78"/>
      <c r="H174" s="81"/>
      <c r="I174" s="81"/>
      <c r="J174" s="74"/>
      <c r="K174" s="74"/>
      <c r="L174" s="74"/>
      <c r="M174" s="78"/>
      <c r="N174" s="78"/>
      <c r="O174" s="78"/>
      <c r="P174" s="78"/>
      <c r="Q174" s="78"/>
      <c r="R174" s="79"/>
      <c r="S174" s="80"/>
      <c r="T174" s="89" t="str">
        <f>IF(S174&lt;&gt;"",IF(#REF!="x",WORKDAY(IF(WEEKDAY(R174,1)=7,R174+2,IF(WEEKDAY(R174,1)=1,R174+1,R174)),S174-1),R174+S174-1),"")</f>
        <v/>
      </c>
      <c r="U174" s="90"/>
      <c r="V174" s="90"/>
      <c r="W174" s="22"/>
      <c r="X174" s="22"/>
      <c r="Y174" s="22"/>
      <c r="Z174" s="36"/>
      <c r="AA174" s="15">
        <v>3</v>
      </c>
      <c r="AB174" s="15">
        <v>3</v>
      </c>
      <c r="AC174" s="15">
        <v>3</v>
      </c>
      <c r="AD174" s="15">
        <v>3</v>
      </c>
      <c r="AE174" s="15">
        <v>3</v>
      </c>
      <c r="AF174" s="15">
        <v>3</v>
      </c>
      <c r="AG174" s="184"/>
      <c r="AH174" s="15">
        <v>2</v>
      </c>
      <c r="AI174" s="15">
        <v>2</v>
      </c>
      <c r="AJ174" s="15">
        <v>2</v>
      </c>
      <c r="AK174" s="15">
        <v>2</v>
      </c>
      <c r="AL174" s="15">
        <v>2</v>
      </c>
      <c r="AM174" s="15">
        <v>2</v>
      </c>
      <c r="AN174" s="184"/>
      <c r="AO174" s="15">
        <v>2</v>
      </c>
      <c r="AP174" s="15">
        <v>2</v>
      </c>
      <c r="AQ174" s="15">
        <v>2</v>
      </c>
      <c r="AR174" s="15">
        <v>2</v>
      </c>
      <c r="AS174" s="15">
        <v>2</v>
      </c>
      <c r="AT174" s="15">
        <v>2</v>
      </c>
      <c r="AU174" s="184"/>
      <c r="AV174" s="15">
        <v>2</v>
      </c>
      <c r="AW174" s="15">
        <v>2</v>
      </c>
      <c r="AX174" s="15">
        <v>2</v>
      </c>
      <c r="AY174" s="15">
        <v>2</v>
      </c>
      <c r="AZ174" s="15">
        <v>2</v>
      </c>
      <c r="BA174" s="15">
        <v>2</v>
      </c>
      <c r="BB174" s="184"/>
      <c r="BC174" s="15">
        <v>2</v>
      </c>
      <c r="BD174" s="15">
        <v>2</v>
      </c>
      <c r="BE174" s="15">
        <v>2</v>
      </c>
      <c r="BF174" s="15">
        <v>2</v>
      </c>
      <c r="BG174" s="15">
        <v>2</v>
      </c>
      <c r="BH174" s="15">
        <v>2</v>
      </c>
      <c r="BI174" s="15"/>
      <c r="BJ174" s="15">
        <v>2</v>
      </c>
      <c r="BK174" s="15">
        <v>2</v>
      </c>
      <c r="BL174" s="15">
        <v>2</v>
      </c>
      <c r="BM174" s="15">
        <v>2</v>
      </c>
      <c r="BN174" s="15">
        <v>2</v>
      </c>
      <c r="BO174" s="15">
        <v>2</v>
      </c>
      <c r="BP174" s="15"/>
      <c r="BQ174" s="15">
        <v>2</v>
      </c>
      <c r="BR174" s="15">
        <v>2</v>
      </c>
      <c r="BS174" s="15">
        <v>2</v>
      </c>
      <c r="BT174" s="15">
        <v>2</v>
      </c>
      <c r="BU174" s="15">
        <v>2</v>
      </c>
      <c r="BV174" s="15">
        <v>2</v>
      </c>
      <c r="BW174" s="15"/>
      <c r="BX174" s="15">
        <v>2</v>
      </c>
      <c r="BY174" s="15">
        <v>2</v>
      </c>
      <c r="BZ174" s="15">
        <v>2</v>
      </c>
      <c r="CA174" s="15">
        <v>2</v>
      </c>
      <c r="CB174" s="15">
        <v>2</v>
      </c>
      <c r="CC174" s="15">
        <v>2</v>
      </c>
      <c r="CD174" s="184"/>
      <c r="CE174" s="15">
        <v>2</v>
      </c>
      <c r="CF174" s="15">
        <v>2</v>
      </c>
      <c r="CG174" s="15">
        <v>2</v>
      </c>
      <c r="CH174" s="15">
        <v>2</v>
      </c>
      <c r="CI174" s="15">
        <v>2</v>
      </c>
      <c r="CJ174" s="15">
        <v>2</v>
      </c>
      <c r="CK174" s="184"/>
      <c r="CL174" s="15">
        <v>2</v>
      </c>
      <c r="CM174" s="15">
        <v>2</v>
      </c>
      <c r="CN174" s="15">
        <v>2</v>
      </c>
      <c r="CO174" s="15">
        <v>2</v>
      </c>
      <c r="CP174" s="15">
        <v>2</v>
      </c>
      <c r="CQ174" s="15">
        <v>2</v>
      </c>
      <c r="CR174" s="184"/>
      <c r="CS174" s="15">
        <v>2</v>
      </c>
      <c r="CT174" s="15">
        <v>2</v>
      </c>
      <c r="CU174" s="15">
        <v>2</v>
      </c>
      <c r="CV174" s="15">
        <v>2</v>
      </c>
      <c r="CW174" s="15">
        <v>2</v>
      </c>
      <c r="CX174" s="15">
        <v>2</v>
      </c>
      <c r="CY174" s="184"/>
      <c r="CZ174" s="15">
        <v>2</v>
      </c>
      <c r="DA174" s="15">
        <v>2</v>
      </c>
      <c r="DB174" s="15">
        <v>2</v>
      </c>
      <c r="DC174" s="15">
        <v>2</v>
      </c>
      <c r="DD174" s="15">
        <v>2</v>
      </c>
      <c r="DE174" s="15">
        <v>2</v>
      </c>
      <c r="DF174" s="184"/>
      <c r="DG174" s="15">
        <v>2</v>
      </c>
      <c r="DH174" s="15">
        <v>2</v>
      </c>
      <c r="DI174" s="15">
        <v>2</v>
      </c>
      <c r="DJ174" s="15">
        <v>2</v>
      </c>
      <c r="DK174" s="15">
        <v>2</v>
      </c>
      <c r="DL174" s="15">
        <v>2</v>
      </c>
      <c r="DM174" s="184"/>
      <c r="DN174" s="15">
        <v>2</v>
      </c>
      <c r="DO174" s="15">
        <v>2</v>
      </c>
      <c r="DP174" s="15">
        <v>2</v>
      </c>
      <c r="DQ174" s="15">
        <v>2</v>
      </c>
      <c r="DR174" s="15">
        <v>2</v>
      </c>
      <c r="DS174" s="15">
        <v>2</v>
      </c>
      <c r="DT174" s="184"/>
      <c r="DU174" s="15">
        <v>2</v>
      </c>
      <c r="DV174" s="15">
        <v>2</v>
      </c>
      <c r="DW174" s="15">
        <v>2</v>
      </c>
      <c r="DX174" s="15">
        <v>2</v>
      </c>
      <c r="DY174" s="15">
        <v>2</v>
      </c>
      <c r="DZ174" s="15">
        <v>2</v>
      </c>
      <c r="EA174" s="184"/>
      <c r="EB174" s="15">
        <v>2</v>
      </c>
      <c r="EC174" s="15">
        <v>2</v>
      </c>
      <c r="ED174" s="15">
        <v>2</v>
      </c>
      <c r="EE174" s="15">
        <v>2</v>
      </c>
      <c r="EF174" s="15">
        <v>2</v>
      </c>
      <c r="EG174" s="15">
        <v>2</v>
      </c>
      <c r="EH174" s="184"/>
      <c r="EI174" s="15">
        <v>2</v>
      </c>
      <c r="EJ174" s="15">
        <v>2</v>
      </c>
      <c r="EK174" s="15">
        <v>2</v>
      </c>
      <c r="EL174" s="15">
        <v>2</v>
      </c>
      <c r="EM174" s="15">
        <v>2</v>
      </c>
      <c r="EN174" s="15">
        <v>2</v>
      </c>
      <c r="EO174" s="184"/>
      <c r="EP174" s="15">
        <v>2</v>
      </c>
      <c r="EQ174" s="15">
        <v>2</v>
      </c>
      <c r="ER174" s="15">
        <v>2</v>
      </c>
      <c r="ES174" s="15">
        <v>2</v>
      </c>
      <c r="ET174" s="15">
        <v>2</v>
      </c>
      <c r="EU174" s="15">
        <v>2</v>
      </c>
      <c r="EV174" s="184"/>
      <c r="EW174" s="15">
        <v>2</v>
      </c>
      <c r="EX174" s="15">
        <v>2</v>
      </c>
      <c r="EY174" s="15">
        <v>2</v>
      </c>
      <c r="EZ174" s="15">
        <v>2</v>
      </c>
      <c r="FA174" s="15">
        <v>2</v>
      </c>
      <c r="FB174" s="15">
        <v>2</v>
      </c>
      <c r="FC174" s="184"/>
      <c r="FD174" s="15">
        <v>2</v>
      </c>
      <c r="FE174" s="15">
        <v>2</v>
      </c>
      <c r="FF174" s="15">
        <v>2</v>
      </c>
      <c r="FG174" s="15">
        <v>2</v>
      </c>
      <c r="FH174" s="15">
        <v>2</v>
      </c>
      <c r="FI174" s="15">
        <v>2</v>
      </c>
      <c r="FJ174" s="184"/>
      <c r="FK174" s="15">
        <v>2</v>
      </c>
      <c r="FL174" s="15">
        <v>2</v>
      </c>
      <c r="FM174" s="15">
        <v>2</v>
      </c>
      <c r="FN174" s="15">
        <v>2</v>
      </c>
      <c r="FO174" s="15">
        <v>2</v>
      </c>
      <c r="FP174" s="15">
        <v>2</v>
      </c>
      <c r="FQ174" s="184"/>
      <c r="FR174" s="15">
        <v>2</v>
      </c>
      <c r="FS174" s="15">
        <v>2</v>
      </c>
      <c r="FT174" s="15">
        <v>2</v>
      </c>
      <c r="FU174" s="15">
        <v>2</v>
      </c>
      <c r="FV174" s="15">
        <v>2</v>
      </c>
      <c r="FW174" s="178">
        <v>2</v>
      </c>
      <c r="FX174" s="184"/>
      <c r="FY174" s="181">
        <v>2</v>
      </c>
      <c r="FZ174" s="15">
        <v>2</v>
      </c>
      <c r="GA174" s="15">
        <v>2</v>
      </c>
      <c r="GB174" s="15">
        <v>2</v>
      </c>
      <c r="GC174" s="15">
        <v>2</v>
      </c>
      <c r="GD174" s="15">
        <v>2</v>
      </c>
      <c r="GE174" s="184"/>
      <c r="GF174" s="15">
        <v>2</v>
      </c>
      <c r="GG174" s="15">
        <v>2</v>
      </c>
      <c r="GH174" s="15">
        <v>2</v>
      </c>
      <c r="GI174" s="15">
        <v>2</v>
      </c>
      <c r="GJ174" s="15">
        <v>2</v>
      </c>
      <c r="GK174" s="15">
        <v>2</v>
      </c>
      <c r="GL174" s="184"/>
      <c r="GM174" s="15">
        <v>2</v>
      </c>
      <c r="GN174" s="15">
        <v>2</v>
      </c>
      <c r="GO174" s="15">
        <v>2</v>
      </c>
      <c r="GP174" s="15">
        <v>2</v>
      </c>
      <c r="GQ174" s="15">
        <v>2</v>
      </c>
      <c r="GR174" s="15">
        <v>2</v>
      </c>
      <c r="GS174" s="184"/>
      <c r="GT174" s="15">
        <v>2</v>
      </c>
      <c r="GU174" s="15">
        <v>2</v>
      </c>
      <c r="GV174" s="15">
        <v>2</v>
      </c>
      <c r="GW174" s="15">
        <v>2</v>
      </c>
      <c r="GX174" s="15">
        <v>2</v>
      </c>
      <c r="GY174" s="15">
        <v>2</v>
      </c>
      <c r="GZ174" s="184"/>
      <c r="HA174" s="15">
        <v>2</v>
      </c>
      <c r="HB174" s="15">
        <v>2</v>
      </c>
      <c r="HC174" s="15">
        <v>2</v>
      </c>
      <c r="HD174" s="15">
        <v>2</v>
      </c>
      <c r="HE174" s="15">
        <v>2</v>
      </c>
      <c r="HF174" s="15">
        <v>2</v>
      </c>
      <c r="HG174" s="184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  <c r="JU174" s="15"/>
      <c r="JV174" s="15"/>
      <c r="JW174" s="15"/>
      <c r="JX174" s="15"/>
      <c r="JY174" s="15"/>
      <c r="JZ174" s="15"/>
      <c r="KA174" s="15"/>
      <c r="KB174" s="15"/>
      <c r="KC174" s="15"/>
      <c r="KD174" s="15"/>
      <c r="KE174" s="15"/>
      <c r="KF174" s="15"/>
      <c r="KG174" s="15"/>
      <c r="KH174" s="15"/>
      <c r="KI174" s="15"/>
      <c r="KJ174" s="15"/>
      <c r="KK174" s="15"/>
      <c r="KL174" s="15"/>
      <c r="KM174" s="15"/>
      <c r="KN174" s="15"/>
      <c r="KO174" s="15"/>
      <c r="KP174" s="15"/>
      <c r="KQ174" s="15"/>
      <c r="KR174" s="15"/>
      <c r="KS174" s="15"/>
      <c r="KT174" s="15"/>
      <c r="KU174" s="15"/>
      <c r="KV174" s="15"/>
      <c r="KW174" s="15"/>
      <c r="KX174" s="15"/>
      <c r="KY174" s="15"/>
      <c r="KZ174" s="15"/>
      <c r="LA174" s="15"/>
      <c r="LB174" s="15"/>
      <c r="LC174" s="15"/>
      <c r="LD174" s="15"/>
      <c r="LE174" s="15"/>
      <c r="LF174" s="15"/>
      <c r="LG174" s="15"/>
      <c r="LH174" s="15"/>
      <c r="LI174" s="15"/>
      <c r="LJ174" s="15"/>
      <c r="LK174" s="15"/>
      <c r="LL174" s="15"/>
      <c r="LM174" s="15"/>
      <c r="LN174" s="15"/>
      <c r="LO174" s="15"/>
      <c r="LP174" s="15"/>
      <c r="LQ174" s="15"/>
      <c r="LR174" s="15"/>
      <c r="LS174" s="15"/>
      <c r="LT174" s="15"/>
      <c r="LU174" s="15"/>
      <c r="LV174" s="15"/>
      <c r="LW174" s="15"/>
      <c r="LX174" s="15"/>
      <c r="LY174" s="15"/>
      <c r="LZ174" s="15"/>
      <c r="MA174" s="15"/>
      <c r="MB174" s="15"/>
      <c r="MC174" s="15"/>
      <c r="MD174" s="15"/>
      <c r="ME174" s="15"/>
      <c r="MF174" s="15"/>
      <c r="MG174" s="15"/>
      <c r="MH174" s="15"/>
      <c r="MI174" s="15"/>
      <c r="MJ174" s="15"/>
      <c r="MK174" s="15"/>
      <c r="ML174" s="15"/>
      <c r="MM174" s="15"/>
      <c r="MN174" s="15"/>
      <c r="MO174" s="15"/>
      <c r="MP174" s="15"/>
      <c r="MQ174" s="15"/>
      <c r="MR174" s="15"/>
      <c r="MS174" s="15"/>
      <c r="MT174" s="15"/>
      <c r="MU174" s="15"/>
      <c r="MV174" s="15"/>
      <c r="MW174" s="15"/>
      <c r="MX174" s="15"/>
      <c r="MY174" s="15"/>
      <c r="MZ174" s="15"/>
      <c r="NA174" s="15"/>
      <c r="NB174" s="15"/>
      <c r="NC174" s="15"/>
      <c r="ND174" s="15"/>
      <c r="NE174" s="15"/>
      <c r="NF174" s="15"/>
      <c r="NG174" s="15"/>
      <c r="NH174" s="15"/>
      <c r="NI174" s="15"/>
      <c r="NJ174" s="15"/>
      <c r="NK174" s="15"/>
      <c r="NL174" s="15"/>
      <c r="NM174" s="15"/>
      <c r="NN174" s="15"/>
      <c r="NO174" s="15"/>
      <c r="NP174" s="15"/>
      <c r="NQ174" s="15"/>
      <c r="NR174" s="15"/>
      <c r="NS174" s="15"/>
      <c r="NT174" s="15"/>
      <c r="NU174" s="15"/>
      <c r="NV174" s="15"/>
      <c r="NW174" s="15"/>
      <c r="NX174" s="15"/>
      <c r="NY174" s="15"/>
      <c r="NZ174" s="15"/>
    </row>
    <row r="175" spans="2:390" ht="19.5" customHeight="1" x14ac:dyDescent="0.45">
      <c r="E175" s="59"/>
      <c r="F175" s="23"/>
      <c r="G175" s="23"/>
      <c r="H175" s="52"/>
      <c r="I175" s="52"/>
      <c r="J175" s="23"/>
      <c r="K175" s="23"/>
      <c r="L175" s="23"/>
      <c r="M175" s="23"/>
      <c r="N175" s="23"/>
      <c r="O175" s="23"/>
      <c r="P175" s="23"/>
      <c r="Q175" s="23"/>
      <c r="R175" s="19"/>
      <c r="S175" s="20"/>
      <c r="T175" s="21" t="str">
        <f>IF(S175&lt;&gt;"",IF(#REF!="x",WORKDAY(IF(WEEKDAY(R175,1)=7,R175+2,IF(WEEKDAY(R175,1)=1,R175+1,R175)),S175-1),R175+S175-1),"")</f>
        <v/>
      </c>
      <c r="U175" s="22"/>
      <c r="V175" s="22"/>
      <c r="W175" s="22"/>
      <c r="X175" s="22"/>
      <c r="Y175" s="22"/>
      <c r="Z175" s="36"/>
      <c r="AA175" s="15"/>
      <c r="AB175" s="15"/>
      <c r="AC175" s="15"/>
      <c r="AD175" s="15"/>
      <c r="AE175" s="15"/>
      <c r="AF175" s="15"/>
      <c r="AG175" s="184"/>
      <c r="AH175" s="15"/>
      <c r="AI175" s="15"/>
      <c r="AJ175" s="15"/>
      <c r="AK175" s="15"/>
      <c r="AL175" s="15"/>
      <c r="AM175" s="15"/>
      <c r="AN175" s="184"/>
      <c r="AO175" s="15"/>
      <c r="AP175" s="15"/>
      <c r="AQ175" s="15"/>
      <c r="AR175" s="15"/>
      <c r="AS175" s="15"/>
      <c r="AT175" s="15"/>
      <c r="AU175" s="184"/>
      <c r="AV175" s="15"/>
      <c r="AW175" s="15"/>
      <c r="AX175" s="15"/>
      <c r="AY175" s="15"/>
      <c r="AZ175" s="15"/>
      <c r="BA175" s="15"/>
      <c r="BB175" s="184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84"/>
      <c r="CE175" s="15"/>
      <c r="CF175" s="15"/>
      <c r="CG175" s="15"/>
      <c r="CH175" s="15"/>
      <c r="CI175" s="15"/>
      <c r="CJ175" s="15"/>
      <c r="CK175" s="184"/>
      <c r="CL175" s="15"/>
      <c r="CM175" s="15"/>
      <c r="CN175" s="15"/>
      <c r="CO175" s="15"/>
      <c r="CP175" s="15"/>
      <c r="CQ175" s="15"/>
      <c r="CR175" s="184"/>
      <c r="CS175" s="15"/>
      <c r="CT175" s="15"/>
      <c r="CU175" s="15"/>
      <c r="CV175" s="15"/>
      <c r="CW175" s="15"/>
      <c r="CX175" s="15"/>
      <c r="CY175" s="184"/>
      <c r="CZ175" s="15"/>
      <c r="DA175" s="15"/>
      <c r="DB175" s="15"/>
      <c r="DC175" s="15"/>
      <c r="DD175" s="15"/>
      <c r="DE175" s="15"/>
      <c r="DF175" s="184"/>
      <c r="DG175" s="15"/>
      <c r="DH175" s="15"/>
      <c r="DI175" s="15"/>
      <c r="DJ175" s="15"/>
      <c r="DK175" s="15"/>
      <c r="DL175" s="15"/>
      <c r="DM175" s="184"/>
      <c r="DN175" s="15"/>
      <c r="DO175" s="15"/>
      <c r="DP175" s="15"/>
      <c r="DQ175" s="15"/>
      <c r="DR175" s="15"/>
      <c r="DS175" s="15"/>
      <c r="DT175" s="184"/>
      <c r="DU175" s="15"/>
      <c r="DV175" s="15"/>
      <c r="DW175" s="15"/>
      <c r="DX175" s="15"/>
      <c r="DY175" s="15"/>
      <c r="DZ175" s="15"/>
      <c r="EA175" s="184"/>
      <c r="EB175" s="15"/>
      <c r="EC175" s="15"/>
      <c r="ED175" s="15"/>
      <c r="EE175" s="15"/>
      <c r="EF175" s="15"/>
      <c r="EG175" s="15"/>
      <c r="EH175" s="184"/>
      <c r="EI175" s="15"/>
      <c r="EJ175" s="15"/>
      <c r="EK175" s="15"/>
      <c r="EL175" s="15"/>
      <c r="EM175" s="15"/>
      <c r="EN175" s="15"/>
      <c r="EO175" s="184"/>
      <c r="EP175" s="15"/>
      <c r="EQ175" s="15"/>
      <c r="ER175" s="15"/>
      <c r="ES175" s="15"/>
      <c r="ET175" s="15"/>
      <c r="EU175" s="15"/>
      <c r="EV175" s="184"/>
      <c r="EW175" s="15"/>
      <c r="EX175" s="15"/>
      <c r="EY175" s="15"/>
      <c r="EZ175" s="15"/>
      <c r="FA175" s="15"/>
      <c r="FB175" s="15"/>
      <c r="FC175" s="184"/>
      <c r="FD175" s="15"/>
      <c r="FE175" s="15"/>
      <c r="FF175" s="15"/>
      <c r="FG175" s="15"/>
      <c r="FH175" s="15"/>
      <c r="FI175" s="15"/>
      <c r="FJ175" s="184"/>
      <c r="FK175" s="15"/>
      <c r="FL175" s="15"/>
      <c r="FM175" s="15"/>
      <c r="FN175" s="15"/>
      <c r="FO175" s="15"/>
      <c r="FP175" s="15"/>
      <c r="FQ175" s="184"/>
      <c r="FR175" s="15"/>
      <c r="FS175" s="15"/>
      <c r="FT175" s="15"/>
      <c r="FU175" s="15"/>
      <c r="FV175" s="15"/>
      <c r="FW175" s="178"/>
      <c r="FX175" s="184"/>
      <c r="FY175" s="181"/>
      <c r="FZ175" s="15"/>
      <c r="GA175" s="15"/>
      <c r="GB175" s="15"/>
      <c r="GC175" s="15"/>
      <c r="GD175" s="15"/>
      <c r="GE175" s="184"/>
      <c r="GF175" s="15"/>
      <c r="GG175" s="15"/>
      <c r="GH175" s="15"/>
      <c r="GI175" s="15"/>
      <c r="GJ175" s="15"/>
      <c r="GK175" s="15"/>
      <c r="GL175" s="184"/>
      <c r="GM175" s="15"/>
      <c r="GN175" s="15"/>
      <c r="GO175" s="15"/>
      <c r="GP175" s="15"/>
      <c r="GQ175" s="15"/>
      <c r="GR175" s="15"/>
      <c r="GS175" s="184"/>
      <c r="GT175" s="15"/>
      <c r="GU175" s="15"/>
      <c r="GV175" s="15"/>
      <c r="GW175" s="15"/>
      <c r="GX175" s="15"/>
      <c r="GY175" s="15"/>
      <c r="GZ175" s="184"/>
      <c r="HA175" s="15"/>
      <c r="HB175" s="15"/>
      <c r="HC175" s="15"/>
      <c r="HD175" s="15"/>
      <c r="HE175" s="15"/>
      <c r="HF175" s="15"/>
      <c r="HG175" s="184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  <c r="JU175" s="15"/>
      <c r="JV175" s="15"/>
      <c r="JW175" s="15"/>
      <c r="JX175" s="15"/>
      <c r="JY175" s="15"/>
      <c r="JZ175" s="15"/>
      <c r="KA175" s="15"/>
      <c r="KB175" s="15"/>
      <c r="KC175" s="15"/>
      <c r="KD175" s="15"/>
      <c r="KE175" s="15"/>
      <c r="KF175" s="15"/>
      <c r="KG175" s="15"/>
      <c r="KH175" s="15"/>
      <c r="KI175" s="15"/>
      <c r="KJ175" s="15"/>
      <c r="KK175" s="15"/>
      <c r="KL175" s="15"/>
      <c r="KM175" s="15"/>
      <c r="KN175" s="15"/>
      <c r="KO175" s="15"/>
      <c r="KP175" s="15"/>
      <c r="KQ175" s="15"/>
      <c r="KR175" s="15"/>
      <c r="KS175" s="15"/>
      <c r="KT175" s="15"/>
      <c r="KU175" s="15"/>
      <c r="KV175" s="15"/>
      <c r="KW175" s="15"/>
      <c r="KX175" s="15"/>
      <c r="KY175" s="15"/>
      <c r="KZ175" s="15"/>
      <c r="LA175" s="15"/>
      <c r="LB175" s="15"/>
      <c r="LC175" s="15"/>
      <c r="LD175" s="15"/>
      <c r="LE175" s="15"/>
      <c r="LF175" s="15"/>
      <c r="LG175" s="15"/>
      <c r="LH175" s="15"/>
      <c r="LI175" s="15"/>
      <c r="LJ175" s="15"/>
      <c r="LK175" s="15"/>
      <c r="LL175" s="15"/>
      <c r="LM175" s="15"/>
      <c r="LN175" s="15"/>
      <c r="LO175" s="15"/>
      <c r="LP175" s="15"/>
      <c r="LQ175" s="15"/>
      <c r="LR175" s="15"/>
      <c r="LS175" s="15"/>
      <c r="LT175" s="15"/>
      <c r="LU175" s="15"/>
      <c r="LV175" s="15"/>
      <c r="LW175" s="15"/>
      <c r="LX175" s="15"/>
      <c r="LY175" s="15"/>
      <c r="LZ175" s="15"/>
      <c r="MA175" s="15"/>
      <c r="MB175" s="15"/>
      <c r="MC175" s="15"/>
      <c r="MD175" s="15"/>
      <c r="ME175" s="15"/>
      <c r="MF175" s="15"/>
      <c r="MG175" s="15"/>
      <c r="MH175" s="15"/>
      <c r="MI175" s="15"/>
      <c r="MJ175" s="15"/>
      <c r="MK175" s="15"/>
      <c r="ML175" s="15"/>
      <c r="MM175" s="15"/>
      <c r="MN175" s="15"/>
      <c r="MO175" s="15"/>
      <c r="MP175" s="15"/>
      <c r="MQ175" s="15"/>
      <c r="MR175" s="15"/>
      <c r="MS175" s="15"/>
      <c r="MT175" s="15"/>
      <c r="MU175" s="15"/>
      <c r="MV175" s="15"/>
      <c r="MW175" s="15"/>
      <c r="MX175" s="15"/>
      <c r="MY175" s="15"/>
      <c r="MZ175" s="15"/>
      <c r="NA175" s="15"/>
      <c r="NB175" s="15"/>
      <c r="NC175" s="15"/>
      <c r="ND175" s="15"/>
      <c r="NE175" s="15"/>
      <c r="NF175" s="15"/>
      <c r="NG175" s="15"/>
      <c r="NH175" s="15"/>
      <c r="NI175" s="15"/>
      <c r="NJ175" s="15"/>
      <c r="NK175" s="15"/>
      <c r="NL175" s="15"/>
      <c r="NM175" s="15"/>
      <c r="NN175" s="15"/>
      <c r="NO175" s="15"/>
      <c r="NP175" s="15"/>
      <c r="NQ175" s="15"/>
      <c r="NR175" s="15"/>
      <c r="NS175" s="15"/>
      <c r="NT175" s="15"/>
      <c r="NU175" s="15"/>
      <c r="NV175" s="15"/>
      <c r="NW175" s="15"/>
      <c r="NX175" s="15"/>
      <c r="NY175" s="15"/>
      <c r="NZ175" s="15"/>
    </row>
    <row r="176" spans="2:390" ht="19.5" customHeight="1" x14ac:dyDescent="0.45">
      <c r="E176" s="59"/>
      <c r="F176" s="23"/>
      <c r="G176" s="23"/>
      <c r="H176" s="52"/>
      <c r="I176" s="52"/>
      <c r="J176" s="23"/>
      <c r="K176" s="23"/>
      <c r="L176" s="23"/>
      <c r="M176" s="23"/>
      <c r="N176" s="23"/>
      <c r="O176" s="23"/>
      <c r="P176" s="23"/>
      <c r="Q176" s="23"/>
      <c r="R176" s="19"/>
      <c r="S176" s="20"/>
      <c r="T176" s="21" t="str">
        <f>IF(S176&lt;&gt;"",IF(#REF!="x",WORKDAY(IF(WEEKDAY(R176,1)=7,R176+2,IF(WEEKDAY(R176,1)=1,R176+1,R176)),S176-1),R176+S176-1),"")</f>
        <v/>
      </c>
      <c r="U176" s="22"/>
      <c r="V176" s="22"/>
      <c r="W176" s="22"/>
      <c r="X176" s="22"/>
      <c r="Y176" s="22"/>
      <c r="Z176" s="36"/>
      <c r="AA176" s="15"/>
      <c r="AB176" s="15"/>
      <c r="AC176" s="15"/>
      <c r="AD176" s="15"/>
      <c r="AE176" s="15"/>
      <c r="AF176" s="15"/>
      <c r="AG176" s="184"/>
      <c r="AH176" s="15"/>
      <c r="AI176" s="15"/>
      <c r="AJ176" s="15"/>
      <c r="AK176" s="15"/>
      <c r="AL176" s="15"/>
      <c r="AM176" s="15"/>
      <c r="AN176" s="184"/>
      <c r="AO176" s="15"/>
      <c r="AP176" s="15"/>
      <c r="AQ176" s="15"/>
      <c r="AR176" s="15"/>
      <c r="AS176" s="15"/>
      <c r="AT176" s="15"/>
      <c r="AU176" s="184"/>
      <c r="AV176" s="15"/>
      <c r="AW176" s="15"/>
      <c r="AX176" s="15"/>
      <c r="AY176" s="15"/>
      <c r="AZ176" s="15"/>
      <c r="BA176" s="15"/>
      <c r="BB176" s="184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84"/>
      <c r="CE176" s="15"/>
      <c r="CF176" s="15"/>
      <c r="CG176" s="15"/>
      <c r="CH176" s="15"/>
      <c r="CI176" s="15"/>
      <c r="CJ176" s="15"/>
      <c r="CK176" s="184"/>
      <c r="CL176" s="15"/>
      <c r="CM176" s="15"/>
      <c r="CN176" s="15"/>
      <c r="CO176" s="15"/>
      <c r="CP176" s="15"/>
      <c r="CQ176" s="15"/>
      <c r="CR176" s="184"/>
      <c r="CS176" s="15"/>
      <c r="CT176" s="15"/>
      <c r="CU176" s="15"/>
      <c r="CV176" s="15"/>
      <c r="CW176" s="15"/>
      <c r="CX176" s="15"/>
      <c r="CY176" s="184"/>
      <c r="CZ176" s="15"/>
      <c r="DA176" s="15"/>
      <c r="DB176" s="15"/>
      <c r="DC176" s="15"/>
      <c r="DD176" s="15"/>
      <c r="DE176" s="15"/>
      <c r="DF176" s="184"/>
      <c r="DG176" s="15"/>
      <c r="DH176" s="15"/>
      <c r="DI176" s="15"/>
      <c r="DJ176" s="15"/>
      <c r="DK176" s="15"/>
      <c r="DL176" s="15"/>
      <c r="DM176" s="184"/>
      <c r="DN176" s="15"/>
      <c r="DO176" s="15"/>
      <c r="DP176" s="15"/>
      <c r="DQ176" s="15"/>
      <c r="DR176" s="15"/>
      <c r="DS176" s="15"/>
      <c r="DT176" s="184"/>
      <c r="DU176" s="15"/>
      <c r="DV176" s="15"/>
      <c r="DW176" s="15"/>
      <c r="DX176" s="15"/>
      <c r="DY176" s="15"/>
      <c r="DZ176" s="15"/>
      <c r="EA176" s="184"/>
      <c r="EB176" s="15"/>
      <c r="EC176" s="15"/>
      <c r="ED176" s="15"/>
      <c r="EE176" s="15"/>
      <c r="EF176" s="15"/>
      <c r="EG176" s="15"/>
      <c r="EH176" s="184"/>
      <c r="EI176" s="15"/>
      <c r="EJ176" s="15"/>
      <c r="EK176" s="15"/>
      <c r="EL176" s="15"/>
      <c r="EM176" s="15"/>
      <c r="EN176" s="15"/>
      <c r="EO176" s="184"/>
      <c r="EP176" s="15"/>
      <c r="EQ176" s="15"/>
      <c r="ER176" s="15"/>
      <c r="ES176" s="15"/>
      <c r="ET176" s="15"/>
      <c r="EU176" s="15"/>
      <c r="EV176" s="184"/>
      <c r="EW176" s="15"/>
      <c r="EX176" s="15"/>
      <c r="EY176" s="15"/>
      <c r="EZ176" s="15"/>
      <c r="FA176" s="15"/>
      <c r="FB176" s="15"/>
      <c r="FC176" s="184"/>
      <c r="FD176" s="15"/>
      <c r="FE176" s="15"/>
      <c r="FF176" s="15"/>
      <c r="FG176" s="15"/>
      <c r="FH176" s="15"/>
      <c r="FI176" s="15"/>
      <c r="FJ176" s="184"/>
      <c r="FK176" s="15"/>
      <c r="FL176" s="15"/>
      <c r="FM176" s="15"/>
      <c r="FN176" s="15"/>
      <c r="FO176" s="15"/>
      <c r="FP176" s="15"/>
      <c r="FQ176" s="184"/>
      <c r="FR176" s="15"/>
      <c r="FS176" s="15"/>
      <c r="FT176" s="15"/>
      <c r="FU176" s="15"/>
      <c r="FV176" s="15"/>
      <c r="FW176" s="178"/>
      <c r="FX176" s="184"/>
      <c r="FY176" s="181"/>
      <c r="FZ176" s="15"/>
      <c r="GA176" s="15"/>
      <c r="GB176" s="15"/>
      <c r="GC176" s="15"/>
      <c r="GD176" s="15"/>
      <c r="GE176" s="184"/>
      <c r="GF176" s="15"/>
      <c r="GG176" s="15"/>
      <c r="GH176" s="15"/>
      <c r="GI176" s="15"/>
      <c r="GJ176" s="15"/>
      <c r="GK176" s="15"/>
      <c r="GL176" s="184"/>
      <c r="GM176" s="15"/>
      <c r="GN176" s="15"/>
      <c r="GO176" s="15"/>
      <c r="GP176" s="15"/>
      <c r="GQ176" s="15"/>
      <c r="GR176" s="15"/>
      <c r="GS176" s="184"/>
      <c r="GT176" s="15"/>
      <c r="GU176" s="15"/>
      <c r="GV176" s="15"/>
      <c r="GW176" s="15"/>
      <c r="GX176" s="15"/>
      <c r="GY176" s="15"/>
      <c r="GZ176" s="184"/>
      <c r="HA176" s="15"/>
      <c r="HB176" s="15"/>
      <c r="HC176" s="15"/>
      <c r="HD176" s="15"/>
      <c r="HE176" s="15"/>
      <c r="HF176" s="15"/>
      <c r="HG176" s="184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  <c r="JU176" s="15"/>
      <c r="JV176" s="15"/>
      <c r="JW176" s="15"/>
      <c r="JX176" s="15"/>
      <c r="JY176" s="15"/>
      <c r="JZ176" s="15"/>
      <c r="KA176" s="15"/>
      <c r="KB176" s="15"/>
      <c r="KC176" s="15"/>
      <c r="KD176" s="15"/>
      <c r="KE176" s="15"/>
      <c r="KF176" s="15"/>
      <c r="KG176" s="15"/>
      <c r="KH176" s="15"/>
      <c r="KI176" s="15"/>
      <c r="KJ176" s="15"/>
      <c r="KK176" s="15"/>
      <c r="KL176" s="15"/>
      <c r="KM176" s="15"/>
      <c r="KN176" s="15"/>
      <c r="KO176" s="15"/>
      <c r="KP176" s="15"/>
      <c r="KQ176" s="15"/>
      <c r="KR176" s="15"/>
      <c r="KS176" s="15"/>
      <c r="KT176" s="15"/>
      <c r="KU176" s="15"/>
      <c r="KV176" s="15"/>
      <c r="KW176" s="15"/>
      <c r="KX176" s="15"/>
      <c r="KY176" s="15"/>
      <c r="KZ176" s="15"/>
      <c r="LA176" s="15"/>
      <c r="LB176" s="15"/>
      <c r="LC176" s="15"/>
      <c r="LD176" s="15"/>
      <c r="LE176" s="15"/>
      <c r="LF176" s="15"/>
      <c r="LG176" s="15"/>
      <c r="LH176" s="15"/>
      <c r="LI176" s="15"/>
      <c r="LJ176" s="15"/>
      <c r="LK176" s="15"/>
      <c r="LL176" s="15"/>
      <c r="LM176" s="15"/>
      <c r="LN176" s="15"/>
      <c r="LO176" s="15"/>
      <c r="LP176" s="15"/>
      <c r="LQ176" s="15"/>
      <c r="LR176" s="15"/>
      <c r="LS176" s="15"/>
      <c r="LT176" s="15"/>
      <c r="LU176" s="15"/>
      <c r="LV176" s="15"/>
      <c r="LW176" s="15"/>
      <c r="LX176" s="15"/>
      <c r="LY176" s="15"/>
      <c r="LZ176" s="15"/>
      <c r="MA176" s="15"/>
      <c r="MB176" s="15"/>
      <c r="MC176" s="15"/>
      <c r="MD176" s="15"/>
      <c r="ME176" s="15"/>
      <c r="MF176" s="15"/>
      <c r="MG176" s="15"/>
      <c r="MH176" s="15"/>
      <c r="MI176" s="15"/>
      <c r="MJ176" s="15"/>
      <c r="MK176" s="15"/>
      <c r="ML176" s="15"/>
      <c r="MM176" s="15"/>
      <c r="MN176" s="15"/>
      <c r="MO176" s="15"/>
      <c r="MP176" s="15"/>
      <c r="MQ176" s="15"/>
      <c r="MR176" s="15"/>
      <c r="MS176" s="15"/>
      <c r="MT176" s="15"/>
      <c r="MU176" s="15"/>
      <c r="MV176" s="15"/>
      <c r="MW176" s="15"/>
      <c r="MX176" s="15"/>
      <c r="MY176" s="15"/>
      <c r="MZ176" s="15"/>
      <c r="NA176" s="15"/>
      <c r="NB176" s="15"/>
      <c r="NC176" s="15"/>
      <c r="ND176" s="15"/>
      <c r="NE176" s="15"/>
      <c r="NF176" s="15"/>
      <c r="NG176" s="15"/>
      <c r="NH176" s="15"/>
      <c r="NI176" s="15"/>
      <c r="NJ176" s="15"/>
      <c r="NK176" s="15"/>
      <c r="NL176" s="15"/>
      <c r="NM176" s="15"/>
      <c r="NN176" s="15"/>
      <c r="NO176" s="15"/>
      <c r="NP176" s="15"/>
      <c r="NQ176" s="15"/>
      <c r="NR176" s="15"/>
      <c r="NS176" s="15"/>
      <c r="NT176" s="15"/>
      <c r="NU176" s="15"/>
      <c r="NV176" s="15"/>
      <c r="NW176" s="15"/>
      <c r="NX176" s="15"/>
      <c r="NY176" s="15"/>
      <c r="NZ176" s="15"/>
    </row>
    <row r="177" spans="5:390" ht="19.5" customHeight="1" x14ac:dyDescent="0.45">
      <c r="E177" s="59"/>
      <c r="F177" s="23"/>
      <c r="G177" s="23"/>
      <c r="H177" s="52"/>
      <c r="I177" s="52"/>
      <c r="J177" s="23"/>
      <c r="K177" s="23"/>
      <c r="L177" s="23"/>
      <c r="M177" s="23"/>
      <c r="N177" s="23"/>
      <c r="O177" s="23"/>
      <c r="P177" s="23"/>
      <c r="Q177" s="23"/>
      <c r="R177" s="19"/>
      <c r="S177" s="20"/>
      <c r="T177" s="21" t="str">
        <f>IF(S177&lt;&gt;"",IF(#REF!="x",WORKDAY(IF(WEEKDAY(R177,1)=7,R177+2,IF(WEEKDAY(R177,1)=1,R177+1,R177)),S177-1),R177+S177-1),"")</f>
        <v/>
      </c>
      <c r="U177" s="22"/>
      <c r="V177" s="22"/>
      <c r="W177" s="22"/>
      <c r="X177" s="22"/>
      <c r="Y177" s="22"/>
      <c r="Z177" s="36"/>
      <c r="AA177" s="15"/>
      <c r="AB177" s="15"/>
      <c r="AC177" s="15"/>
      <c r="AD177" s="15"/>
      <c r="AE177" s="15"/>
      <c r="AF177" s="15"/>
      <c r="AG177" s="184"/>
      <c r="AH177" s="15"/>
      <c r="AI177" s="15"/>
      <c r="AJ177" s="15"/>
      <c r="AK177" s="15"/>
      <c r="AL177" s="15"/>
      <c r="AM177" s="15"/>
      <c r="AN177" s="184"/>
      <c r="AO177" s="15"/>
      <c r="AP177" s="15"/>
      <c r="AQ177" s="15"/>
      <c r="AR177" s="15"/>
      <c r="AS177" s="15"/>
      <c r="AT177" s="15"/>
      <c r="AU177" s="184"/>
      <c r="AV177" s="15"/>
      <c r="AW177" s="15"/>
      <c r="AX177" s="15"/>
      <c r="AY177" s="15"/>
      <c r="AZ177" s="15"/>
      <c r="BA177" s="15"/>
      <c r="BB177" s="184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84"/>
      <c r="CE177" s="15"/>
      <c r="CF177" s="15"/>
      <c r="CG177" s="15"/>
      <c r="CH177" s="15"/>
      <c r="CI177" s="15"/>
      <c r="CJ177" s="15"/>
      <c r="CK177" s="184"/>
      <c r="CL177" s="15"/>
      <c r="CM177" s="15"/>
      <c r="CN177" s="15"/>
      <c r="CO177" s="15"/>
      <c r="CP177" s="15"/>
      <c r="CQ177" s="15"/>
      <c r="CR177" s="184"/>
      <c r="CS177" s="15"/>
      <c r="CT177" s="15"/>
      <c r="CU177" s="15"/>
      <c r="CV177" s="15"/>
      <c r="CW177" s="15"/>
      <c r="CX177" s="15"/>
      <c r="CY177" s="184"/>
      <c r="CZ177" s="15"/>
      <c r="DA177" s="15"/>
      <c r="DB177" s="15"/>
      <c r="DC177" s="15"/>
      <c r="DD177" s="15"/>
      <c r="DE177" s="15"/>
      <c r="DF177" s="184"/>
      <c r="DG177" s="15"/>
      <c r="DH177" s="15"/>
      <c r="DI177" s="15"/>
      <c r="DJ177" s="15"/>
      <c r="DK177" s="15"/>
      <c r="DL177" s="15"/>
      <c r="DM177" s="184"/>
      <c r="DN177" s="15"/>
      <c r="DO177" s="15"/>
      <c r="DP177" s="15"/>
      <c r="DQ177" s="15"/>
      <c r="DR177" s="15"/>
      <c r="DS177" s="15"/>
      <c r="DT177" s="184"/>
      <c r="DU177" s="15"/>
      <c r="DV177" s="15"/>
      <c r="DW177" s="15"/>
      <c r="DX177" s="15"/>
      <c r="DY177" s="15"/>
      <c r="DZ177" s="15"/>
      <c r="EA177" s="184"/>
      <c r="EB177" s="15"/>
      <c r="EC177" s="15"/>
      <c r="ED177" s="15"/>
      <c r="EE177" s="15"/>
      <c r="EF177" s="15"/>
      <c r="EG177" s="15"/>
      <c r="EH177" s="184"/>
      <c r="EI177" s="15"/>
      <c r="EJ177" s="15"/>
      <c r="EK177" s="15"/>
      <c r="EL177" s="15"/>
      <c r="EM177" s="15"/>
      <c r="EN177" s="15"/>
      <c r="EO177" s="184"/>
      <c r="EP177" s="15"/>
      <c r="EQ177" s="15"/>
      <c r="ER177" s="15"/>
      <c r="ES177" s="15"/>
      <c r="ET177" s="15"/>
      <c r="EU177" s="15"/>
      <c r="EV177" s="184"/>
      <c r="EW177" s="15"/>
      <c r="EX177" s="15"/>
      <c r="EY177" s="15"/>
      <c r="EZ177" s="15"/>
      <c r="FA177" s="15"/>
      <c r="FB177" s="15"/>
      <c r="FC177" s="184"/>
      <c r="FD177" s="15"/>
      <c r="FE177" s="15"/>
      <c r="FF177" s="15"/>
      <c r="FG177" s="15"/>
      <c r="FH177" s="15"/>
      <c r="FI177" s="15"/>
      <c r="FJ177" s="184"/>
      <c r="FK177" s="15"/>
      <c r="FL177" s="15"/>
      <c r="FM177" s="15"/>
      <c r="FN177" s="15"/>
      <c r="FO177" s="15"/>
      <c r="FP177" s="15"/>
      <c r="FQ177" s="184"/>
      <c r="FR177" s="15"/>
      <c r="FS177" s="15"/>
      <c r="FT177" s="15"/>
      <c r="FU177" s="15"/>
      <c r="FV177" s="15"/>
      <c r="FW177" s="178"/>
      <c r="FX177" s="184"/>
      <c r="FY177" s="181"/>
      <c r="FZ177" s="15"/>
      <c r="GA177" s="15"/>
      <c r="GB177" s="15"/>
      <c r="GC177" s="15"/>
      <c r="GD177" s="15"/>
      <c r="GE177" s="184"/>
      <c r="GF177" s="15"/>
      <c r="GG177" s="15"/>
      <c r="GH177" s="15"/>
      <c r="GI177" s="15"/>
      <c r="GJ177" s="15"/>
      <c r="GK177" s="15"/>
      <c r="GL177" s="184"/>
      <c r="GM177" s="15"/>
      <c r="GN177" s="15"/>
      <c r="GO177" s="15"/>
      <c r="GP177" s="15"/>
      <c r="GQ177" s="15"/>
      <c r="GR177" s="15"/>
      <c r="GS177" s="184"/>
      <c r="GT177" s="15"/>
      <c r="GU177" s="15"/>
      <c r="GV177" s="15"/>
      <c r="GW177" s="15"/>
      <c r="GX177" s="15"/>
      <c r="GY177" s="15"/>
      <c r="GZ177" s="184"/>
      <c r="HA177" s="15"/>
      <c r="HB177" s="15"/>
      <c r="HC177" s="15"/>
      <c r="HD177" s="15"/>
      <c r="HE177" s="15"/>
      <c r="HF177" s="15"/>
      <c r="HG177" s="184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  <c r="JU177" s="15"/>
      <c r="JV177" s="15"/>
      <c r="JW177" s="15"/>
      <c r="JX177" s="15"/>
      <c r="JY177" s="15"/>
      <c r="JZ177" s="15"/>
      <c r="KA177" s="15"/>
      <c r="KB177" s="15"/>
      <c r="KC177" s="15"/>
      <c r="KD177" s="15"/>
      <c r="KE177" s="15"/>
      <c r="KF177" s="15"/>
      <c r="KG177" s="15"/>
      <c r="KH177" s="15"/>
      <c r="KI177" s="15"/>
      <c r="KJ177" s="15"/>
      <c r="KK177" s="15"/>
      <c r="KL177" s="15"/>
      <c r="KM177" s="15"/>
      <c r="KN177" s="15"/>
      <c r="KO177" s="15"/>
      <c r="KP177" s="15"/>
      <c r="KQ177" s="15"/>
      <c r="KR177" s="15"/>
      <c r="KS177" s="15"/>
      <c r="KT177" s="15"/>
      <c r="KU177" s="15"/>
      <c r="KV177" s="15"/>
      <c r="KW177" s="15"/>
      <c r="KX177" s="15"/>
      <c r="KY177" s="15"/>
      <c r="KZ177" s="15"/>
      <c r="LA177" s="15"/>
      <c r="LB177" s="15"/>
      <c r="LC177" s="15"/>
      <c r="LD177" s="15"/>
      <c r="LE177" s="15"/>
      <c r="LF177" s="15"/>
      <c r="LG177" s="15"/>
      <c r="LH177" s="15"/>
      <c r="LI177" s="15"/>
      <c r="LJ177" s="15"/>
      <c r="LK177" s="15"/>
      <c r="LL177" s="15"/>
      <c r="LM177" s="15"/>
      <c r="LN177" s="15"/>
      <c r="LO177" s="15"/>
      <c r="LP177" s="15"/>
      <c r="LQ177" s="15"/>
      <c r="LR177" s="15"/>
      <c r="LS177" s="15"/>
      <c r="LT177" s="15"/>
      <c r="LU177" s="15"/>
      <c r="LV177" s="15"/>
      <c r="LW177" s="15"/>
      <c r="LX177" s="15"/>
      <c r="LY177" s="15"/>
      <c r="LZ177" s="15"/>
      <c r="MA177" s="15"/>
      <c r="MB177" s="15"/>
      <c r="MC177" s="15"/>
      <c r="MD177" s="15"/>
      <c r="ME177" s="15"/>
      <c r="MF177" s="15"/>
      <c r="MG177" s="15"/>
      <c r="MH177" s="15"/>
      <c r="MI177" s="15"/>
      <c r="MJ177" s="15"/>
      <c r="MK177" s="15"/>
      <c r="ML177" s="15"/>
      <c r="MM177" s="15"/>
      <c r="MN177" s="15"/>
      <c r="MO177" s="15"/>
      <c r="MP177" s="15"/>
      <c r="MQ177" s="15"/>
      <c r="MR177" s="15"/>
      <c r="MS177" s="15"/>
      <c r="MT177" s="15"/>
      <c r="MU177" s="15"/>
      <c r="MV177" s="15"/>
      <c r="MW177" s="15"/>
      <c r="MX177" s="15"/>
      <c r="MY177" s="15"/>
      <c r="MZ177" s="15"/>
      <c r="NA177" s="15"/>
      <c r="NB177" s="15"/>
      <c r="NC177" s="15"/>
      <c r="ND177" s="15"/>
      <c r="NE177" s="15"/>
      <c r="NF177" s="15"/>
      <c r="NG177" s="15"/>
      <c r="NH177" s="15"/>
      <c r="NI177" s="15"/>
      <c r="NJ177" s="15"/>
      <c r="NK177" s="15"/>
      <c r="NL177" s="15"/>
      <c r="NM177" s="15"/>
      <c r="NN177" s="15"/>
      <c r="NO177" s="15"/>
      <c r="NP177" s="15"/>
      <c r="NQ177" s="15"/>
      <c r="NR177" s="15"/>
      <c r="NS177" s="15"/>
      <c r="NT177" s="15"/>
      <c r="NU177" s="15"/>
      <c r="NV177" s="15"/>
      <c r="NW177" s="15"/>
      <c r="NX177" s="15"/>
      <c r="NY177" s="15"/>
      <c r="NZ177" s="15"/>
    </row>
    <row r="178" spans="5:390" ht="30" customHeight="1" x14ac:dyDescent="0.45">
      <c r="E178" s="29"/>
      <c r="F178" s="31"/>
      <c r="G178" s="31"/>
      <c r="H178" s="72"/>
      <c r="I178" s="72"/>
      <c r="J178" s="31"/>
      <c r="K178" s="31"/>
      <c r="L178" s="31"/>
      <c r="M178" s="31"/>
      <c r="N178" s="31"/>
      <c r="O178" s="31"/>
      <c r="P178" s="31"/>
      <c r="Q178" s="31"/>
      <c r="R178" s="19"/>
      <c r="S178" s="20"/>
      <c r="T178" s="21"/>
      <c r="U178" s="22"/>
      <c r="V178" s="22"/>
      <c r="W178" s="22"/>
      <c r="X178" s="22"/>
      <c r="Y178" s="22"/>
      <c r="Z178" s="36"/>
      <c r="AA178" s="15"/>
      <c r="AB178" s="15"/>
      <c r="AC178" s="15"/>
      <c r="AD178" s="15"/>
      <c r="AE178" s="15"/>
      <c r="AF178" s="15"/>
      <c r="AG178" s="184"/>
      <c r="AH178" s="15"/>
      <c r="AI178" s="15"/>
      <c r="AJ178" s="15"/>
      <c r="AK178" s="15"/>
      <c r="AL178" s="15"/>
      <c r="AM178" s="15"/>
      <c r="AN178" s="184"/>
      <c r="AO178" s="15"/>
      <c r="AP178" s="15"/>
      <c r="AQ178" s="15"/>
      <c r="AR178" s="15"/>
      <c r="AS178" s="15"/>
      <c r="AT178" s="15"/>
      <c r="AU178" s="184"/>
      <c r="AV178" s="15"/>
      <c r="AW178" s="15"/>
      <c r="AX178" s="15"/>
      <c r="AY178" s="15"/>
      <c r="AZ178" s="15"/>
      <c r="BA178" s="15"/>
      <c r="BB178" s="184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84"/>
      <c r="CE178" s="15"/>
      <c r="CF178" s="15"/>
      <c r="CG178" s="15"/>
      <c r="CH178" s="15"/>
      <c r="CI178" s="15"/>
      <c r="CJ178" s="15"/>
      <c r="CK178" s="184"/>
      <c r="CL178" s="15"/>
      <c r="CM178" s="15"/>
      <c r="CN178" s="15"/>
      <c r="CO178" s="15"/>
      <c r="CP178" s="15"/>
      <c r="CQ178" s="15"/>
      <c r="CR178" s="184"/>
      <c r="CS178" s="15"/>
      <c r="CT178" s="15"/>
      <c r="CU178" s="15"/>
      <c r="CV178" s="15"/>
      <c r="CW178" s="15"/>
      <c r="CX178" s="15"/>
      <c r="CY178" s="184"/>
      <c r="CZ178" s="15"/>
      <c r="DA178" s="15"/>
      <c r="DB178" s="15"/>
      <c r="DC178" s="15"/>
      <c r="DD178" s="15"/>
      <c r="DE178" s="15"/>
      <c r="DF178" s="184"/>
      <c r="DG178" s="15"/>
      <c r="DH178" s="15"/>
      <c r="DI178" s="15"/>
      <c r="DJ178" s="15"/>
      <c r="DK178" s="15"/>
      <c r="DL178" s="15"/>
      <c r="DM178" s="184"/>
      <c r="DN178" s="15"/>
      <c r="DO178" s="15"/>
      <c r="DP178" s="15"/>
      <c r="DQ178" s="15"/>
      <c r="DR178" s="15"/>
      <c r="DS178" s="15"/>
      <c r="DT178" s="184"/>
      <c r="DU178" s="15"/>
      <c r="DV178" s="15"/>
      <c r="DW178" s="15"/>
      <c r="DX178" s="15"/>
      <c r="DY178" s="15"/>
      <c r="DZ178" s="15"/>
      <c r="EA178" s="184"/>
      <c r="EB178" s="15"/>
      <c r="EC178" s="15"/>
      <c r="ED178" s="15"/>
      <c r="EE178" s="15"/>
      <c r="EF178" s="15"/>
      <c r="EG178" s="15"/>
      <c r="EH178" s="184"/>
      <c r="EI178" s="15"/>
      <c r="EJ178" s="15"/>
      <c r="EK178" s="15"/>
      <c r="EL178" s="15"/>
      <c r="EM178" s="15"/>
      <c r="EN178" s="15"/>
      <c r="EO178" s="184"/>
      <c r="EP178" s="15"/>
      <c r="EQ178" s="15"/>
      <c r="ER178" s="15"/>
      <c r="ES178" s="15"/>
      <c r="ET178" s="15"/>
      <c r="EU178" s="15"/>
      <c r="EV178" s="184"/>
      <c r="EW178" s="15"/>
      <c r="EX178" s="15"/>
      <c r="EY178" s="15"/>
      <c r="EZ178" s="15"/>
      <c r="FA178" s="15"/>
      <c r="FB178" s="15"/>
      <c r="FC178" s="184"/>
      <c r="FD178" s="15"/>
      <c r="FE178" s="15"/>
      <c r="FF178" s="15"/>
      <c r="FG178" s="15"/>
      <c r="FH178" s="15"/>
      <c r="FI178" s="15"/>
      <c r="FJ178" s="184"/>
      <c r="FK178" s="15"/>
      <c r="FL178" s="15"/>
      <c r="FM178" s="15"/>
      <c r="FN178" s="15"/>
      <c r="FO178" s="15"/>
      <c r="FP178" s="15"/>
      <c r="FQ178" s="184"/>
      <c r="FR178" s="15"/>
      <c r="FS178" s="15"/>
      <c r="FT178" s="15"/>
      <c r="FU178" s="15"/>
      <c r="FV178" s="15"/>
      <c r="FW178" s="178"/>
      <c r="FX178" s="184"/>
      <c r="FY178" s="181"/>
      <c r="FZ178" s="15"/>
      <c r="GA178" s="15"/>
      <c r="GB178" s="15"/>
      <c r="GC178" s="15"/>
      <c r="GD178" s="15"/>
      <c r="GE178" s="184"/>
      <c r="GF178" s="15"/>
      <c r="GG178" s="15"/>
      <c r="GH178" s="15"/>
      <c r="GI178" s="15"/>
      <c r="GJ178" s="15"/>
      <c r="GK178" s="15"/>
      <c r="GL178" s="184"/>
      <c r="GM178" s="15"/>
      <c r="GN178" s="15"/>
      <c r="GO178" s="15"/>
      <c r="GP178" s="15"/>
      <c r="GQ178" s="15"/>
      <c r="GR178" s="15"/>
      <c r="GS178" s="184"/>
      <c r="GT178" s="15"/>
      <c r="GU178" s="15"/>
      <c r="GV178" s="15"/>
      <c r="GW178" s="15"/>
      <c r="GX178" s="15"/>
      <c r="GY178" s="15"/>
      <c r="GZ178" s="184"/>
      <c r="HA178" s="15"/>
      <c r="HB178" s="15"/>
      <c r="HC178" s="15"/>
      <c r="HD178" s="15"/>
      <c r="HE178" s="15"/>
      <c r="HF178" s="15"/>
      <c r="HG178" s="184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  <c r="JU178" s="15"/>
      <c r="JV178" s="15"/>
      <c r="JW178" s="15"/>
      <c r="JX178" s="15"/>
      <c r="JY178" s="15"/>
      <c r="JZ178" s="15"/>
      <c r="KA178" s="15"/>
      <c r="KB178" s="15"/>
      <c r="KC178" s="15"/>
      <c r="KD178" s="15"/>
      <c r="KE178" s="15"/>
      <c r="KF178" s="15"/>
      <c r="KG178" s="15"/>
      <c r="KH178" s="15"/>
      <c r="KI178" s="15"/>
      <c r="KJ178" s="15"/>
      <c r="KK178" s="15"/>
      <c r="KL178" s="15"/>
      <c r="KM178" s="15"/>
      <c r="KN178" s="15"/>
      <c r="KO178" s="15"/>
      <c r="KP178" s="15"/>
      <c r="KQ178" s="15"/>
      <c r="KR178" s="15"/>
      <c r="KS178" s="15"/>
      <c r="KT178" s="15"/>
      <c r="KU178" s="15"/>
      <c r="KV178" s="15"/>
      <c r="KW178" s="15"/>
      <c r="KX178" s="15"/>
      <c r="KY178" s="15"/>
      <c r="KZ178" s="15"/>
      <c r="LA178" s="15"/>
      <c r="LB178" s="15"/>
      <c r="LC178" s="15"/>
      <c r="LD178" s="15"/>
      <c r="LE178" s="15"/>
      <c r="LF178" s="15"/>
      <c r="LG178" s="15"/>
      <c r="LH178" s="15"/>
      <c r="LI178" s="15"/>
      <c r="LJ178" s="15"/>
      <c r="LK178" s="15"/>
      <c r="LL178" s="15"/>
      <c r="LM178" s="15"/>
      <c r="LN178" s="15"/>
      <c r="LO178" s="15"/>
      <c r="LP178" s="15"/>
      <c r="LQ178" s="15"/>
      <c r="LR178" s="15"/>
      <c r="LS178" s="15"/>
      <c r="LT178" s="15"/>
      <c r="LU178" s="15"/>
      <c r="LV178" s="15"/>
      <c r="LW178" s="15"/>
      <c r="LX178" s="15"/>
      <c r="LY178" s="15"/>
      <c r="LZ178" s="15"/>
      <c r="MA178" s="15"/>
      <c r="MB178" s="15"/>
      <c r="MC178" s="15"/>
      <c r="MD178" s="15"/>
      <c r="ME178" s="15"/>
      <c r="MF178" s="15"/>
      <c r="MG178" s="15"/>
      <c r="MH178" s="15"/>
      <c r="MI178" s="15"/>
      <c r="MJ178" s="15"/>
      <c r="MK178" s="15"/>
      <c r="ML178" s="15"/>
      <c r="MM178" s="15"/>
      <c r="MN178" s="15"/>
      <c r="MO178" s="15"/>
      <c r="MP178" s="15"/>
      <c r="MQ178" s="15"/>
      <c r="MR178" s="15"/>
      <c r="MS178" s="15"/>
      <c r="MT178" s="15"/>
      <c r="MU178" s="15"/>
      <c r="MV178" s="15"/>
      <c r="MW178" s="15"/>
      <c r="MX178" s="15"/>
      <c r="MY178" s="15"/>
      <c r="MZ178" s="15"/>
      <c r="NA178" s="15"/>
      <c r="NB178" s="15"/>
      <c r="NC178" s="15"/>
      <c r="ND178" s="15"/>
      <c r="NE178" s="15"/>
      <c r="NF178" s="15"/>
      <c r="NG178" s="15"/>
      <c r="NH178" s="15"/>
      <c r="NI178" s="15"/>
      <c r="NJ178" s="15"/>
      <c r="NK178" s="15"/>
      <c r="NL178" s="15"/>
      <c r="NM178" s="15"/>
      <c r="NN178" s="15"/>
      <c r="NO178" s="15"/>
      <c r="NP178" s="15"/>
      <c r="NQ178" s="15"/>
      <c r="NR178" s="15"/>
      <c r="NS178" s="15"/>
      <c r="NT178" s="15"/>
      <c r="NU178" s="15"/>
      <c r="NV178" s="15"/>
      <c r="NW178" s="15"/>
      <c r="NX178" s="15"/>
      <c r="NY178" s="15"/>
      <c r="NZ178" s="15"/>
    </row>
    <row r="179" spans="5:390" ht="30" customHeight="1" x14ac:dyDescent="0.45">
      <c r="E179" s="29"/>
      <c r="F179" s="31"/>
      <c r="G179" s="31"/>
      <c r="H179" s="72"/>
      <c r="I179" s="72"/>
      <c r="J179" s="31"/>
      <c r="K179" s="31"/>
      <c r="L179" s="31"/>
      <c r="M179" s="31"/>
      <c r="N179" s="31"/>
      <c r="O179" s="31"/>
      <c r="P179" s="31"/>
      <c r="Q179" s="31"/>
      <c r="R179" s="19"/>
      <c r="S179" s="20"/>
      <c r="T179" s="21"/>
      <c r="U179" s="22"/>
      <c r="V179" s="22"/>
      <c r="W179" s="22"/>
      <c r="X179" s="22"/>
      <c r="Y179" s="22"/>
      <c r="Z179" s="36"/>
      <c r="AA179" s="15"/>
      <c r="AB179" s="15"/>
      <c r="AC179" s="15"/>
      <c r="AD179" s="15"/>
      <c r="AE179" s="15"/>
      <c r="AF179" s="15"/>
      <c r="AG179" s="184"/>
      <c r="AH179" s="15"/>
      <c r="AI179" s="15"/>
      <c r="AJ179" s="15"/>
      <c r="AK179" s="15"/>
      <c r="AL179" s="15"/>
      <c r="AM179" s="15"/>
      <c r="AN179" s="184"/>
      <c r="AO179" s="15"/>
      <c r="AP179" s="15"/>
      <c r="AQ179" s="15"/>
      <c r="AR179" s="15"/>
      <c r="AS179" s="15"/>
      <c r="AT179" s="15"/>
      <c r="AU179" s="184"/>
      <c r="AV179" s="15"/>
      <c r="AW179" s="15"/>
      <c r="AX179" s="15"/>
      <c r="AY179" s="15"/>
      <c r="AZ179" s="15"/>
      <c r="BA179" s="15"/>
      <c r="BB179" s="184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84"/>
      <c r="CE179" s="15"/>
      <c r="CF179" s="15"/>
      <c r="CG179" s="15"/>
      <c r="CH179" s="15"/>
      <c r="CI179" s="15"/>
      <c r="CJ179" s="15"/>
      <c r="CK179" s="184"/>
      <c r="CL179" s="15"/>
      <c r="CM179" s="15"/>
      <c r="CN179" s="15"/>
      <c r="CO179" s="15"/>
      <c r="CP179" s="15"/>
      <c r="CQ179" s="15"/>
      <c r="CR179" s="184"/>
      <c r="CS179" s="15"/>
      <c r="CT179" s="15"/>
      <c r="CU179" s="15"/>
      <c r="CV179" s="15"/>
      <c r="CW179" s="15"/>
      <c r="CX179" s="15"/>
      <c r="CY179" s="184"/>
      <c r="CZ179" s="15"/>
      <c r="DA179" s="15"/>
      <c r="DB179" s="15"/>
      <c r="DC179" s="15"/>
      <c r="DD179" s="15"/>
      <c r="DE179" s="15"/>
      <c r="DF179" s="184"/>
      <c r="DG179" s="15"/>
      <c r="DH179" s="15"/>
      <c r="DI179" s="15"/>
      <c r="DJ179" s="15"/>
      <c r="DK179" s="15"/>
      <c r="DL179" s="15"/>
      <c r="DM179" s="184"/>
      <c r="DN179" s="15"/>
      <c r="DO179" s="15"/>
      <c r="DP179" s="15"/>
      <c r="DQ179" s="15"/>
      <c r="DR179" s="15"/>
      <c r="DS179" s="15"/>
      <c r="DT179" s="184"/>
      <c r="DU179" s="15"/>
      <c r="DV179" s="15"/>
      <c r="DW179" s="15"/>
      <c r="DX179" s="15"/>
      <c r="DY179" s="15"/>
      <c r="DZ179" s="15"/>
      <c r="EA179" s="184"/>
      <c r="EB179" s="15"/>
      <c r="EC179" s="15"/>
      <c r="ED179" s="15"/>
      <c r="EE179" s="15"/>
      <c r="EF179" s="15"/>
      <c r="EG179" s="15"/>
      <c r="EH179" s="184"/>
      <c r="EI179" s="15"/>
      <c r="EJ179" s="15"/>
      <c r="EK179" s="15"/>
      <c r="EL179" s="15"/>
      <c r="EM179" s="15"/>
      <c r="EN179" s="15"/>
      <c r="EO179" s="184"/>
      <c r="EP179" s="15"/>
      <c r="EQ179" s="15"/>
      <c r="ER179" s="15"/>
      <c r="ES179" s="15"/>
      <c r="ET179" s="15"/>
      <c r="EU179" s="15"/>
      <c r="EV179" s="184"/>
      <c r="EW179" s="15"/>
      <c r="EX179" s="15"/>
      <c r="EY179" s="15"/>
      <c r="EZ179" s="15"/>
      <c r="FA179" s="15"/>
      <c r="FB179" s="15"/>
      <c r="FC179" s="184"/>
      <c r="FD179" s="15"/>
      <c r="FE179" s="15"/>
      <c r="FF179" s="15"/>
      <c r="FG179" s="15"/>
      <c r="FH179" s="15"/>
      <c r="FI179" s="15"/>
      <c r="FJ179" s="184"/>
      <c r="FK179" s="15"/>
      <c r="FL179" s="15"/>
      <c r="FM179" s="15"/>
      <c r="FN179" s="15"/>
      <c r="FO179" s="15"/>
      <c r="FP179" s="15"/>
      <c r="FQ179" s="184"/>
      <c r="FR179" s="15"/>
      <c r="FS179" s="15"/>
      <c r="FT179" s="15"/>
      <c r="FU179" s="15"/>
      <c r="FV179" s="15"/>
      <c r="FW179" s="178"/>
      <c r="FX179" s="184"/>
      <c r="FY179" s="181"/>
      <c r="FZ179" s="15"/>
      <c r="GA179" s="15"/>
      <c r="GB179" s="15"/>
      <c r="GC179" s="15"/>
      <c r="GD179" s="15"/>
      <c r="GE179" s="184"/>
      <c r="GF179" s="15"/>
      <c r="GG179" s="15"/>
      <c r="GH179" s="15"/>
      <c r="GI179" s="15"/>
      <c r="GJ179" s="15"/>
      <c r="GK179" s="15"/>
      <c r="GL179" s="184"/>
      <c r="GM179" s="15"/>
      <c r="GN179" s="15"/>
      <c r="GO179" s="15"/>
      <c r="GP179" s="15"/>
      <c r="GQ179" s="15"/>
      <c r="GR179" s="15"/>
      <c r="GS179" s="184"/>
      <c r="GT179" s="15"/>
      <c r="GU179" s="15"/>
      <c r="GV179" s="15"/>
      <c r="GW179" s="15"/>
      <c r="GX179" s="15"/>
      <c r="GY179" s="15"/>
      <c r="GZ179" s="184"/>
      <c r="HA179" s="15"/>
      <c r="HB179" s="15"/>
      <c r="HC179" s="15"/>
      <c r="HD179" s="15"/>
      <c r="HE179" s="15"/>
      <c r="HF179" s="15"/>
      <c r="HG179" s="184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  <c r="JU179" s="15"/>
      <c r="JV179" s="15"/>
      <c r="JW179" s="15"/>
      <c r="JX179" s="15"/>
      <c r="JY179" s="15"/>
      <c r="JZ179" s="15"/>
      <c r="KA179" s="15"/>
      <c r="KB179" s="15"/>
      <c r="KC179" s="15"/>
      <c r="KD179" s="15"/>
      <c r="KE179" s="15"/>
      <c r="KF179" s="15"/>
      <c r="KG179" s="15"/>
      <c r="KH179" s="15"/>
      <c r="KI179" s="15"/>
      <c r="KJ179" s="15"/>
      <c r="KK179" s="15"/>
      <c r="KL179" s="15"/>
      <c r="KM179" s="15"/>
      <c r="KN179" s="15"/>
      <c r="KO179" s="15"/>
      <c r="KP179" s="15"/>
      <c r="KQ179" s="15"/>
      <c r="KR179" s="15"/>
      <c r="KS179" s="15"/>
      <c r="KT179" s="15"/>
      <c r="KU179" s="15"/>
      <c r="KV179" s="15"/>
      <c r="KW179" s="15"/>
      <c r="KX179" s="15"/>
      <c r="KY179" s="15"/>
      <c r="KZ179" s="15"/>
      <c r="LA179" s="15"/>
      <c r="LB179" s="15"/>
      <c r="LC179" s="15"/>
      <c r="LD179" s="15"/>
      <c r="LE179" s="15"/>
      <c r="LF179" s="15"/>
      <c r="LG179" s="15"/>
      <c r="LH179" s="15"/>
      <c r="LI179" s="15"/>
      <c r="LJ179" s="15"/>
      <c r="LK179" s="15"/>
      <c r="LL179" s="15"/>
      <c r="LM179" s="15"/>
      <c r="LN179" s="15"/>
      <c r="LO179" s="15"/>
      <c r="LP179" s="15"/>
      <c r="LQ179" s="15"/>
      <c r="LR179" s="15"/>
      <c r="LS179" s="15"/>
      <c r="LT179" s="15"/>
      <c r="LU179" s="15"/>
      <c r="LV179" s="15"/>
      <c r="LW179" s="15"/>
      <c r="LX179" s="15"/>
      <c r="LY179" s="15"/>
      <c r="LZ179" s="15"/>
      <c r="MA179" s="15"/>
      <c r="MB179" s="15"/>
      <c r="MC179" s="15"/>
      <c r="MD179" s="15"/>
      <c r="ME179" s="15"/>
      <c r="MF179" s="15"/>
      <c r="MG179" s="15"/>
      <c r="MH179" s="15"/>
      <c r="MI179" s="15"/>
      <c r="MJ179" s="15"/>
      <c r="MK179" s="15"/>
      <c r="ML179" s="15"/>
      <c r="MM179" s="15"/>
      <c r="MN179" s="15"/>
      <c r="MO179" s="15"/>
      <c r="MP179" s="15"/>
      <c r="MQ179" s="15"/>
      <c r="MR179" s="15"/>
      <c r="MS179" s="15"/>
      <c r="MT179" s="15"/>
      <c r="MU179" s="15"/>
      <c r="MV179" s="15"/>
      <c r="MW179" s="15"/>
      <c r="MX179" s="15"/>
      <c r="MY179" s="15"/>
      <c r="MZ179" s="15"/>
      <c r="NA179" s="15"/>
      <c r="NB179" s="15"/>
      <c r="NC179" s="15"/>
      <c r="ND179" s="15"/>
      <c r="NE179" s="15"/>
      <c r="NF179" s="15"/>
      <c r="NG179" s="15"/>
      <c r="NH179" s="15"/>
      <c r="NI179" s="15"/>
      <c r="NJ179" s="15"/>
      <c r="NK179" s="15"/>
      <c r="NL179" s="15"/>
      <c r="NM179" s="15"/>
      <c r="NN179" s="15"/>
      <c r="NO179" s="15"/>
      <c r="NP179" s="15"/>
      <c r="NQ179" s="15"/>
      <c r="NR179" s="15"/>
      <c r="NS179" s="15"/>
      <c r="NT179" s="15"/>
      <c r="NU179" s="15"/>
      <c r="NV179" s="15"/>
      <c r="NW179" s="15"/>
      <c r="NX179" s="15"/>
      <c r="NY179" s="15"/>
      <c r="NZ179" s="15"/>
    </row>
    <row r="180" spans="5:390" ht="30" customHeight="1" x14ac:dyDescent="0.45">
      <c r="E180" s="29"/>
      <c r="F180" s="30"/>
      <c r="G180" s="30"/>
      <c r="H180" s="71"/>
      <c r="I180" s="71"/>
      <c r="J180" s="30"/>
      <c r="K180" s="30"/>
      <c r="L180" s="30"/>
      <c r="M180" s="30"/>
      <c r="N180" s="30"/>
      <c r="O180" s="30"/>
      <c r="P180" s="30"/>
      <c r="Q180" s="30"/>
      <c r="R180" s="19"/>
      <c r="S180" s="20"/>
      <c r="T180" s="21"/>
      <c r="U180" s="22"/>
      <c r="V180" s="22"/>
      <c r="W180" s="22"/>
      <c r="X180" s="22"/>
      <c r="Y180" s="22"/>
      <c r="Z180" s="36"/>
      <c r="AA180" s="15"/>
      <c r="AB180" s="15"/>
      <c r="AC180" s="15"/>
      <c r="AD180" s="15"/>
      <c r="AE180" s="15"/>
      <c r="AF180" s="15"/>
      <c r="AG180" s="184"/>
      <c r="AH180" s="15"/>
      <c r="AI180" s="15"/>
      <c r="AJ180" s="15"/>
      <c r="AK180" s="15"/>
      <c r="AL180" s="15"/>
      <c r="AM180" s="15"/>
      <c r="AN180" s="184"/>
      <c r="AO180" s="15"/>
      <c r="AP180" s="15"/>
      <c r="AQ180" s="15"/>
      <c r="AR180" s="15"/>
      <c r="AS180" s="15"/>
      <c r="AT180" s="15"/>
      <c r="AU180" s="184"/>
      <c r="AV180" s="15"/>
      <c r="AW180" s="15"/>
      <c r="AX180" s="15"/>
      <c r="AY180" s="15"/>
      <c r="AZ180" s="15"/>
      <c r="BA180" s="15"/>
      <c r="BB180" s="184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84"/>
      <c r="CE180" s="15"/>
      <c r="CF180" s="15"/>
      <c r="CG180" s="15"/>
      <c r="CH180" s="15"/>
      <c r="CI180" s="15"/>
      <c r="CJ180" s="15"/>
      <c r="CK180" s="184"/>
      <c r="CL180" s="15"/>
      <c r="CM180" s="15"/>
      <c r="CN180" s="15"/>
      <c r="CO180" s="15"/>
      <c r="CP180" s="15"/>
      <c r="CQ180" s="15"/>
      <c r="CR180" s="184"/>
      <c r="CS180" s="15"/>
      <c r="CT180" s="15"/>
      <c r="CU180" s="15"/>
      <c r="CV180" s="15"/>
      <c r="CW180" s="15"/>
      <c r="CX180" s="15"/>
      <c r="CY180" s="184"/>
      <c r="CZ180" s="15"/>
      <c r="DA180" s="15"/>
      <c r="DB180" s="15"/>
      <c r="DC180" s="15"/>
      <c r="DD180" s="15"/>
      <c r="DE180" s="15"/>
      <c r="DF180" s="184"/>
      <c r="DG180" s="15"/>
      <c r="DH180" s="15"/>
      <c r="DI180" s="15"/>
      <c r="DJ180" s="15"/>
      <c r="DK180" s="15"/>
      <c r="DL180" s="15"/>
      <c r="DM180" s="184"/>
      <c r="DN180" s="15"/>
      <c r="DO180" s="15"/>
      <c r="DP180" s="15"/>
      <c r="DQ180" s="15"/>
      <c r="DR180" s="15"/>
      <c r="DS180" s="15"/>
      <c r="DT180" s="184"/>
      <c r="DU180" s="15"/>
      <c r="DV180" s="15"/>
      <c r="DW180" s="15"/>
      <c r="DX180" s="15"/>
      <c r="DY180" s="15"/>
      <c r="DZ180" s="15"/>
      <c r="EA180" s="184"/>
      <c r="EB180" s="15"/>
      <c r="EC180" s="15"/>
      <c r="ED180" s="15"/>
      <c r="EE180" s="15"/>
      <c r="EF180" s="15"/>
      <c r="EG180" s="15"/>
      <c r="EH180" s="184"/>
      <c r="EI180" s="15"/>
      <c r="EJ180" s="15"/>
      <c r="EK180" s="15"/>
      <c r="EL180" s="15"/>
      <c r="EM180" s="15"/>
      <c r="EN180" s="15"/>
      <c r="EO180" s="184"/>
      <c r="EP180" s="15"/>
      <c r="EQ180" s="15"/>
      <c r="ER180" s="15"/>
      <c r="ES180" s="15"/>
      <c r="ET180" s="15"/>
      <c r="EU180" s="15"/>
      <c r="EV180" s="184"/>
      <c r="EW180" s="15"/>
      <c r="EX180" s="15"/>
      <c r="EY180" s="15"/>
      <c r="EZ180" s="15"/>
      <c r="FA180" s="15"/>
      <c r="FB180" s="15"/>
      <c r="FC180" s="184"/>
      <c r="FD180" s="15"/>
      <c r="FE180" s="15"/>
      <c r="FF180" s="15"/>
      <c r="FG180" s="15"/>
      <c r="FH180" s="15"/>
      <c r="FI180" s="15"/>
      <c r="FJ180" s="184"/>
      <c r="FK180" s="15"/>
      <c r="FL180" s="15"/>
      <c r="FM180" s="15"/>
      <c r="FN180" s="15"/>
      <c r="FO180" s="15"/>
      <c r="FP180" s="15"/>
      <c r="FQ180" s="184"/>
      <c r="FR180" s="15"/>
      <c r="FS180" s="15"/>
      <c r="FT180" s="15"/>
      <c r="FU180" s="15"/>
      <c r="FV180" s="15"/>
      <c r="FW180" s="178"/>
      <c r="FX180" s="184"/>
      <c r="FY180" s="181"/>
      <c r="FZ180" s="15"/>
      <c r="GA180" s="15"/>
      <c r="GB180" s="15"/>
      <c r="GC180" s="15"/>
      <c r="GD180" s="15"/>
      <c r="GE180" s="184"/>
      <c r="GF180" s="15"/>
      <c r="GG180" s="15"/>
      <c r="GH180" s="15"/>
      <c r="GI180" s="15"/>
      <c r="GJ180" s="15"/>
      <c r="GK180" s="15"/>
      <c r="GL180" s="184"/>
      <c r="GM180" s="15"/>
      <c r="GN180" s="15"/>
      <c r="GO180" s="15"/>
      <c r="GP180" s="15"/>
      <c r="GQ180" s="15"/>
      <c r="GR180" s="15"/>
      <c r="GS180" s="184"/>
      <c r="GT180" s="15"/>
      <c r="GU180" s="15"/>
      <c r="GV180" s="15"/>
      <c r="GW180" s="15"/>
      <c r="GX180" s="15"/>
      <c r="GY180" s="15"/>
      <c r="GZ180" s="184"/>
      <c r="HA180" s="15"/>
      <c r="HB180" s="15"/>
      <c r="HC180" s="15"/>
      <c r="HD180" s="15"/>
      <c r="HE180" s="15"/>
      <c r="HF180" s="15"/>
      <c r="HG180" s="184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  <c r="JT180" s="15"/>
      <c r="JU180" s="15"/>
      <c r="JV180" s="15"/>
      <c r="JW180" s="15"/>
      <c r="JX180" s="15"/>
      <c r="JY180" s="15"/>
      <c r="JZ180" s="15"/>
      <c r="KA180" s="15"/>
      <c r="KB180" s="15"/>
      <c r="KC180" s="15"/>
      <c r="KD180" s="15"/>
      <c r="KE180" s="15"/>
      <c r="KF180" s="15"/>
      <c r="KG180" s="15"/>
      <c r="KH180" s="15"/>
      <c r="KI180" s="15"/>
      <c r="KJ180" s="15"/>
      <c r="KK180" s="15"/>
      <c r="KL180" s="15"/>
      <c r="KM180" s="15"/>
      <c r="KN180" s="15"/>
      <c r="KO180" s="15"/>
      <c r="KP180" s="15"/>
      <c r="KQ180" s="15"/>
      <c r="KR180" s="15"/>
      <c r="KS180" s="15"/>
      <c r="KT180" s="15"/>
      <c r="KU180" s="15"/>
      <c r="KV180" s="15"/>
      <c r="KW180" s="15"/>
      <c r="KX180" s="15"/>
      <c r="KY180" s="15"/>
      <c r="KZ180" s="15"/>
      <c r="LA180" s="15"/>
      <c r="LB180" s="15"/>
      <c r="LC180" s="15"/>
      <c r="LD180" s="15"/>
      <c r="LE180" s="15"/>
      <c r="LF180" s="15"/>
      <c r="LG180" s="15"/>
      <c r="LH180" s="15"/>
      <c r="LI180" s="15"/>
      <c r="LJ180" s="15"/>
      <c r="LK180" s="15"/>
      <c r="LL180" s="15"/>
      <c r="LM180" s="15"/>
      <c r="LN180" s="15"/>
      <c r="LO180" s="15"/>
      <c r="LP180" s="15"/>
      <c r="LQ180" s="15"/>
      <c r="LR180" s="15"/>
      <c r="LS180" s="15"/>
      <c r="LT180" s="15"/>
      <c r="LU180" s="15"/>
      <c r="LV180" s="15"/>
      <c r="LW180" s="15"/>
      <c r="LX180" s="15"/>
      <c r="LY180" s="15"/>
      <c r="LZ180" s="15"/>
      <c r="MA180" s="15"/>
      <c r="MB180" s="15"/>
      <c r="MC180" s="15"/>
      <c r="MD180" s="15"/>
      <c r="ME180" s="15"/>
      <c r="MF180" s="15"/>
      <c r="MG180" s="15"/>
      <c r="MH180" s="15"/>
      <c r="MI180" s="15"/>
      <c r="MJ180" s="15"/>
      <c r="MK180" s="15"/>
      <c r="ML180" s="15"/>
      <c r="MM180" s="15"/>
      <c r="MN180" s="15"/>
      <c r="MO180" s="15"/>
      <c r="MP180" s="15"/>
      <c r="MQ180" s="15"/>
      <c r="MR180" s="15"/>
      <c r="MS180" s="15"/>
      <c r="MT180" s="15"/>
      <c r="MU180" s="15"/>
      <c r="MV180" s="15"/>
      <c r="MW180" s="15"/>
      <c r="MX180" s="15"/>
      <c r="MY180" s="15"/>
      <c r="MZ180" s="15"/>
      <c r="NA180" s="15"/>
      <c r="NB180" s="15"/>
      <c r="NC180" s="15"/>
      <c r="ND180" s="15"/>
      <c r="NE180" s="15"/>
      <c r="NF180" s="15"/>
      <c r="NG180" s="15"/>
      <c r="NH180" s="15"/>
      <c r="NI180" s="15"/>
      <c r="NJ180" s="15"/>
      <c r="NK180" s="15"/>
      <c r="NL180" s="15"/>
      <c r="NM180" s="15"/>
      <c r="NN180" s="15"/>
      <c r="NO180" s="15"/>
      <c r="NP180" s="15"/>
      <c r="NQ180" s="15"/>
      <c r="NR180" s="15"/>
      <c r="NS180" s="15"/>
      <c r="NT180" s="15"/>
      <c r="NU180" s="15"/>
      <c r="NV180" s="15"/>
      <c r="NW180" s="15"/>
      <c r="NX180" s="15"/>
      <c r="NY180" s="15"/>
      <c r="NZ180" s="15"/>
    </row>
    <row r="181" spans="5:390" ht="30" customHeight="1" thickBot="1" x14ac:dyDescent="0.5">
      <c r="E181" s="60"/>
      <c r="F181" s="24"/>
      <c r="G181" s="24"/>
      <c r="H181" s="26"/>
      <c r="I181" s="26"/>
      <c r="J181" s="24"/>
      <c r="K181" s="24"/>
      <c r="L181" s="24"/>
      <c r="M181" s="24"/>
      <c r="N181" s="24"/>
      <c r="O181" s="24"/>
      <c r="P181" s="24"/>
      <c r="Q181" s="24"/>
      <c r="R181" s="25"/>
      <c r="S181" s="26"/>
      <c r="T181" s="27" t="str">
        <f>IF(S181&lt;&gt;"",IF(#REF!="x",WORKDAY(IF(WEEKDAY(R181,1)=7,R181+2,IF(WEEKDAY(R181,1)=1,R181+1,R181)),S181-1),R181+S181-1),"")</f>
        <v/>
      </c>
      <c r="U181" s="28"/>
      <c r="V181" s="28"/>
      <c r="W181" s="28"/>
      <c r="X181" s="28"/>
      <c r="Y181" s="28"/>
      <c r="Z181" s="40"/>
      <c r="AA181" s="16"/>
      <c r="AB181" s="16"/>
      <c r="AC181" s="16"/>
      <c r="AD181" s="16"/>
      <c r="AE181" s="16"/>
      <c r="AF181" s="16"/>
      <c r="AG181" s="184"/>
      <c r="AH181" s="16"/>
      <c r="AI181" s="16"/>
      <c r="AJ181" s="16"/>
      <c r="AK181" s="16"/>
      <c r="AL181" s="16"/>
      <c r="AM181" s="16"/>
      <c r="AN181" s="184"/>
      <c r="AO181" s="16"/>
      <c r="AP181" s="16"/>
      <c r="AQ181" s="16"/>
      <c r="AR181" s="16"/>
      <c r="AS181" s="16"/>
      <c r="AT181" s="16"/>
      <c r="AU181" s="184"/>
      <c r="AV181" s="16"/>
      <c r="AW181" s="16"/>
      <c r="AX181" s="16"/>
      <c r="AY181" s="16"/>
      <c r="AZ181" s="16"/>
      <c r="BA181" s="16"/>
      <c r="BB181" s="184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84"/>
      <c r="CE181" s="16"/>
      <c r="CF181" s="16"/>
      <c r="CG181" s="16"/>
      <c r="CH181" s="16"/>
      <c r="CI181" s="16"/>
      <c r="CJ181" s="16"/>
      <c r="CK181" s="184"/>
      <c r="CL181" s="16"/>
      <c r="CM181" s="16"/>
      <c r="CN181" s="16"/>
      <c r="CO181" s="16"/>
      <c r="CP181" s="16"/>
      <c r="CQ181" s="16"/>
      <c r="CR181" s="184"/>
      <c r="CS181" s="16"/>
      <c r="CT181" s="16"/>
      <c r="CU181" s="16"/>
      <c r="CV181" s="16"/>
      <c r="CW181" s="16"/>
      <c r="CX181" s="16"/>
      <c r="CY181" s="184"/>
      <c r="CZ181" s="16"/>
      <c r="DA181" s="16"/>
      <c r="DB181" s="16"/>
      <c r="DC181" s="16"/>
      <c r="DD181" s="16"/>
      <c r="DE181" s="16"/>
      <c r="DF181" s="184"/>
      <c r="DG181" s="16"/>
      <c r="DH181" s="16"/>
      <c r="DI181" s="16"/>
      <c r="DJ181" s="16"/>
      <c r="DK181" s="16"/>
      <c r="DL181" s="16"/>
      <c r="DM181" s="184"/>
      <c r="DN181" s="16"/>
      <c r="DO181" s="16"/>
      <c r="DP181" s="16"/>
      <c r="DQ181" s="16"/>
      <c r="DR181" s="16"/>
      <c r="DS181" s="16"/>
      <c r="DT181" s="184"/>
      <c r="DU181" s="16"/>
      <c r="DV181" s="16"/>
      <c r="DW181" s="16"/>
      <c r="DX181" s="16"/>
      <c r="DY181" s="16"/>
      <c r="DZ181" s="16"/>
      <c r="EA181" s="184"/>
      <c r="EB181" s="16"/>
      <c r="EC181" s="16"/>
      <c r="ED181" s="16"/>
      <c r="EE181" s="16"/>
      <c r="EF181" s="16"/>
      <c r="EG181" s="16"/>
      <c r="EH181" s="184"/>
      <c r="EI181" s="16"/>
      <c r="EJ181" s="16"/>
      <c r="EK181" s="16"/>
      <c r="EL181" s="16"/>
      <c r="EM181" s="16"/>
      <c r="EN181" s="16"/>
      <c r="EO181" s="184"/>
      <c r="EP181" s="16"/>
      <c r="EQ181" s="16"/>
      <c r="ER181" s="16"/>
      <c r="ES181" s="16"/>
      <c r="ET181" s="16"/>
      <c r="EU181" s="16"/>
      <c r="EV181" s="184"/>
      <c r="EW181" s="16"/>
      <c r="EX181" s="16"/>
      <c r="EY181" s="16"/>
      <c r="EZ181" s="16"/>
      <c r="FA181" s="16"/>
      <c r="FB181" s="16"/>
      <c r="FC181" s="184"/>
      <c r="FD181" s="16"/>
      <c r="FE181" s="16"/>
      <c r="FF181" s="16"/>
      <c r="FG181" s="16"/>
      <c r="FH181" s="16"/>
      <c r="FI181" s="16"/>
      <c r="FJ181" s="184"/>
      <c r="FK181" s="16"/>
      <c r="FL181" s="16"/>
      <c r="FM181" s="16"/>
      <c r="FN181" s="16"/>
      <c r="FO181" s="16"/>
      <c r="FP181" s="16"/>
      <c r="FQ181" s="184"/>
      <c r="FR181" s="16"/>
      <c r="FS181" s="16"/>
      <c r="FT181" s="16"/>
      <c r="FU181" s="16"/>
      <c r="FV181" s="16"/>
      <c r="FW181" s="179"/>
      <c r="FX181" s="184"/>
      <c r="FY181" s="182"/>
      <c r="FZ181" s="16"/>
      <c r="GA181" s="16"/>
      <c r="GB181" s="16"/>
      <c r="GC181" s="16"/>
      <c r="GD181" s="16"/>
      <c r="GE181" s="184"/>
      <c r="GF181" s="16"/>
      <c r="GG181" s="16"/>
      <c r="GH181" s="16"/>
      <c r="GI181" s="16"/>
      <c r="GJ181" s="16"/>
      <c r="GK181" s="16"/>
      <c r="GL181" s="184"/>
      <c r="GM181" s="16"/>
      <c r="GN181" s="16"/>
      <c r="GO181" s="16"/>
      <c r="GP181" s="16"/>
      <c r="GQ181" s="16"/>
      <c r="GR181" s="16"/>
      <c r="GS181" s="184"/>
      <c r="GT181" s="16"/>
      <c r="GU181" s="16"/>
      <c r="GV181" s="16"/>
      <c r="GW181" s="16"/>
      <c r="GX181" s="16"/>
      <c r="GY181" s="16"/>
      <c r="GZ181" s="184"/>
      <c r="HA181" s="16"/>
      <c r="HB181" s="16"/>
      <c r="HC181" s="16"/>
      <c r="HD181" s="16"/>
      <c r="HE181" s="16"/>
      <c r="HF181" s="16"/>
      <c r="HG181" s="184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MA181" s="16"/>
      <c r="MB181" s="16"/>
      <c r="MC181" s="16"/>
      <c r="MD181" s="16"/>
      <c r="ME181" s="16"/>
      <c r="MF181" s="16"/>
      <c r="MG181" s="16"/>
      <c r="MH181" s="16"/>
      <c r="MI181" s="16"/>
      <c r="MJ181" s="16"/>
      <c r="MK181" s="16"/>
      <c r="ML181" s="16"/>
      <c r="MM181" s="16"/>
      <c r="MN181" s="16"/>
      <c r="MO181" s="16"/>
      <c r="MP181" s="16"/>
      <c r="MQ181" s="16"/>
      <c r="MR181" s="16"/>
      <c r="MS181" s="16"/>
      <c r="MT181" s="16"/>
      <c r="MU181" s="16"/>
      <c r="MV181" s="16"/>
      <c r="MW181" s="16"/>
      <c r="MX181" s="16"/>
      <c r="MY181" s="16"/>
      <c r="MZ181" s="16"/>
      <c r="NA181" s="16"/>
      <c r="NB181" s="16"/>
      <c r="NC181" s="16"/>
      <c r="ND181" s="16"/>
      <c r="NE181" s="16"/>
      <c r="NF181" s="16"/>
      <c r="NG181" s="16"/>
      <c r="NH181" s="16"/>
      <c r="NI181" s="16"/>
      <c r="NJ181" s="16"/>
      <c r="NK181" s="16"/>
      <c r="NL181" s="16"/>
      <c r="NM181" s="16"/>
      <c r="NN181" s="16"/>
      <c r="NO181" s="16"/>
      <c r="NP181" s="16"/>
      <c r="NQ181" s="16"/>
      <c r="NR181" s="16"/>
      <c r="NS181" s="16"/>
      <c r="NT181" s="16"/>
      <c r="NU181" s="16"/>
      <c r="NV181" s="16"/>
      <c r="NW181" s="16"/>
      <c r="NX181" s="16"/>
      <c r="NY181" s="16"/>
      <c r="NZ181" s="16"/>
    </row>
    <row r="182" spans="5:390" x14ac:dyDescent="0.45"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</row>
    <row r="183" spans="5:390" x14ac:dyDescent="0.45"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</sheetData>
  <sheetProtection formatCells="0"/>
  <mergeCells count="109">
    <mergeCell ref="NF5:NL5"/>
    <mergeCell ref="NM5:NS5"/>
    <mergeCell ref="NT5:NZ5"/>
    <mergeCell ref="LP5:LV5"/>
    <mergeCell ref="LW5:MC5"/>
    <mergeCell ref="MD5:MJ5"/>
    <mergeCell ref="MK5:MQ5"/>
    <mergeCell ref="MR5:MX5"/>
    <mergeCell ref="MY5:NE5"/>
    <mergeCell ref="JZ5:KF5"/>
    <mergeCell ref="KG5:KM5"/>
    <mergeCell ref="KN5:KT5"/>
    <mergeCell ref="KU5:LA5"/>
    <mergeCell ref="LB5:LH5"/>
    <mergeCell ref="LI5:LO5"/>
    <mergeCell ref="IJ5:IP5"/>
    <mergeCell ref="IQ5:IW5"/>
    <mergeCell ref="IX5:JD5"/>
    <mergeCell ref="JE5:JK5"/>
    <mergeCell ref="JL5:JR5"/>
    <mergeCell ref="JS5:JY5"/>
    <mergeCell ref="GT5:GZ5"/>
    <mergeCell ref="HA5:HG5"/>
    <mergeCell ref="HH5:HN5"/>
    <mergeCell ref="HO5:HU5"/>
    <mergeCell ref="HV5:IB5"/>
    <mergeCell ref="IC5:II5"/>
    <mergeCell ref="FD5:FJ5"/>
    <mergeCell ref="FK5:FQ5"/>
    <mergeCell ref="FR5:FX5"/>
    <mergeCell ref="FY5:GE5"/>
    <mergeCell ref="GF5:GL5"/>
    <mergeCell ref="GM5:GS5"/>
    <mergeCell ref="DN5:DT5"/>
    <mergeCell ref="DU5:EA5"/>
    <mergeCell ref="EB5:EH5"/>
    <mergeCell ref="EI5:EO5"/>
    <mergeCell ref="EP5:EV5"/>
    <mergeCell ref="EW5:FC5"/>
    <mergeCell ref="BX5:CD5"/>
    <mergeCell ref="CE5:CK5"/>
    <mergeCell ref="CL5:CR5"/>
    <mergeCell ref="CS5:CY5"/>
    <mergeCell ref="CZ5:DF5"/>
    <mergeCell ref="DG5:DM5"/>
    <mergeCell ref="NT4:NZ4"/>
    <mergeCell ref="E5:F5"/>
    <mergeCell ref="R5:Z6"/>
    <mergeCell ref="AA5:AG5"/>
    <mergeCell ref="AH5:AN5"/>
    <mergeCell ref="AO5:AU5"/>
    <mergeCell ref="AV5:BB5"/>
    <mergeCell ref="BC5:BI5"/>
    <mergeCell ref="BJ5:BP5"/>
    <mergeCell ref="BQ5:BW5"/>
    <mergeCell ref="MD4:MJ4"/>
    <mergeCell ref="MK4:MQ4"/>
    <mergeCell ref="MR4:MX4"/>
    <mergeCell ref="MY4:NE4"/>
    <mergeCell ref="NF4:NL4"/>
    <mergeCell ref="NM4:NS4"/>
    <mergeCell ref="KN4:KT4"/>
    <mergeCell ref="KU4:LA4"/>
    <mergeCell ref="LB4:LH4"/>
    <mergeCell ref="LI4:LO4"/>
    <mergeCell ref="LP4:LV4"/>
    <mergeCell ref="LW4:MC4"/>
    <mergeCell ref="IX4:JD4"/>
    <mergeCell ref="JE4:JK4"/>
    <mergeCell ref="JL4:JR4"/>
    <mergeCell ref="JS4:JY4"/>
    <mergeCell ref="JZ4:KF4"/>
    <mergeCell ref="KG4:KM4"/>
    <mergeCell ref="HH4:HN4"/>
    <mergeCell ref="HO4:HU4"/>
    <mergeCell ref="HV4:IB4"/>
    <mergeCell ref="IC4:II4"/>
    <mergeCell ref="IJ4:IP4"/>
    <mergeCell ref="IQ4:IW4"/>
    <mergeCell ref="FR4:FX4"/>
    <mergeCell ref="FY4:GE4"/>
    <mergeCell ref="GF4:GL4"/>
    <mergeCell ref="GM4:GS4"/>
    <mergeCell ref="GT4:GZ4"/>
    <mergeCell ref="HA4:HG4"/>
    <mergeCell ref="EB4:EH4"/>
    <mergeCell ref="EI4:EO4"/>
    <mergeCell ref="EP4:EV4"/>
    <mergeCell ref="EW4:FC4"/>
    <mergeCell ref="FD4:FJ4"/>
    <mergeCell ref="FK4:FQ4"/>
    <mergeCell ref="CL4:CR4"/>
    <mergeCell ref="CS4:CY4"/>
    <mergeCell ref="CZ4:DF4"/>
    <mergeCell ref="DG4:DM4"/>
    <mergeCell ref="DN4:DT4"/>
    <mergeCell ref="DU4:EA4"/>
    <mergeCell ref="AV4:BB4"/>
    <mergeCell ref="BC4:BI4"/>
    <mergeCell ref="BJ4:BP4"/>
    <mergeCell ref="BQ4:BW4"/>
    <mergeCell ref="BX4:CD4"/>
    <mergeCell ref="CE4:CK4"/>
    <mergeCell ref="W1:X2"/>
    <mergeCell ref="E3:F3"/>
    <mergeCell ref="R3:U4"/>
    <mergeCell ref="AA4:AG4"/>
    <mergeCell ref="AH4:AN4"/>
    <mergeCell ref="AO4:AU4"/>
  </mergeCells>
  <conditionalFormatting sqref="F116:G119">
    <cfRule type="expression" dxfId="51" priority="11">
      <formula>OR(#REF!="X",#REF!="x")</formula>
    </cfRule>
  </conditionalFormatting>
  <conditionalFormatting sqref="F128:I131">
    <cfRule type="expression" dxfId="50" priority="9">
      <formula>OR(#REF!="X",#REF!="x")</formula>
    </cfRule>
  </conditionalFormatting>
  <conditionalFormatting sqref="F113:J115 K113:N116 H116:J116 H117:N119">
    <cfRule type="expression" dxfId="49" priority="29">
      <formula>OR(#REF!="X",#REF!="x")</formula>
    </cfRule>
  </conditionalFormatting>
  <conditionalFormatting sqref="F132:K165">
    <cfRule type="expression" dxfId="48" priority="8">
      <formula>OR(#REF!="X",#REF!="x")</formula>
    </cfRule>
  </conditionalFormatting>
  <conditionalFormatting sqref="F14:Q44 J128:S129 J130:K131">
    <cfRule type="expression" dxfId="47" priority="32">
      <formula>OR(#REF!="X",#REF!="x")</formula>
    </cfRule>
  </conditionalFormatting>
  <conditionalFormatting sqref="F120:Q120">
    <cfRule type="expression" dxfId="46" priority="28">
      <formula>OR(#REF!="X",#REF!="x")</formula>
    </cfRule>
  </conditionalFormatting>
  <conditionalFormatting sqref="F91:S112">
    <cfRule type="expression" dxfId="45" priority="12">
      <formula>OR(#REF!="X",#REF!="x")</formula>
    </cfRule>
  </conditionalFormatting>
  <conditionalFormatting sqref="F121:S125">
    <cfRule type="expression" dxfId="44" priority="10">
      <formula>OR(#REF!="X",#REF!="x")</formula>
    </cfRule>
  </conditionalFormatting>
  <conditionalFormatting sqref="F127:V127">
    <cfRule type="expression" dxfId="43" priority="20">
      <formula>OR(#REF!="X",#REF!="x")</formula>
    </cfRule>
  </conditionalFormatting>
  <conditionalFormatting sqref="F166:Y181">
    <cfRule type="expression" dxfId="42" priority="26">
      <formula>OR(#REF!="X",#REF!="x")</formula>
    </cfRule>
  </conditionalFormatting>
  <conditionalFormatting sqref="F47:Z89">
    <cfRule type="expression" dxfId="41" priority="13">
      <formula>OR(#REF!="X",#REF!="x")</formula>
    </cfRule>
  </conditionalFormatting>
  <conditionalFormatting sqref="L130:N165">
    <cfRule type="expression" dxfId="40" priority="27">
      <formula>OR(#REF!="X",#REF!="x")</formula>
    </cfRule>
  </conditionalFormatting>
  <conditionalFormatting sqref="O86:Q88">
    <cfRule type="expression" dxfId="39" priority="30">
      <formula>OR(#REF!="X",#REF!="x")</formula>
    </cfRule>
  </conditionalFormatting>
  <conditionalFormatting sqref="O116:Q119">
    <cfRule type="expression" dxfId="38" priority="24">
      <formula>OR(#REF!="X",#REF!="x")</formula>
    </cfRule>
  </conditionalFormatting>
  <conditionalFormatting sqref="O164:Q165">
    <cfRule type="expression" dxfId="37" priority="23">
      <formula>OR(#REF!="X",#REF!="x")</formula>
    </cfRule>
  </conditionalFormatting>
  <conditionalFormatting sqref="O130:S163">
    <cfRule type="expression" dxfId="36" priority="21">
      <formula>OR(#REF!="X",#REF!="x")</formula>
    </cfRule>
  </conditionalFormatting>
  <conditionalFormatting sqref="R24:S44 G37:Q37 L38:L44 F41:K41 M41:Q41 O113:S115 R116:S120">
    <cfRule type="expression" dxfId="35" priority="33">
      <formula>OR(#REF!="X",#REF!="x")</formula>
    </cfRule>
  </conditionalFormatting>
  <conditionalFormatting sqref="R164:S174">
    <cfRule type="expression" dxfId="34" priority="22">
      <formula>OR(#REF!="X",#REF!="x")</formula>
    </cfRule>
  </conditionalFormatting>
  <conditionalFormatting sqref="R20:V22 R23:T23">
    <cfRule type="expression" dxfId="33" priority="25">
      <formula>OR(#REF!="X",#REF!="x")</formula>
    </cfRule>
  </conditionalFormatting>
  <conditionalFormatting sqref="R14:Y19 Z14:Z45 U41:Y44 F45:Y45 Z127:Z181">
    <cfRule type="expression" dxfId="32" priority="31">
      <formula>OR(#REF!="X",#REF!="x")</formula>
    </cfRule>
  </conditionalFormatting>
  <conditionalFormatting sqref="T14:T45">
    <cfRule type="expression" dxfId="31" priority="14">
      <formula>OR(#REF!="X",#REF!="x")</formula>
    </cfRule>
  </conditionalFormatting>
  <conditionalFormatting sqref="T128:V165">
    <cfRule type="expression" dxfId="30" priority="19">
      <formula>OR(#REF!="X",#REF!="x")</formula>
    </cfRule>
  </conditionalFormatting>
  <conditionalFormatting sqref="T91:Z125">
    <cfRule type="expression" dxfId="29" priority="16">
      <formula>OR(#REF!="X",#REF!="x")</formula>
    </cfRule>
  </conditionalFormatting>
  <conditionalFormatting sqref="U23:V40">
    <cfRule type="expression" dxfId="28" priority="18">
      <formula>OR(#REF!="X",#REF!="x")</formula>
    </cfRule>
  </conditionalFormatting>
  <conditionalFormatting sqref="W20:Y40">
    <cfRule type="expression" dxfId="27" priority="17">
      <formula>OR(#REF!="X",#REF!="x")</formula>
    </cfRule>
  </conditionalFormatting>
  <conditionalFormatting sqref="W127:Y165">
    <cfRule type="expression" dxfId="26" priority="15">
      <formula>OR(#REF!="X",#REF!="x")</formula>
    </cfRule>
  </conditionalFormatting>
  <conditionalFormatting sqref="AA14:NZ45 AA11:HG12 AA127:NZ181 AA91:NZ125 AA47:NZ61 AA62:EY63 FA62:NZ63 AA64:NZ89">
    <cfRule type="expression" dxfId="25" priority="39">
      <formula>OR(#REF!="X",#REF!="x")</formula>
    </cfRule>
    <cfRule type="expression" dxfId="24" priority="40">
      <formula>AND(#REF!&gt;0,AND(AA$9&gt;=$R11,AA$9&lt;=$R11+($T11-$R11)*#REF!))</formula>
    </cfRule>
    <cfRule type="expression" dxfId="23" priority="41">
      <formula>AND(OR(AA$7="Sa",AA$7="So"))</formula>
    </cfRule>
    <cfRule type="expression" dxfId="22" priority="42">
      <formula>AND(#REF!=AA$9,#REF!&lt;&gt;"F",#REF!&lt;TODAY())</formula>
    </cfRule>
    <cfRule type="expression" dxfId="21" priority="43">
      <formula>AND(#REF!=AA$9)</formula>
    </cfRule>
    <cfRule type="expression" dxfId="20" priority="44">
      <formula>IF(#REF!="x",AND(OR(AA$7="Sa",AA$7="So")))</formula>
    </cfRule>
    <cfRule type="expression" dxfId="19" priority="45">
      <formula>AND($T11&lt;&gt;"",AND(AA$9&gt;=$R11,AA$9&lt;=$T11))</formula>
    </cfRule>
  </conditionalFormatting>
  <conditionalFormatting sqref="AA4:NZ4">
    <cfRule type="expression" dxfId="18" priority="38">
      <formula>OR(TEXT(AA4,"MMMM")="Februar",TEXT(AA4,"MMMM")="April",TEXT(AA4,"MMMM")="Juni",TEXT(AA4,"MMMM")="August",TEXT(AA4,"MMMM")="Oktober",TEXT(AA4,"MMMM")="Dezember")</formula>
    </cfRule>
  </conditionalFormatting>
  <conditionalFormatting sqref="AA7:NZ9 AA127:NZ181 AA14:NZ45 AA91:NZ125 AA11:HG12 AA47:NZ61 AA62:EY62 FA62:NZ62 AA63:NZ89">
    <cfRule type="expression" dxfId="17" priority="34">
      <formula>AND(AA$9=TODAY())</formula>
    </cfRule>
  </conditionalFormatting>
  <conditionalFormatting sqref="AA9:NZ9">
    <cfRule type="expression" dxfId="16" priority="37">
      <formula>AND(AA$7="Sa")</formula>
    </cfRule>
  </conditionalFormatting>
  <conditionalFormatting sqref="AA7:OG9">
    <cfRule type="expression" dxfId="15" priority="35">
      <formula>AND(AA$7="So")</formula>
    </cfRule>
    <cfRule type="expression" dxfId="14" priority="36">
      <formula>AND(AA$7="Sa")</formula>
    </cfRule>
  </conditionalFormatting>
  <conditionalFormatting sqref="EZ63">
    <cfRule type="expression" dxfId="13" priority="550">
      <formula>OR(#REF!="X",#REF!="x")</formula>
    </cfRule>
    <cfRule type="expression" dxfId="12" priority="551">
      <formula>AND(#REF!&gt;0,AND(EZ$9&gt;=$R62,EZ$9&lt;=$R62+($T62-$R62)*#REF!))</formula>
    </cfRule>
    <cfRule type="expression" dxfId="11" priority="552">
      <formula>AND(OR(EZ$7="Sa",EZ$7="So"))</formula>
    </cfRule>
    <cfRule type="expression" dxfId="10" priority="553">
      <formula>AND(#REF!=EZ$9,#REF!&lt;&gt;"F",#REF!&lt;TODAY())</formula>
    </cfRule>
    <cfRule type="expression" dxfId="9" priority="554">
      <formula>AND(#REF!=EZ$9)</formula>
    </cfRule>
    <cfRule type="expression" dxfId="8" priority="555">
      <formula>IF(#REF!="x",AND(OR(EZ$7="Sa",EZ$7="So")))</formula>
    </cfRule>
    <cfRule type="expression" dxfId="7" priority="556">
      <formula>AND($T62&lt;&gt;"",AND(EZ$9&gt;=$R62,EZ$9&lt;=$T62))</formula>
    </cfRule>
  </conditionalFormatting>
  <conditionalFormatting sqref="EZ63">
    <cfRule type="expression" dxfId="6" priority="1">
      <formula>OR(#REF!="X",#REF!="x")</formula>
    </cfRule>
    <cfRule type="expression" dxfId="5" priority="2">
      <formula>AND(#REF!&gt;0,AND(EZ$9&gt;=$R63,EZ$9&lt;=$R63+($T63-$R63)*#REF!))</formula>
    </cfRule>
    <cfRule type="expression" dxfId="4" priority="3">
      <formula>AND(OR(EZ$7="Sa",EZ$7="So"))</formula>
    </cfRule>
    <cfRule type="expression" dxfId="3" priority="4">
      <formula>AND(#REF!=EZ$9,#REF!&lt;&gt;"F",#REF!&lt;TODAY())</formula>
    </cfRule>
    <cfRule type="expression" dxfId="2" priority="5">
      <formula>AND(#REF!=EZ$9)</formula>
    </cfRule>
    <cfRule type="expression" dxfId="1" priority="6">
      <formula>IF(#REF!="x",AND(OR(EZ$7="Sa",EZ$7="So")))</formula>
    </cfRule>
    <cfRule type="expression" dxfId="0" priority="7">
      <formula>AND($T63&lt;&gt;"",AND(EZ$9&gt;=$R63,EZ$9&lt;=$T63))</formula>
    </cfRule>
  </conditionalFormatting>
  <hyperlinks>
    <hyperlink ref="G15" location="Prerequisites!A1" display="Prerequisites!A1" xr:uid="{381C3F75-D131-424E-A971-14812DE55193}"/>
    <hyperlink ref="G16" location="Prerequisites!A1" display="Prerequisites!A1" xr:uid="{F096E829-294C-4077-B48B-7F992B12E159}"/>
    <hyperlink ref="G17" location="Prerequisites!A1" display="Prerequisites!A1" xr:uid="{71DC3A9D-C062-451F-B159-DAEAC8CC077E}"/>
    <hyperlink ref="G18" location="Prerequisites!A1" display="Prerequisites!A1" xr:uid="{D4C9DCE3-483A-469F-8F66-986A16FEF195}"/>
    <hyperlink ref="G20:G22" location="Prerequisites!A1" display="Prerequisites!A1" xr:uid="{791D59CD-A0B8-41FD-9C75-AF1F06E0EE40}"/>
    <hyperlink ref="G25" location="Prerequisites!A1" display="Prerequisites!A1" xr:uid="{67583866-5A70-4464-AEF7-82396C6D3BB1}"/>
    <hyperlink ref="G26" location="Prerequisites!A1" display="Prerequisites!A1" xr:uid="{0C875C0D-4224-43E0-B4BB-EF1FC6444B50}"/>
    <hyperlink ref="G35" location="Prerequisites!A1" display="Prerequisites!A1" xr:uid="{66DD3CF6-A228-4F90-8461-EFCEE604B763}"/>
    <hyperlink ref="G36" location="Prerequisites!A1" display="Prerequisites!A1" xr:uid="{C6E1834E-B024-4086-9461-6BDB54CB6DF4}"/>
    <hyperlink ref="G38" location="Prerequisites!A1" display="Prerequisites!A1" xr:uid="{AE4B6613-977B-452C-8AB1-3778BD62C473}"/>
    <hyperlink ref="G39" location="Prerequisites!A1" display="Prerequisites!A1" xr:uid="{584EBAFA-2F01-4739-BC79-281E7295C5B2}"/>
    <hyperlink ref="G40" location="Prerequisites!A1" display="Prerequisites!A1" xr:uid="{E7ADBEF6-DD80-4A4F-8778-5AC6E652F542}"/>
    <hyperlink ref="G48" location="Prerequisites!A1" display="Prerequisites!A1" xr:uid="{6CEB656B-65A9-450A-B51E-630B078CD66D}"/>
    <hyperlink ref="G49" location="Prerequisites!A1" display="Prerequisites!A1" xr:uid="{FAC3EACC-91CD-4D0B-ADCC-4144348CF407}"/>
    <hyperlink ref="G50" location="Prerequisites!A1" display="Prerequisites!A1" xr:uid="{190EC9BE-3946-4707-8E04-51A7173ACF49}"/>
    <hyperlink ref="G52" location="Prerequisites!A1" display="Prerequisites!A1" xr:uid="{40DDCF9C-F1AD-4ED5-ACF1-3879AE7B263B}"/>
    <hyperlink ref="G55" location="Prerequisites!A1" display="Prerequisites!A1" xr:uid="{55DE01F7-8F63-4355-80AC-028F342F4B61}"/>
    <hyperlink ref="G56" location="Prerequisites!A1" display="Prerequisites!A1" xr:uid="{115263E0-CA69-4E67-9841-F13FA6CD8A4B}"/>
    <hyperlink ref="G54" location="Prerequisites!A1" display="Prerequisites!A1" xr:uid="{FA6F1129-217F-4695-AF00-CAEAC9F1E5A6}"/>
    <hyperlink ref="G58" location="Prerequisites!A1" display="Prerequisites!A1" xr:uid="{C51B77EB-1A0F-4AB7-BF12-F284B400184F}"/>
    <hyperlink ref="G59" location="Prerequisites!A1" display="Prerequisites!A1" xr:uid="{858B1142-FC24-407A-9CCD-39CCE27905BE}"/>
    <hyperlink ref="G62" location="Prerequisites!A1" display="Prerequisites!A1" xr:uid="{257A5474-5940-4DB8-8706-05CDFC133C31}"/>
    <hyperlink ref="G63" location="Prerequisites!A1" display="Prerequisites!A1" xr:uid="{209F3827-6492-43E6-AA5D-AAD13D828D9A}"/>
    <hyperlink ref="G66" location="Prerequisites!A1" display="Prerequisites!A1" xr:uid="{B4C096A7-E4EC-4F1F-9A08-F1F7D8569623}"/>
    <hyperlink ref="G67" location="Prerequisites!A1" display="Prerequisites!A1" xr:uid="{7C7EE8D0-2E4A-400F-9C02-1FC4D13CE1A1}"/>
    <hyperlink ref="G68" location="Prerequisites!A1" display="Prerequisites!A1" xr:uid="{18F46223-2B8A-45CB-B4E4-9FBC5C436147}"/>
    <hyperlink ref="G74" location="Prerequisites!A1" display="Prerequisites!A1" xr:uid="{6AAC70DF-7C77-4076-9369-7765B8896319}"/>
    <hyperlink ref="G79" location="Prerequisites!A1" display="Prerequisites!A1" xr:uid="{FD7F47D2-885E-43B7-816F-A775DB012008}"/>
    <hyperlink ref="G83" location="Prerequisites!A1" display="Prerequisites!A1" xr:uid="{2644FEB9-0144-435C-A4D1-DFC09AEC26EE}"/>
    <hyperlink ref="G84" location="Prerequisites!A1" display="Prerequisites!A1" xr:uid="{D3E18071-EB9E-4108-87CE-24110EB532D6}"/>
    <hyperlink ref="G85" location="Prerequisites!A1" display="Prerequisites!A1" xr:uid="{CA758DB7-0CE5-4784-B4AC-BC8385281C82}"/>
    <hyperlink ref="G87" location="Prerequisites!A1" display="Prerequisites!A1" xr:uid="{D3325547-7D6D-4259-8EA1-732EE40A82DC}"/>
    <hyperlink ref="G88" location="Prerequisites!A1" display="Prerequisites!A1" xr:uid="{54D3DDF6-3751-47B1-8A8B-76887B4E6CB4}"/>
    <hyperlink ref="G92" location="Prerequisites!A1" display="Prerequisites!A1" xr:uid="{800C6D57-70A0-47C2-A28C-0763C1699DFF}"/>
    <hyperlink ref="G93" location="Prerequisites!A1" display="Prerequisites!A1" xr:uid="{8BECF617-71D3-4508-B642-BA76203FA7F3}"/>
    <hyperlink ref="G94" location="Prerequisites!A1" display="Prerequisites!A1" xr:uid="{BD9EADF6-8266-447F-BAB0-262D8EB68483}"/>
    <hyperlink ref="G95" location="Prerequisites!A1" display="Prerequisites!A1" xr:uid="{B2740214-EF83-4060-A8AE-EF6935533041}"/>
    <hyperlink ref="G97" location="Prerequisites!A1" display="Prerequisites!A1" xr:uid="{65F6E05A-26A6-48F0-87CD-B4D4DB75FAB5}"/>
    <hyperlink ref="G98" location="Prerequisites!A1" display="Prerequisites!A1" xr:uid="{61C3378E-576F-428A-99DD-A377F09DB7C1}"/>
    <hyperlink ref="G100" location="Prerequisites!A1" display="Prerequisites!A1" xr:uid="{C8812B59-A142-48E8-A527-24E688A080DB}"/>
    <hyperlink ref="G101" location="Prerequisites!A1" display="Prerequisites!A1" xr:uid="{14B1F3ED-4F65-4F55-9913-60F9EA6B361F}"/>
    <hyperlink ref="G102" location="Prerequisites!A1" display="Prerequisites!A1" xr:uid="{DDC76B68-D1F8-466C-9B0E-12C140C79A53}"/>
    <hyperlink ref="G103" location="Prerequisites!A1" display="Prerequisites!A1" xr:uid="{CB9E5BCF-F3E1-4106-AD97-9A21082CCB58}"/>
    <hyperlink ref="G104" location="Prerequisites!A1" display="Prerequisites!A1" xr:uid="{EC3B9CA3-8690-427B-B5A4-7FC7FC13BA1E}"/>
    <hyperlink ref="G106" location="Prerequisites!A1" display="Prerequisites!A1" xr:uid="{628ED024-3781-4E2A-9BF2-2C2AFB3BC903}"/>
    <hyperlink ref="G108" location="Prerequisites!A1" display="Prerequisites!A1" xr:uid="{4BF6DE7C-CFDA-47DF-9CB2-0CAB7CDCBF43}"/>
    <hyperlink ref="G109" location="Prerequisites!A1" display="Prerequisites!A1" xr:uid="{2D0B8685-67F7-490D-8546-83017DB9CEF3}"/>
    <hyperlink ref="G110" location="Prerequisites!A1" display="Prerequisites!A1" xr:uid="{3E9B838B-0AFF-4981-B82E-AB33A2376FE5}"/>
    <hyperlink ref="G111" location="Prerequisites!A1" display="Prerequisites!A1" xr:uid="{ADA3CBEB-0F5C-4330-94FB-1FD4EA7524B4}"/>
    <hyperlink ref="G116" location="Prerequisites!A1" display="Prerequisites!A1" xr:uid="{3E9F14F8-A254-40F9-A967-E4F0B63ECBA6}"/>
    <hyperlink ref="G117" location="Prerequisites!A1" display="Prerequisites!A1" xr:uid="{455273F4-9079-4A2E-A0D5-911528DB27AA}"/>
    <hyperlink ref="G118" location="Prerequisites!A1" display="Prerequisites!A1" xr:uid="{5FDA47AB-1951-49BB-96C3-90888786B694}"/>
    <hyperlink ref="G119" location="Prerequisites!A1" display="Prerequisites!A1" xr:uid="{24252E73-E06C-4C49-989A-5E63549AAF54}"/>
    <hyperlink ref="G122" location="Prerequisites!A1" display="Prerequisites!A1" xr:uid="{026FE0B0-018C-4929-8224-BB9ACB2CF7BD}"/>
    <hyperlink ref="G123:G124" location="Prerequisites!A1" display="Prerequisites!A1" xr:uid="{3411DC86-A5C1-4E47-8C8C-14BDE2E7FEAC}"/>
    <hyperlink ref="G131" location="Prerequisites!A1" display="Prerequisites!A1" xr:uid="{CE41AB9E-9E06-42A6-BBB4-6F53A1D300B2}"/>
    <hyperlink ref="G133" location="Prerequisites!A1" display="Prerequisites!A1" xr:uid="{E9D87815-50AD-49FC-8B70-6C2E55799414}"/>
    <hyperlink ref="G134" location="Prerequisites!A1" display="Prerequisites!A1" xr:uid="{F8EA6C2B-14B6-4F3A-8FB1-4AF6FBD226F5}"/>
    <hyperlink ref="G135" location="Prerequisites!A1" display="Prerequisites!A1" xr:uid="{21D065D3-A08D-4C79-990E-D0F5CB059ABD}"/>
    <hyperlink ref="G137" location="Prerequisites!A1" display="Prerequisites!A1" xr:uid="{ABEE17ED-3CBF-43A7-9CEC-1655615053B6}"/>
    <hyperlink ref="G138" location="Prerequisites!A1" display="Prerequisites!A1" xr:uid="{3ADA4286-C191-4275-B7F4-B1963835A375}"/>
    <hyperlink ref="G139" location="Prerequisites!A1" display="Prerequisites!A1" xr:uid="{012B7C32-E926-4D01-853F-8ACAE2FF8BB6}"/>
    <hyperlink ref="G141" location="Prerequisites!A1" display="Prerequisites!A1" xr:uid="{BCB5F052-CE8C-4FA1-A5FE-BA567A310A5B}"/>
    <hyperlink ref="G142" location="Prerequisites!A1" display="Prerequisites!A1" xr:uid="{D3659A39-E16C-4FB9-818C-A558862375A4}"/>
    <hyperlink ref="G143" location="Prerequisites!A1" display="Prerequisites!A1" xr:uid="{CD38915C-1C28-4CF1-8873-5D896CB33E3A}"/>
    <hyperlink ref="G145" location="Prerequisites!A1" display="Prerequisites!A1" xr:uid="{FADA1333-0E79-45DD-90FA-F01F5ACA2EDD}"/>
    <hyperlink ref="G146" location="Prerequisites!A1" display="Prerequisites!A1" xr:uid="{5E321752-CD6E-4A71-95B0-2A447A85EF05}"/>
    <hyperlink ref="G148" location="Prerequisites!A1" display="Prerequisites!A1" xr:uid="{5FD82A2B-C737-4061-AAB2-BE5B3AE7A80A}"/>
    <hyperlink ref="G150" location="Prerequisites!A1" display="Prerequisites!A1" xr:uid="{D20A942E-C818-4838-9C29-CCD9D3514C78}"/>
    <hyperlink ref="G151" location="Prerequisites!A1" display="Prerequisites!A1" xr:uid="{3AD9D64E-271A-46E2-848E-BF0ED68BE8F8}"/>
    <hyperlink ref="G152" location="Prerequisites!A1" display="Prerequisites!A1" xr:uid="{688C5037-CDFF-424F-95A9-46CEF42B439F}"/>
    <hyperlink ref="G154" location="Prerequisites!A1" display="Prerequisites!A1" xr:uid="{853E4F8A-B4E3-49BE-A156-4344DDD3256F}"/>
    <hyperlink ref="G156" location="Prerequisites!A1" display="Prerequisites!A1" xr:uid="{B77BE5AA-B555-4143-974F-DE1E7AAE9138}"/>
    <hyperlink ref="G159" location="Prerequisites!A1" display="Prerequisites!A1" xr:uid="{4CC5A268-FACE-4D7D-B4C5-3C1EFC0D9762}"/>
    <hyperlink ref="G161" location="Prerequisites!A1" display="Prerequisites!A1" xr:uid="{DE377B30-E459-4A7A-AB62-C2E6C3A2FEE1}"/>
    <hyperlink ref="G165" location="Prerequisites!A1" display="Prerequisites!A1" xr:uid="{C8484E76-49D9-4CC6-AC18-6E15E3DB3D03}"/>
  </hyperlinks>
  <pageMargins left="0" right="0" top="0" bottom="0" header="0" footer="0"/>
  <pageSetup paperSize="9" scale="10" fitToHeight="0" orientation="portrait" r:id="rId1"/>
  <headerFooter alignWithMargins="0"/>
  <colBreaks count="2" manualBreakCount="2">
    <brk id="17" max="1048575" man="1"/>
    <brk id="4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DE09-49D2-42CE-90D1-21C239E8327A}">
  <dimension ref="B4:C24"/>
  <sheetViews>
    <sheetView showGridLines="0" workbookViewId="0"/>
    <sheetView workbookViewId="1"/>
  </sheetViews>
  <sheetFormatPr defaultRowHeight="14.25" x14ac:dyDescent="0.45"/>
  <cols>
    <col min="1" max="1" width="9" customWidth="1"/>
    <col min="2" max="2" width="2.73046875" customWidth="1"/>
    <col min="3" max="3" width="41.73046875" bestFit="1" customWidth="1"/>
  </cols>
  <sheetData>
    <row r="4" spans="2:3" x14ac:dyDescent="0.45">
      <c r="B4" s="188" t="s">
        <v>139</v>
      </c>
    </row>
    <row r="5" spans="2:3" x14ac:dyDescent="0.45">
      <c r="B5" s="189">
        <v>1</v>
      </c>
      <c r="C5" s="190" t="s">
        <v>144</v>
      </c>
    </row>
    <row r="6" spans="2:3" x14ac:dyDescent="0.45">
      <c r="B6" s="189">
        <f>+B5+1</f>
        <v>2</v>
      </c>
      <c r="C6" s="190" t="s">
        <v>140</v>
      </c>
    </row>
    <row r="7" spans="2:3" x14ac:dyDescent="0.45">
      <c r="B7" s="189">
        <f t="shared" ref="B7:B24" si="0">+B6+1</f>
        <v>3</v>
      </c>
      <c r="C7" s="190" t="s">
        <v>141</v>
      </c>
    </row>
    <row r="8" spans="2:3" x14ac:dyDescent="0.45">
      <c r="B8" s="189">
        <f t="shared" si="0"/>
        <v>4</v>
      </c>
      <c r="C8" s="190" t="s">
        <v>142</v>
      </c>
    </row>
    <row r="9" spans="2:3" x14ac:dyDescent="0.45">
      <c r="B9" s="189">
        <f t="shared" si="0"/>
        <v>5</v>
      </c>
      <c r="C9" s="190" t="s">
        <v>146</v>
      </c>
    </row>
    <row r="10" spans="2:3" x14ac:dyDescent="0.45">
      <c r="B10" s="189">
        <f t="shared" si="0"/>
        <v>6</v>
      </c>
      <c r="C10" s="190" t="s">
        <v>143</v>
      </c>
    </row>
    <row r="11" spans="2:3" x14ac:dyDescent="0.45">
      <c r="B11" s="189">
        <f t="shared" si="0"/>
        <v>7</v>
      </c>
      <c r="C11" s="190" t="s">
        <v>149</v>
      </c>
    </row>
    <row r="12" spans="2:3" x14ac:dyDescent="0.45">
      <c r="B12" s="189">
        <f t="shared" si="0"/>
        <v>8</v>
      </c>
      <c r="C12" s="190" t="s">
        <v>150</v>
      </c>
    </row>
    <row r="13" spans="2:3" x14ac:dyDescent="0.45">
      <c r="B13" s="189">
        <f t="shared" si="0"/>
        <v>9</v>
      </c>
      <c r="C13" s="190"/>
    </row>
    <row r="14" spans="2:3" x14ac:dyDescent="0.45">
      <c r="B14" s="189">
        <f t="shared" si="0"/>
        <v>10</v>
      </c>
      <c r="C14" s="190"/>
    </row>
    <row r="15" spans="2:3" x14ac:dyDescent="0.45">
      <c r="B15" s="189">
        <f t="shared" si="0"/>
        <v>11</v>
      </c>
      <c r="C15" s="190"/>
    </row>
    <row r="16" spans="2:3" x14ac:dyDescent="0.45">
      <c r="B16" s="189">
        <f t="shared" si="0"/>
        <v>12</v>
      </c>
      <c r="C16" s="190"/>
    </row>
    <row r="17" spans="2:3" x14ac:dyDescent="0.45">
      <c r="B17" s="189">
        <f t="shared" si="0"/>
        <v>13</v>
      </c>
      <c r="C17" s="190"/>
    </row>
    <row r="18" spans="2:3" x14ac:dyDescent="0.45">
      <c r="B18" s="189">
        <f t="shared" si="0"/>
        <v>14</v>
      </c>
      <c r="C18" s="190"/>
    </row>
    <row r="19" spans="2:3" x14ac:dyDescent="0.45">
      <c r="B19" s="189">
        <f t="shared" si="0"/>
        <v>15</v>
      </c>
      <c r="C19" s="190"/>
    </row>
    <row r="20" spans="2:3" x14ac:dyDescent="0.45">
      <c r="B20" s="189">
        <f t="shared" si="0"/>
        <v>16</v>
      </c>
      <c r="C20" s="190"/>
    </row>
    <row r="21" spans="2:3" x14ac:dyDescent="0.45">
      <c r="B21" s="189">
        <f t="shared" si="0"/>
        <v>17</v>
      </c>
      <c r="C21" s="190"/>
    </row>
    <row r="22" spans="2:3" x14ac:dyDescent="0.45">
      <c r="B22" s="189">
        <f t="shared" si="0"/>
        <v>18</v>
      </c>
      <c r="C22" s="190"/>
    </row>
    <row r="23" spans="2:3" x14ac:dyDescent="0.45">
      <c r="B23" s="189">
        <f t="shared" si="0"/>
        <v>19</v>
      </c>
      <c r="C23" s="190"/>
    </row>
    <row r="24" spans="2:3" x14ac:dyDescent="0.45">
      <c r="B24" s="189">
        <f t="shared" si="0"/>
        <v>20</v>
      </c>
      <c r="C24" s="19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E2NS Terminplan</vt:lpstr>
      <vt:lpstr>260113_E2NS Terminplan</vt:lpstr>
      <vt:lpstr>Prerequisites</vt:lpstr>
      <vt:lpstr>'260113_E2NS Terminplan'!Print_Titles</vt:lpstr>
      <vt:lpstr>'E2NS Terminplan'!Print_Titles</vt:lpstr>
    </vt:vector>
  </TitlesOfParts>
  <Company>alle-meine-vorlagen.de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Projektplan</dc:title>
  <dc:creator>www.alle-meine-vorlagen.de</dc:creator>
  <cp:keywords>Terminplan, Projektplanung</cp:keywords>
  <dc:description>Excel-Vorlage eines Projektplanes.</dc:description>
  <cp:lastModifiedBy>Umut Seçkin</cp:lastModifiedBy>
  <cp:lastPrinted>2025-11-24T20:25:01Z</cp:lastPrinted>
  <dcterms:created xsi:type="dcterms:W3CDTF">2016-06-30T18:29:31Z</dcterms:created>
  <dcterms:modified xsi:type="dcterms:W3CDTF">2026-01-13T19:47:46Z</dcterms:modified>
  <cp:category>Projektplanung</cp:category>
  <cp:contentStatus>Version 2.3</cp:contentStatus>
  <cp:version>2.4</cp:version>
</cp:coreProperties>
</file>